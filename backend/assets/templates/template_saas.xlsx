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FUNDING_REQUIREMENT" state="visible" r:id="rId6"/>
    <sheet sheetId="4" name="SUBSCRIBER_FUNNEL" state="visible" r:id="rId7"/>
    <sheet sheetId="5" name="REVENUE_ENGINE" state="visible" r:id="rId8"/>
    <sheet sheetId="6" name="COGS_ENGINE" state="visible" r:id="rId9"/>
    <sheet sheetId="7" name="HR_AND_OPEX" state="visible" r:id="rId10"/>
    <sheet sheetId="8" name="CAPEX_AND_DEPRECIATION" state="visible" r:id="rId11"/>
    <sheet sheetId="9" name="WORKING_CAPITAL" state="visible" r:id="rId12"/>
    <sheet sheetId="10" name="MONTHLY_P_AND_L" state="visible" r:id="rId13"/>
    <sheet sheetId="11" name="MONTHLY_CASH_FLOW" state="visible" r:id="rId14"/>
    <sheet sheetId="12" name="QUARTERLY_SUMMARY" state="visible" r:id="rId15"/>
    <sheet sheetId="13" name="YEARLY_SUMMARY" state="visible" r:id="rId16"/>
  </sheets>
  <calcPr calcId="171027"/>
</workbook>
</file>

<file path=xl/sharedStrings.xml><?xml version="1.0" encoding="utf-8"?>
<sst xmlns="http://schemas.openxmlformats.org/spreadsheetml/2006/main" count="746" uniqueCount="188">
  <si>
    <t xml:space="preserve">Venture Wolf — SaaS &amp; Software Financial Model (India)
Dynamic 60-Month Forecast</t>
  </si>
  <si>
    <t>Confidential - Generated for internal venture analysis.</t>
  </si>
  <si>
    <t>ACTIVE SCENARIO:</t>
  </si>
  <si>
    <t>Base</t>
  </si>
  <si>
    <t>Particulars</t>
  </si>
  <si>
    <t>Worst</t>
  </si>
  <si>
    <t>Best</t>
  </si>
  <si>
    <t>1. MACRO-ECONOMIC &amp; TAX (INDIA)</t>
  </si>
  <si>
    <t>Corporate Tax Rate (%)</t>
  </si>
  <si>
    <t>DPIIT Tax Holiday Active (1=Yes, 0=No)</t>
  </si>
  <si>
    <t>Employer PF Burden (%)</t>
  </si>
  <si>
    <t>2. REVENUE DRIVERS</t>
  </si>
  <si>
    <t>Initial Customer Count</t>
  </si>
  <si>
    <t>Avg. Monthly Revenue Per User (₹)</t>
  </si>
  <si>
    <t>MoM Growth Rate (%)</t>
  </si>
  <si>
    <t>Monthly Churn Rate (%)</t>
  </si>
  <si>
    <t>3. COST &amp; OPEX DRIVERS</t>
  </si>
  <si>
    <t>Direct COGS Margin (%)</t>
  </si>
  <si>
    <t>Annual Payroll Inflation (%)</t>
  </si>
  <si>
    <t>Marketing Spend (% of Revenue)</t>
  </si>
  <si>
    <t>4. WORKING CAPITAL</t>
  </si>
  <si>
    <t>Accounts Receivable (Days)</t>
  </si>
  <si>
    <t>Inventory Days (if applicable)</t>
  </si>
  <si>
    <t>Accounts Payable (Days)</t>
  </si>
  <si>
    <t>Funding Requirement (Tranche Breakdown)</t>
  </si>
  <si>
    <t>Use of Funds</t>
  </si>
  <si>
    <t>Amount (₹)</t>
  </si>
  <si>
    <t>CapEx &amp; Hardware</t>
  </si>
  <si>
    <t>Working Capital Buffer</t>
  </si>
  <si>
    <t>Marketing Launch</t>
  </si>
  <si>
    <t>Contingency</t>
  </si>
  <si>
    <t>Total Funding Required</t>
  </si>
  <si>
    <t>Subscriber Funnel &amp; Growth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</si>
  <si>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</si>
  <si>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</si>
  <si>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</si>
  <si>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</si>
  <si>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</si>
  <si>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</si>
  <si>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</si>
  <si>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</si>
  <si>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</si>
  <si>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</si>
  <si>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</si>
  <si>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</si>
  <si>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</si>
  <si>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</si>
  <si>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</si>
  <si>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</si>
  <si>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</si>
  <si>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</si>
  <si>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</si>
  <si>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</si>
  <si>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</si>
  <si>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</si>
  <si>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</si>
  <si>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</si>
  <si>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</si>
  <si>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</si>
  <si>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</si>
  <si>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</si>
  <si>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</si>
  <si>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</si>
  <si>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</si>
  <si>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</si>
  <si>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</si>
  <si>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</si>
  <si>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</si>
  <si>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</si>
  <si>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</si>
  <si>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</si>
  <si>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</si>
  <si>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</si>
  <si>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</si>
  <si>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</si>
  <si>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</si>
  <si>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</si>
  <si>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</si>
  <si>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</si>
  <si>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</si>
  <si>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</si>
  <si>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</si>
  <si>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</si>
  <si>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</si>
  <si>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</si>
  <si>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</si>
  <si>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</si>
  <si>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</si>
  <si>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</si>
  <si>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</si>
  <si>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</si>
  <si>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</si>
  <si>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</si>
  <si>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Starting Subscribers</t>
  </si>
  <si>
    <t>New Subscribers</t>
  </si>
  <si>
    <t>Churned Subscribers</t>
  </si>
  <si>
    <t>Ending Subscribers</t>
  </si>
  <si>
    <t>MRR &amp; Revenue Engine</t>
  </si>
  <si>
    <t>ARPU (Average Revenue Per User) (₹)</t>
  </si>
  <si>
    <t>Total MRR (Total Revenue) (₹)</t>
  </si>
  <si>
    <t>Cloud Infrastructure &amp; Variable COGS</t>
  </si>
  <si>
    <t>Cloud &amp; Server Hosting (₹)</t>
  </si>
  <si>
    <t>Payment Gateway Fees (2%) (₹)</t>
  </si>
  <si>
    <t>Total COGS (₹)</t>
  </si>
  <si>
    <t>HR &amp; Operating Expenses (OpEx)</t>
  </si>
  <si>
    <t>Engineering &amp; Product (₹)</t>
  </si>
  <si>
    <t>Sales &amp; Marketing (CAC) (₹)</t>
  </si>
  <si>
    <t>Customer Success (₹)</t>
  </si>
  <si>
    <t>Founders (₹)</t>
  </si>
  <si>
    <t>Admin &amp; Legal (₹)</t>
  </si>
  <si>
    <t>Total OpEx (Incl. PF Burden) (₹)</t>
  </si>
  <si>
    <t>CapEx &amp; Depreciation Schedule</t>
  </si>
  <si>
    <t>Opening Asset Balance (₹)</t>
  </si>
  <si>
    <t>New CapEx Additions (₹)</t>
  </si>
  <si>
    <t>Depreciation Expense (₹)</t>
  </si>
  <si>
    <t>Closing Asset Balance (₹)</t>
  </si>
  <si>
    <t>Working Capital Schedule</t>
  </si>
  <si>
    <t>Accounts Receivable (₹)</t>
  </si>
  <si>
    <t>Accounts Payable (₹)</t>
  </si>
  <si>
    <t>Net Working Capital (₹)</t>
  </si>
  <si>
    <t>Change in Working Capital (₹)</t>
  </si>
  <si>
    <t>Monthly Profit &amp; Loss</t>
  </si>
  <si>
    <t>Total Revenue</t>
  </si>
  <si>
    <t>Total COGS</t>
  </si>
  <si>
    <t>Gross Profit</t>
  </si>
  <si>
    <t>Total OpEx</t>
  </si>
  <si>
    <t>EBITDA</t>
  </si>
  <si>
    <t>Depreciation &amp; Amortization</t>
  </si>
  <si>
    <t>EBIT</t>
  </si>
  <si>
    <t>Interest Expense</t>
  </si>
  <si>
    <t>Profit Before Tax (PBT)</t>
  </si>
  <si>
    <t>Corporate Tax</t>
  </si>
  <si>
    <t>Net Income (PAT)</t>
  </si>
  <si>
    <t>Monthly Cash Flow Statement</t>
  </si>
  <si>
    <t>Net Income (₹)</t>
  </si>
  <si>
    <t>Add Back: Depreciation (₹)</t>
  </si>
  <si>
    <t>Less: Change in Working Capital (₹)</t>
  </si>
  <si>
    <t>Operating Cash Flow (₹)</t>
  </si>
  <si>
    <t>Less: CapEx Additions (₹)</t>
  </si>
  <si>
    <t>Investing Cash Flow (₹)</t>
  </si>
  <si>
    <t>Add: Equity Funding (₹)</t>
  </si>
  <si>
    <t>Financing Cash Flow (₹)</t>
  </si>
  <si>
    <t>Net Cash Flow for Month (₹)</t>
  </si>
  <si>
    <t>Closing Cash Balance (₹)</t>
  </si>
  <si>
    <t>Venture Wolf India — Master Quarterly Dashboard (Full Metrics)</t>
  </si>
  <si>
    <t>BASE CASE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</si>
  <si>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</si>
  <si>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</si>
  <si>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</si>
  <si>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</si>
  <si>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</si>
  <si>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</si>
  <si>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</si>
  <si>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</si>
  <si>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</si>
  <si>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</si>
  <si>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</si>
  <si>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</si>
  <si>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</si>
  <si>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</si>
  <si>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</si>
  <si>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</si>
  <si>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</si>
  <si>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</si>
  <si>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</si>
  <si>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</si>
  <si>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1. Total Revenue</t>
  </si>
  <si>
    <t>2. Total COGS</t>
  </si>
  <si>
    <t>3. Gross Profit</t>
  </si>
  <si>
    <t>A. Gross Margin %</t>
  </si>
  <si>
    <t>4. Total Operating Expenses</t>
  </si>
  <si>
    <t>5. EBITDA</t>
  </si>
  <si>
    <t>B. EBITDA %</t>
  </si>
  <si>
    <t>6. Depreciation &amp; Amortisation</t>
  </si>
  <si>
    <t>7. EBIT</t>
  </si>
  <si>
    <t>8. Interest</t>
  </si>
  <si>
    <t>9. PBT</t>
  </si>
  <si>
    <t>10. Taxes</t>
  </si>
  <si>
    <t>11. PAT</t>
  </si>
  <si>
    <t>C. PAT %</t>
  </si>
  <si>
    <t>BEST CASE</t>
  </si>
  <si>
    <t>WORST CASE</t>
  </si>
  <si>
    <t>Venture Wolf India — Master Summary Dashboard (Full Metrics)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</si>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</sst>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28"/>
      <name val="Arial"/>
    </font>
    <font>
      <i/>
      <sz val="12"/>
      <name val="Arial"/>
    </font>
    <font>
      <b/>
      <color rgb="FF0F172A"/>
      <sz val="14"/>
      <name val="Arial"/>
    </font>
    <font>
      <b/>
      <color rgb="FF0F172A"/>
      <sz val="11"/>
      <name val="Arial"/>
    </font>
    <font>
      <b/>
      <color rgb="FFFFFFFF"/>
      <sz val="11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b/>
    </font>
    <font>
      <b/>
      <color rgb="FF0F172A"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08A"/>
      </patternFill>
    </fill>
    <fill>
      <patternFill patternType="solid">
        <fgColor rgb="FF38BDF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0" fontId="6" fillId="3" borderId="2" xfId="0" applyNumberFormat="1" applyFont="1" applyFill="1" applyBorder="1" applyAlignment="1">
      <alignment horizontal="right" vertical="center"/>
    </xf>
    <xf numFmtId="1" fontId="6" fillId="3" borderId="2" xfId="0" applyNumberFormat="1" applyFont="1" applyFill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64" fontId="9" fillId="4" borderId="2" xfId="0" applyNumberFormat="1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9" fillId="0" borderId="0" xfId="0" applyFont="1"/>
    <xf numFmtId="164" fontId="6" fillId="0" borderId="2" xfId="0" applyNumberFormat="1" applyFont="1" applyBorder="1" applyAlignment="1">
      <alignment horizontal="right" vertical="center"/>
    </xf>
    <xf numFmtId="0" fontId="10" fillId="0" borderId="0" xfId="0" applyFont="1"/>
    <xf numFmtId="164" fontId="9" fillId="5" borderId="2" xfId="0" applyNumberFormat="1" applyFont="1" applyFill="1" applyBorder="1" applyAlignment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10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H18"/>
  <sheetViews>
    <sheetView workbookViewId="0" showGridLines="0"/>
  </sheetViews>
  <sheetFormatPr defaultRowHeight="15" outlineLevelRow="0" outlineLevelCol="0" x14ac:dyDescent="55"/>
  <cols>
    <col min="1" max="1" width="4" customWidth="1"/>
  </cols>
  <sheetData>
    <row r="10" spans="2:8" x14ac:dyDescent="0.25">
      <c r="B10" s="1" t="s">
        <v>0</v>
      </c>
      <c r="C10" s="1"/>
      <c r="D10" s="1"/>
      <c r="E10" s="1"/>
      <c r="F10" s="1"/>
      <c r="G10" s="1"/>
      <c r="H10" s="1"/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/>
      <c r="C12" s="1"/>
      <c r="D12" s="1"/>
      <c r="E12" s="1"/>
      <c r="F12" s="1"/>
      <c r="G12" s="1"/>
      <c r="H12" s="1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1"/>
      <c r="C14" s="1"/>
      <c r="D14" s="1"/>
      <c r="E14" s="1"/>
      <c r="F14" s="1"/>
      <c r="G14" s="1"/>
      <c r="H14" s="1"/>
    </row>
    <row r="15" spans="2:8" x14ac:dyDescent="0.25">
      <c r="B15" s="1"/>
      <c r="C15" s="1"/>
      <c r="D15" s="1"/>
      <c r="E15" s="1"/>
      <c r="F15" s="1"/>
      <c r="G15" s="1"/>
      <c r="H15" s="1"/>
    </row>
    <row r="16" spans="2:8" x14ac:dyDescent="0.25">
      <c r="B16" s="1"/>
      <c r="C16" s="1"/>
      <c r="D16" s="1"/>
      <c r="E16" s="1"/>
      <c r="F16" s="1"/>
      <c r="G16" s="1"/>
      <c r="H16" s="1"/>
    </row>
    <row r="18" spans="2:8" x14ac:dyDescent="0.25">
      <c r="B18" s="2" t="s">
        <v>1</v>
      </c>
      <c r="C18" s="2"/>
      <c r="D18" s="2"/>
      <c r="E18" s="2"/>
      <c r="F18" s="2"/>
      <c r="G18" s="2"/>
      <c r="H18" s="2"/>
    </row>
  </sheetData>
  <mergeCells count="2">
    <mergeCell ref="B10:H16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5" customWidth="1"/>
    <col min="3" max="6" width="20" customWidth="1"/>
  </cols>
  <sheetData>
    <row r="2" spans="2:3" x14ac:dyDescent="0.25">
      <c r="B2" s="3" t="s">
        <v>2</v>
      </c>
      <c r="C2" s="4" t="s">
        <v>3</v>
      </c>
    </row>
    <row r="4" spans="2:5" x14ac:dyDescent="0.25">
      <c r="B4" s="5" t="s">
        <v>4</v>
      </c>
      <c r="C4" s="5" t="s">
        <v>5</v>
      </c>
      <c r="D4" s="5" t="s">
        <v>3</v>
      </c>
      <c r="E4" s="5" t="s">
        <v>6</v>
      </c>
    </row>
    <row r="5" spans="2:5" x14ac:dyDescent="0.25">
      <c r="B5" s="6" t="s">
        <v>7</v>
      </c>
      <c r="C5" s="6"/>
      <c r="D5" s="6"/>
      <c r="E5" s="6"/>
    </row>
    <row r="6" spans="2:5" x14ac:dyDescent="0.25">
      <c r="B6" s="7" t="s">
        <v>8</v>
      </c>
      <c r="C6" s="8">
        <v>0.3</v>
      </c>
      <c r="D6" s="8">
        <v>0.25</v>
      </c>
      <c r="E6" s="8">
        <v>0.2</v>
      </c>
    </row>
    <row r="7" spans="2:5" x14ac:dyDescent="0.25">
      <c r="B7" s="7" t="s">
        <v>9</v>
      </c>
      <c r="C7" s="9">
        <v>0</v>
      </c>
      <c r="D7" s="9">
        <v>1</v>
      </c>
      <c r="E7" s="9">
        <v>1</v>
      </c>
    </row>
    <row r="8" spans="2:5" x14ac:dyDescent="0.25">
      <c r="B8" s="7" t="s">
        <v>10</v>
      </c>
      <c r="C8" s="8">
        <v>0.15</v>
      </c>
      <c r="D8" s="8">
        <v>0.12</v>
      </c>
      <c r="E8" s="8">
        <v>0.1</v>
      </c>
    </row>
    <row r="9" spans="2:5" x14ac:dyDescent="0.25">
      <c r="B9" s="6" t="s">
        <v>11</v>
      </c>
      <c r="C9" s="6"/>
      <c r="D9" s="6"/>
      <c r="E9" s="6"/>
    </row>
    <row r="10" spans="2:5" x14ac:dyDescent="0.25">
      <c r="B10" s="7" t="s">
        <v>12</v>
      </c>
      <c r="C10" s="10">
        <v>500</v>
      </c>
      <c r="D10" s="10">
        <v>1000</v>
      </c>
      <c r="E10" s="10">
        <v>2000</v>
      </c>
    </row>
    <row r="11" spans="2:5" x14ac:dyDescent="0.25">
      <c r="B11" s="7" t="s">
        <v>13</v>
      </c>
      <c r="C11" s="11">
        <v>2000</v>
      </c>
      <c r="D11" s="11">
        <v>2500</v>
      </c>
      <c r="E11" s="11">
        <v>3500</v>
      </c>
    </row>
    <row r="12" spans="2:5" x14ac:dyDescent="0.25">
      <c r="B12" s="7" t="s">
        <v>14</v>
      </c>
      <c r="C12" s="8">
        <v>0.05</v>
      </c>
      <c r="D12" s="8">
        <v>0.15</v>
      </c>
      <c r="E12" s="8">
        <v>0.25</v>
      </c>
    </row>
    <row r="13" spans="2:5" x14ac:dyDescent="0.25">
      <c r="B13" s="7" t="s">
        <v>15</v>
      </c>
      <c r="C13" s="8">
        <v>0.1</v>
      </c>
      <c r="D13" s="8">
        <v>0.05</v>
      </c>
      <c r="E13" s="8">
        <v>0.02</v>
      </c>
    </row>
    <row r="14" spans="2:5" x14ac:dyDescent="0.25">
      <c r="B14" s="6" t="s">
        <v>16</v>
      </c>
      <c r="C14" s="6"/>
      <c r="D14" s="6"/>
      <c r="E14" s="6"/>
    </row>
    <row r="15" spans="2:5" x14ac:dyDescent="0.25">
      <c r="B15" s="7" t="s">
        <v>17</v>
      </c>
      <c r="C15" s="8">
        <v>0.45</v>
      </c>
      <c r="D15" s="8">
        <v>0.3</v>
      </c>
      <c r="E15" s="8">
        <v>0.2</v>
      </c>
    </row>
    <row r="16" spans="2:5" x14ac:dyDescent="0.25">
      <c r="B16" s="7" t="s">
        <v>18</v>
      </c>
      <c r="C16" s="8">
        <v>0.15</v>
      </c>
      <c r="D16" s="8">
        <v>0.1</v>
      </c>
      <c r="E16" s="8">
        <v>0.08</v>
      </c>
    </row>
    <row r="17" spans="2:5" x14ac:dyDescent="0.25">
      <c r="B17" s="7" t="s">
        <v>19</v>
      </c>
      <c r="C17" s="8">
        <v>0.05</v>
      </c>
      <c r="D17" s="8">
        <v>0.1</v>
      </c>
      <c r="E17" s="8">
        <v>0.15</v>
      </c>
    </row>
    <row r="18" spans="2:5" x14ac:dyDescent="0.25">
      <c r="B18" s="6" t="s">
        <v>20</v>
      </c>
      <c r="C18" s="6"/>
      <c r="D18" s="6"/>
      <c r="E18" s="6"/>
    </row>
    <row r="19" spans="2:5" x14ac:dyDescent="0.25">
      <c r="B19" s="7" t="s">
        <v>21</v>
      </c>
      <c r="C19" s="9">
        <v>45</v>
      </c>
      <c r="D19" s="9">
        <v>30</v>
      </c>
      <c r="E19" s="9">
        <v>15</v>
      </c>
    </row>
    <row r="20" spans="2:5" x14ac:dyDescent="0.25">
      <c r="B20" s="7" t="s">
        <v>22</v>
      </c>
      <c r="C20" s="9">
        <v>20</v>
      </c>
      <c r="D20" s="9">
        <v>12</v>
      </c>
      <c r="E20" s="9">
        <v>5</v>
      </c>
    </row>
    <row r="21" spans="2:5" x14ac:dyDescent="0.25">
      <c r="B21" s="7" t="s">
        <v>23</v>
      </c>
      <c r="C21" s="9">
        <v>15</v>
      </c>
      <c r="D21" s="9">
        <v>30</v>
      </c>
      <c r="E21" s="9">
        <v>45</v>
      </c>
    </row>
  </sheetData>
  <mergeCells count="4">
    <mergeCell ref="B5:E5"/>
    <mergeCell ref="B9:E9"/>
    <mergeCell ref="B14:E14"/>
    <mergeCell ref="B18:E18"/>
  </mergeCells>
  <dataValidations count="1">
    <dataValidation type="list" sqref="C2">
      <formula1>"Worst,Base,Best"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3" width="20" customWidth="1"/>
  </cols>
  <sheetData>
    <row r="2" spans="2:2" x14ac:dyDescent="0.25">
      <c r="B2" s="12" t="s">
        <v>24</v>
      </c>
    </row>
    <row r="4" spans="2:3" x14ac:dyDescent="0.25">
      <c r="B4" s="6" t="s">
        <v>25</v>
      </c>
      <c r="C4" s="6" t="s">
        <v>26</v>
      </c>
    </row>
    <row r="5" spans="2:3" x14ac:dyDescent="0.25">
      <c r="B5" s="7" t="s">
        <v>27</v>
      </c>
      <c r="C5" s="11">
        <v>5000000</v>
      </c>
    </row>
    <row r="6" spans="2:3" x14ac:dyDescent="0.25">
      <c r="B6" s="7" t="s">
        <v>28</v>
      </c>
      <c r="C6" s="11">
        <v>3000000</v>
      </c>
    </row>
    <row r="7" spans="2:3" x14ac:dyDescent="0.25">
      <c r="B7" s="7" t="s">
        <v>29</v>
      </c>
      <c r="C7" s="11">
        <v>1500000</v>
      </c>
    </row>
    <row r="8" spans="2:3" x14ac:dyDescent="0.25">
      <c r="B8" s="7" t="s">
        <v>30</v>
      </c>
      <c r="C8" s="11">
        <v>500000</v>
      </c>
    </row>
    <row r="9" spans="2:3" x14ac:dyDescent="0.25">
      <c r="B9" s="13" t="s">
        <v>31</v>
      </c>
      <c r="C9" s="14">
        <f>SUM(C5:C8)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32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93</v>
      </c>
      <c r="C5" s="15">
        <v>0</v>
      </c>
      <c r="D5" s="15">
        <f>C8</f>
      </c>
      <c r="E5" s="15">
        <f>D8</f>
      </c>
      <c r="F5" s="15">
        <f>E8</f>
      </c>
      <c r="G5" s="15">
        <f>F8</f>
      </c>
      <c r="H5" s="15">
        <f>G8</f>
      </c>
      <c r="I5" s="15">
        <f>H8</f>
      </c>
      <c r="J5" s="15">
        <f>I8</f>
      </c>
      <c r="K5" s="15">
        <f>J8</f>
      </c>
      <c r="L5" s="15">
        <f>K8</f>
      </c>
      <c r="M5" s="15">
        <f>L8</f>
      </c>
      <c r="N5" s="15">
        <f>M8</f>
      </c>
      <c r="O5" s="15">
        <f>N8</f>
      </c>
      <c r="P5" s="15">
        <f>O8</f>
      </c>
      <c r="Q5" s="15">
        <f>P8</f>
      </c>
      <c r="R5" s="15">
        <f>Q8</f>
      </c>
      <c r="S5" s="15">
        <f>R8</f>
      </c>
      <c r="T5" s="15">
        <f>S8</f>
      </c>
      <c r="U5" s="15">
        <f>T8</f>
      </c>
      <c r="V5" s="15">
        <f>U8</f>
      </c>
      <c r="W5" s="15">
        <f>V8</f>
      </c>
      <c r="X5" s="15">
        <f>W8</f>
      </c>
      <c r="Y5" s="15">
        <f>X8</f>
      </c>
      <c r="Z5" s="15">
        <f>Y8</f>
      </c>
      <c r="AA5" s="15">
        <f>Z8</f>
      </c>
      <c r="AB5" s="15">
        <f>AA8</f>
      </c>
      <c r="AC5" s="15">
        <f>AB8</f>
      </c>
      <c r="AD5" s="15">
        <f>AC8</f>
      </c>
      <c r="AE5" s="15">
        <f>AD8</f>
      </c>
      <c r="AF5" s="15">
        <f>AE8</f>
      </c>
      <c r="AG5" s="15">
        <f>AF8</f>
      </c>
      <c r="AH5" s="15">
        <f>AG8</f>
      </c>
      <c r="AI5" s="15">
        <f>AH8</f>
      </c>
      <c r="AJ5" s="15">
        <f>AI8</f>
      </c>
      <c r="AK5" s="15">
        <f>AJ8</f>
      </c>
      <c r="AL5" s="15">
        <f>AK8</f>
      </c>
      <c r="AM5" s="15">
        <f>AL8</f>
      </c>
      <c r="AN5" s="15">
        <f>AM8</f>
      </c>
      <c r="AO5" s="15">
        <f>AN8</f>
      </c>
      <c r="AP5" s="15">
        <f>AO8</f>
      </c>
      <c r="AQ5" s="15">
        <f>AP8</f>
      </c>
      <c r="AR5" s="15">
        <f>AQ8</f>
      </c>
      <c r="AS5" s="15">
        <f>AR8</f>
      </c>
      <c r="AT5" s="15">
        <f>AS8</f>
      </c>
      <c r="AU5" s="15">
        <f>AT8</f>
      </c>
      <c r="AV5" s="15">
        <f>AU8</f>
      </c>
      <c r="AW5" s="15">
        <f>AV8</f>
      </c>
      <c r="AX5" s="15">
        <f>AW8</f>
      </c>
      <c r="AY5" s="15">
        <f>AX8</f>
      </c>
      <c r="AZ5" s="15">
        <f>AY8</f>
      </c>
      <c r="BA5" s="15">
        <f>AZ8</f>
      </c>
      <c r="BB5" s="15">
        <f>BA8</f>
      </c>
      <c r="BC5" s="15">
        <f>BB8</f>
      </c>
      <c r="BD5" s="15">
        <f>BC8</f>
      </c>
      <c r="BE5" s="15">
        <f>BD8</f>
      </c>
      <c r="BF5" s="15">
        <f>BE8</f>
      </c>
      <c r="BG5" s="15">
        <f>BF8</f>
      </c>
      <c r="BH5" s="15">
        <f>BG8</f>
      </c>
      <c r="BI5" s="15">
        <f>BH8</f>
      </c>
      <c r="BJ5" s="15">
        <f>BI8</f>
      </c>
    </row>
    <row r="6" spans="2:62" x14ac:dyDescent="0.25">
      <c r="B6" t="s">
        <v>94</v>
      </c>
      <c r="C6" s="15">
        <f>INDEX(ASSUMPTIONS!$C$10:$E$10, 1, MATCH(ASSUMPTIONS!$C$2, ASSUMPTIONS!$C$4:$E$4, 0)) / 2500</f>
      </c>
      <c r="D6" s="15">
        <f>C6 * (1 + INDEX(ASSUMPTIONS!$C$12:$E$12, 1, MATCH(ASSUMPTIONS!$C$2, ASSUMPTIONS!$C$4:$E$4, 0)))</f>
      </c>
      <c r="E6" s="15">
        <f>D6 * (1 + INDEX(ASSUMPTIONS!$C$12:$E$12, 1, MATCH(ASSUMPTIONS!$C$2, ASSUMPTIONS!$C$4:$E$4, 0)))</f>
      </c>
      <c r="F6" s="15">
        <f>E6 * (1 + INDEX(ASSUMPTIONS!$C$12:$E$12, 1, MATCH(ASSUMPTIONS!$C$2, ASSUMPTIONS!$C$4:$E$4, 0)))</f>
      </c>
      <c r="G6" s="15">
        <f>F6 * (1 + INDEX(ASSUMPTIONS!$C$12:$E$12, 1, MATCH(ASSUMPTIONS!$C$2, ASSUMPTIONS!$C$4:$E$4, 0)))</f>
      </c>
      <c r="H6" s="15">
        <f>G6 * (1 + INDEX(ASSUMPTIONS!$C$12:$E$12, 1, MATCH(ASSUMPTIONS!$C$2, ASSUMPTIONS!$C$4:$E$4, 0)))</f>
      </c>
      <c r="I6" s="15">
        <f>H6 * (1 + INDEX(ASSUMPTIONS!$C$12:$E$12, 1, MATCH(ASSUMPTIONS!$C$2, ASSUMPTIONS!$C$4:$E$4, 0)))</f>
      </c>
      <c r="J6" s="15">
        <f>I6 * (1 + INDEX(ASSUMPTIONS!$C$12:$E$12, 1, MATCH(ASSUMPTIONS!$C$2, ASSUMPTIONS!$C$4:$E$4, 0)))</f>
      </c>
      <c r="K6" s="15">
        <f>J6 * (1 + INDEX(ASSUMPTIONS!$C$12:$E$12, 1, MATCH(ASSUMPTIONS!$C$2, ASSUMPTIONS!$C$4:$E$4, 0)))</f>
      </c>
      <c r="L6" s="15">
        <f>K6 * (1 + INDEX(ASSUMPTIONS!$C$12:$E$12, 1, MATCH(ASSUMPTIONS!$C$2, ASSUMPTIONS!$C$4:$E$4, 0)))</f>
      </c>
      <c r="M6" s="15">
        <f>L6 * (1 + INDEX(ASSUMPTIONS!$C$12:$E$12, 1, MATCH(ASSUMPTIONS!$C$2, ASSUMPTIONS!$C$4:$E$4, 0)))</f>
      </c>
      <c r="N6" s="15">
        <f>M6 * (1 + INDEX(ASSUMPTIONS!$C$12:$E$12, 1, MATCH(ASSUMPTIONS!$C$2, ASSUMPTIONS!$C$4:$E$4, 0)))</f>
      </c>
      <c r="O6" s="15">
        <f>N6 * (1 + INDEX(ASSUMPTIONS!$C$12:$E$12, 1, MATCH(ASSUMPTIONS!$C$2, ASSUMPTIONS!$C$4:$E$4, 0)))</f>
      </c>
      <c r="P6" s="15">
        <f>O6 * (1 + INDEX(ASSUMPTIONS!$C$12:$E$12, 1, MATCH(ASSUMPTIONS!$C$2, ASSUMPTIONS!$C$4:$E$4, 0)))</f>
      </c>
      <c r="Q6" s="15">
        <f>P6 * (1 + INDEX(ASSUMPTIONS!$C$12:$E$12, 1, MATCH(ASSUMPTIONS!$C$2, ASSUMPTIONS!$C$4:$E$4, 0)))</f>
      </c>
      <c r="R6" s="15">
        <f>Q6 * (1 + INDEX(ASSUMPTIONS!$C$12:$E$12, 1, MATCH(ASSUMPTIONS!$C$2, ASSUMPTIONS!$C$4:$E$4, 0)))</f>
      </c>
      <c r="S6" s="15">
        <f>R6 * (1 + INDEX(ASSUMPTIONS!$C$12:$E$12, 1, MATCH(ASSUMPTIONS!$C$2, ASSUMPTIONS!$C$4:$E$4, 0)))</f>
      </c>
      <c r="T6" s="15">
        <f>S6 * (1 + INDEX(ASSUMPTIONS!$C$12:$E$12, 1, MATCH(ASSUMPTIONS!$C$2, ASSUMPTIONS!$C$4:$E$4, 0)))</f>
      </c>
      <c r="U6" s="15">
        <f>T6 * (1 + INDEX(ASSUMPTIONS!$C$12:$E$12, 1, MATCH(ASSUMPTIONS!$C$2, ASSUMPTIONS!$C$4:$E$4, 0)))</f>
      </c>
      <c r="V6" s="15">
        <f>U6 * (1 + INDEX(ASSUMPTIONS!$C$12:$E$12, 1, MATCH(ASSUMPTIONS!$C$2, ASSUMPTIONS!$C$4:$E$4, 0)))</f>
      </c>
      <c r="W6" s="15">
        <f>V6 * (1 + INDEX(ASSUMPTIONS!$C$12:$E$12, 1, MATCH(ASSUMPTIONS!$C$2, ASSUMPTIONS!$C$4:$E$4, 0)))</f>
      </c>
      <c r="X6" s="15">
        <f>W6 * (1 + INDEX(ASSUMPTIONS!$C$12:$E$12, 1, MATCH(ASSUMPTIONS!$C$2, ASSUMPTIONS!$C$4:$E$4, 0)))</f>
      </c>
      <c r="Y6" s="15">
        <f>X6 * (1 + INDEX(ASSUMPTIONS!$C$12:$E$12, 1, MATCH(ASSUMPTIONS!$C$2, ASSUMPTIONS!$C$4:$E$4, 0)))</f>
      </c>
      <c r="Z6" s="15">
        <f>Y6 * (1 + INDEX(ASSUMPTIONS!$C$12:$E$12, 1, MATCH(ASSUMPTIONS!$C$2, ASSUMPTIONS!$C$4:$E$4, 0)))</f>
      </c>
      <c r="AA6" s="15">
        <f>Z6 * (1 + INDEX(ASSUMPTIONS!$C$12:$E$12, 1, MATCH(ASSUMPTIONS!$C$2, ASSUMPTIONS!$C$4:$E$4, 0)))</f>
      </c>
      <c r="AB6" s="15">
        <f>AA6 * (1 + INDEX(ASSUMPTIONS!$C$12:$E$12, 1, MATCH(ASSUMPTIONS!$C$2, ASSUMPTIONS!$C$4:$E$4, 0)))</f>
      </c>
      <c r="AC6" s="15">
        <f>AB6 * (1 + INDEX(ASSUMPTIONS!$C$12:$E$12, 1, MATCH(ASSUMPTIONS!$C$2, ASSUMPTIONS!$C$4:$E$4, 0)))</f>
      </c>
      <c r="AD6" s="15">
        <f>AC6 * (1 + INDEX(ASSUMPTIONS!$C$12:$E$12, 1, MATCH(ASSUMPTIONS!$C$2, ASSUMPTIONS!$C$4:$E$4, 0)))</f>
      </c>
      <c r="AE6" s="15">
        <f>AD6 * (1 + INDEX(ASSUMPTIONS!$C$12:$E$12, 1, MATCH(ASSUMPTIONS!$C$2, ASSUMPTIONS!$C$4:$E$4, 0)))</f>
      </c>
      <c r="AF6" s="15">
        <f>AE6 * (1 + INDEX(ASSUMPTIONS!$C$12:$E$12, 1, MATCH(ASSUMPTIONS!$C$2, ASSUMPTIONS!$C$4:$E$4, 0)))</f>
      </c>
      <c r="AG6" s="15">
        <f>AF6 * (1 + INDEX(ASSUMPTIONS!$C$12:$E$12, 1, MATCH(ASSUMPTIONS!$C$2, ASSUMPTIONS!$C$4:$E$4, 0)))</f>
      </c>
      <c r="AH6" s="15">
        <f>AG6 * (1 + INDEX(ASSUMPTIONS!$C$12:$E$12, 1, MATCH(ASSUMPTIONS!$C$2, ASSUMPTIONS!$C$4:$E$4, 0)))</f>
      </c>
      <c r="AI6" s="15">
        <f>AH6 * (1 + INDEX(ASSUMPTIONS!$C$12:$E$12, 1, MATCH(ASSUMPTIONS!$C$2, ASSUMPTIONS!$C$4:$E$4, 0)))</f>
      </c>
      <c r="AJ6" s="15">
        <f>AI6 * (1 + INDEX(ASSUMPTIONS!$C$12:$E$12, 1, MATCH(ASSUMPTIONS!$C$2, ASSUMPTIONS!$C$4:$E$4, 0)))</f>
      </c>
      <c r="AK6" s="15">
        <f>AJ6 * (1 + INDEX(ASSUMPTIONS!$C$12:$E$12, 1, MATCH(ASSUMPTIONS!$C$2, ASSUMPTIONS!$C$4:$E$4, 0)))</f>
      </c>
      <c r="AL6" s="15">
        <f>AK6 * (1 + INDEX(ASSUMPTIONS!$C$12:$E$12, 1, MATCH(ASSUMPTIONS!$C$2, ASSUMPTIONS!$C$4:$E$4, 0)))</f>
      </c>
      <c r="AM6" s="15">
        <f>AL6 * (1 + INDEX(ASSUMPTIONS!$C$12:$E$12, 1, MATCH(ASSUMPTIONS!$C$2, ASSUMPTIONS!$C$4:$E$4, 0)))</f>
      </c>
      <c r="AN6" s="15">
        <f>AM6 * (1 + INDEX(ASSUMPTIONS!$C$12:$E$12, 1, MATCH(ASSUMPTIONS!$C$2, ASSUMPTIONS!$C$4:$E$4, 0)))</f>
      </c>
      <c r="AO6" s="15">
        <f>AN6 * (1 + INDEX(ASSUMPTIONS!$C$12:$E$12, 1, MATCH(ASSUMPTIONS!$C$2, ASSUMPTIONS!$C$4:$E$4, 0)))</f>
      </c>
      <c r="AP6" s="15">
        <f>AO6 * (1 + INDEX(ASSUMPTIONS!$C$12:$E$12, 1, MATCH(ASSUMPTIONS!$C$2, ASSUMPTIONS!$C$4:$E$4, 0)))</f>
      </c>
      <c r="AQ6" s="15">
        <f>AP6 * (1 + INDEX(ASSUMPTIONS!$C$12:$E$12, 1, MATCH(ASSUMPTIONS!$C$2, ASSUMPTIONS!$C$4:$E$4, 0)))</f>
      </c>
      <c r="AR6" s="15">
        <f>AQ6 * (1 + INDEX(ASSUMPTIONS!$C$12:$E$12, 1, MATCH(ASSUMPTIONS!$C$2, ASSUMPTIONS!$C$4:$E$4, 0)))</f>
      </c>
      <c r="AS6" s="15">
        <f>AR6 * (1 + INDEX(ASSUMPTIONS!$C$12:$E$12, 1, MATCH(ASSUMPTIONS!$C$2, ASSUMPTIONS!$C$4:$E$4, 0)))</f>
      </c>
      <c r="AT6" s="15">
        <f>AS6 * (1 + INDEX(ASSUMPTIONS!$C$12:$E$12, 1, MATCH(ASSUMPTIONS!$C$2, ASSUMPTIONS!$C$4:$E$4, 0)))</f>
      </c>
      <c r="AU6" s="15">
        <f>AT6 * (1 + INDEX(ASSUMPTIONS!$C$12:$E$12, 1, MATCH(ASSUMPTIONS!$C$2, ASSUMPTIONS!$C$4:$E$4, 0)))</f>
      </c>
      <c r="AV6" s="15">
        <f>AU6 * (1 + INDEX(ASSUMPTIONS!$C$12:$E$12, 1, MATCH(ASSUMPTIONS!$C$2, ASSUMPTIONS!$C$4:$E$4, 0)))</f>
      </c>
      <c r="AW6" s="15">
        <f>AV6 * (1 + INDEX(ASSUMPTIONS!$C$12:$E$12, 1, MATCH(ASSUMPTIONS!$C$2, ASSUMPTIONS!$C$4:$E$4, 0)))</f>
      </c>
      <c r="AX6" s="15">
        <f>AW6 * (1 + INDEX(ASSUMPTIONS!$C$12:$E$12, 1, MATCH(ASSUMPTIONS!$C$2, ASSUMPTIONS!$C$4:$E$4, 0)))</f>
      </c>
      <c r="AY6" s="15">
        <f>AX6 * (1 + INDEX(ASSUMPTIONS!$C$12:$E$12, 1, MATCH(ASSUMPTIONS!$C$2, ASSUMPTIONS!$C$4:$E$4, 0)))</f>
      </c>
      <c r="AZ6" s="15">
        <f>AY6 * (1 + INDEX(ASSUMPTIONS!$C$12:$E$12, 1, MATCH(ASSUMPTIONS!$C$2, ASSUMPTIONS!$C$4:$E$4, 0)))</f>
      </c>
      <c r="BA6" s="15">
        <f>AZ6 * (1 + INDEX(ASSUMPTIONS!$C$12:$E$12, 1, MATCH(ASSUMPTIONS!$C$2, ASSUMPTIONS!$C$4:$E$4, 0)))</f>
      </c>
      <c r="BB6" s="15">
        <f>BA6 * (1 + INDEX(ASSUMPTIONS!$C$12:$E$12, 1, MATCH(ASSUMPTIONS!$C$2, ASSUMPTIONS!$C$4:$E$4, 0)))</f>
      </c>
      <c r="BC6" s="15">
        <f>BB6 * (1 + INDEX(ASSUMPTIONS!$C$12:$E$12, 1, MATCH(ASSUMPTIONS!$C$2, ASSUMPTIONS!$C$4:$E$4, 0)))</f>
      </c>
      <c r="BD6" s="15">
        <f>BC6 * (1 + INDEX(ASSUMPTIONS!$C$12:$E$12, 1, MATCH(ASSUMPTIONS!$C$2, ASSUMPTIONS!$C$4:$E$4, 0)))</f>
      </c>
      <c r="BE6" s="15">
        <f>BD6 * (1 + INDEX(ASSUMPTIONS!$C$12:$E$12, 1, MATCH(ASSUMPTIONS!$C$2, ASSUMPTIONS!$C$4:$E$4, 0)))</f>
      </c>
      <c r="BF6" s="15">
        <f>BE6 * (1 + INDEX(ASSUMPTIONS!$C$12:$E$12, 1, MATCH(ASSUMPTIONS!$C$2, ASSUMPTIONS!$C$4:$E$4, 0)))</f>
      </c>
      <c r="BG6" s="15">
        <f>BF6 * (1 + INDEX(ASSUMPTIONS!$C$12:$E$12, 1, MATCH(ASSUMPTIONS!$C$2, ASSUMPTIONS!$C$4:$E$4, 0)))</f>
      </c>
      <c r="BH6" s="15">
        <f>BG6 * (1 + INDEX(ASSUMPTIONS!$C$12:$E$12, 1, MATCH(ASSUMPTIONS!$C$2, ASSUMPTIONS!$C$4:$E$4, 0)))</f>
      </c>
      <c r="BI6" s="15">
        <f>BH6 * (1 + INDEX(ASSUMPTIONS!$C$12:$E$12, 1, MATCH(ASSUMPTIONS!$C$2, ASSUMPTIONS!$C$4:$E$4, 0)))</f>
      </c>
      <c r="BJ6" s="15">
        <f>BI6 * (1 + INDEX(ASSUMPTIONS!$C$12:$E$12, 1, MATCH(ASSUMPTIONS!$C$2, ASSUMPTIONS!$C$4:$E$4, 0)))</f>
      </c>
    </row>
    <row r="7" spans="2:62" x14ac:dyDescent="0.25">
      <c r="B7" t="s">
        <v>95</v>
      </c>
      <c r="C7" s="15">
        <f>C5 * INDEX(ASSUMPTIONS!$C$13:$E$13, 1, MATCH(ASSUMPTIONS!$C$2, ASSUMPTIONS!$C$4:$E$4, 0))</f>
      </c>
      <c r="D7" s="15">
        <f>D5 * INDEX(ASSUMPTIONS!$C$13:$E$13, 1, MATCH(ASSUMPTIONS!$C$2, ASSUMPTIONS!$C$4:$E$4, 0))</f>
      </c>
      <c r="E7" s="15">
        <f>E5 * INDEX(ASSUMPTIONS!$C$13:$E$13, 1, MATCH(ASSUMPTIONS!$C$2, ASSUMPTIONS!$C$4:$E$4, 0))</f>
      </c>
      <c r="F7" s="15">
        <f>F5 * INDEX(ASSUMPTIONS!$C$13:$E$13, 1, MATCH(ASSUMPTIONS!$C$2, ASSUMPTIONS!$C$4:$E$4, 0))</f>
      </c>
      <c r="G7" s="15">
        <f>G5 * INDEX(ASSUMPTIONS!$C$13:$E$13, 1, MATCH(ASSUMPTIONS!$C$2, ASSUMPTIONS!$C$4:$E$4, 0))</f>
      </c>
      <c r="H7" s="15">
        <f>H5 * INDEX(ASSUMPTIONS!$C$13:$E$13, 1, MATCH(ASSUMPTIONS!$C$2, ASSUMPTIONS!$C$4:$E$4, 0))</f>
      </c>
      <c r="I7" s="15">
        <f>I5 * INDEX(ASSUMPTIONS!$C$13:$E$13, 1, MATCH(ASSUMPTIONS!$C$2, ASSUMPTIONS!$C$4:$E$4, 0))</f>
      </c>
      <c r="J7" s="15">
        <f>J5 * INDEX(ASSUMPTIONS!$C$13:$E$13, 1, MATCH(ASSUMPTIONS!$C$2, ASSUMPTIONS!$C$4:$E$4, 0))</f>
      </c>
      <c r="K7" s="15">
        <f>K5 * INDEX(ASSUMPTIONS!$C$13:$E$13, 1, MATCH(ASSUMPTIONS!$C$2, ASSUMPTIONS!$C$4:$E$4, 0))</f>
      </c>
      <c r="L7" s="15">
        <f>L5 * INDEX(ASSUMPTIONS!$C$13:$E$13, 1, MATCH(ASSUMPTIONS!$C$2, ASSUMPTIONS!$C$4:$E$4, 0))</f>
      </c>
      <c r="M7" s="15">
        <f>M5 * INDEX(ASSUMPTIONS!$C$13:$E$13, 1, MATCH(ASSUMPTIONS!$C$2, ASSUMPTIONS!$C$4:$E$4, 0))</f>
      </c>
      <c r="N7" s="15">
        <f>N5 * INDEX(ASSUMPTIONS!$C$13:$E$13, 1, MATCH(ASSUMPTIONS!$C$2, ASSUMPTIONS!$C$4:$E$4, 0))</f>
      </c>
      <c r="O7" s="15">
        <f>O5 * INDEX(ASSUMPTIONS!$C$13:$E$13, 1, MATCH(ASSUMPTIONS!$C$2, ASSUMPTIONS!$C$4:$E$4, 0))</f>
      </c>
      <c r="P7" s="15">
        <f>P5 * INDEX(ASSUMPTIONS!$C$13:$E$13, 1, MATCH(ASSUMPTIONS!$C$2, ASSUMPTIONS!$C$4:$E$4, 0))</f>
      </c>
      <c r="Q7" s="15">
        <f>Q5 * INDEX(ASSUMPTIONS!$C$13:$E$13, 1, MATCH(ASSUMPTIONS!$C$2, ASSUMPTIONS!$C$4:$E$4, 0))</f>
      </c>
      <c r="R7" s="15">
        <f>R5 * INDEX(ASSUMPTIONS!$C$13:$E$13, 1, MATCH(ASSUMPTIONS!$C$2, ASSUMPTIONS!$C$4:$E$4, 0))</f>
      </c>
      <c r="S7" s="15">
        <f>S5 * INDEX(ASSUMPTIONS!$C$13:$E$13, 1, MATCH(ASSUMPTIONS!$C$2, ASSUMPTIONS!$C$4:$E$4, 0))</f>
      </c>
      <c r="T7" s="15">
        <f>T5 * INDEX(ASSUMPTIONS!$C$13:$E$13, 1, MATCH(ASSUMPTIONS!$C$2, ASSUMPTIONS!$C$4:$E$4, 0))</f>
      </c>
      <c r="U7" s="15">
        <f>U5 * INDEX(ASSUMPTIONS!$C$13:$E$13, 1, MATCH(ASSUMPTIONS!$C$2, ASSUMPTIONS!$C$4:$E$4, 0))</f>
      </c>
      <c r="V7" s="15">
        <f>V5 * INDEX(ASSUMPTIONS!$C$13:$E$13, 1, MATCH(ASSUMPTIONS!$C$2, ASSUMPTIONS!$C$4:$E$4, 0))</f>
      </c>
      <c r="W7" s="15">
        <f>W5 * INDEX(ASSUMPTIONS!$C$13:$E$13, 1, MATCH(ASSUMPTIONS!$C$2, ASSUMPTIONS!$C$4:$E$4, 0))</f>
      </c>
      <c r="X7" s="15">
        <f>X5 * INDEX(ASSUMPTIONS!$C$13:$E$13, 1, MATCH(ASSUMPTIONS!$C$2, ASSUMPTIONS!$C$4:$E$4, 0))</f>
      </c>
      <c r="Y7" s="15">
        <f>Y5 * INDEX(ASSUMPTIONS!$C$13:$E$13, 1, MATCH(ASSUMPTIONS!$C$2, ASSUMPTIONS!$C$4:$E$4, 0))</f>
      </c>
      <c r="Z7" s="15">
        <f>Z5 * INDEX(ASSUMPTIONS!$C$13:$E$13, 1, MATCH(ASSUMPTIONS!$C$2, ASSUMPTIONS!$C$4:$E$4, 0))</f>
      </c>
      <c r="AA7" s="15">
        <f>AA5 * INDEX(ASSUMPTIONS!$C$13:$E$13, 1, MATCH(ASSUMPTIONS!$C$2, ASSUMPTIONS!$C$4:$E$4, 0))</f>
      </c>
      <c r="AB7" s="15">
        <f>AB5 * INDEX(ASSUMPTIONS!$C$13:$E$13, 1, MATCH(ASSUMPTIONS!$C$2, ASSUMPTIONS!$C$4:$E$4, 0))</f>
      </c>
      <c r="AC7" s="15">
        <f>AC5 * INDEX(ASSUMPTIONS!$C$13:$E$13, 1, MATCH(ASSUMPTIONS!$C$2, ASSUMPTIONS!$C$4:$E$4, 0))</f>
      </c>
      <c r="AD7" s="15">
        <f>AD5 * INDEX(ASSUMPTIONS!$C$13:$E$13, 1, MATCH(ASSUMPTIONS!$C$2, ASSUMPTIONS!$C$4:$E$4, 0))</f>
      </c>
      <c r="AE7" s="15">
        <f>AE5 * INDEX(ASSUMPTIONS!$C$13:$E$13, 1, MATCH(ASSUMPTIONS!$C$2, ASSUMPTIONS!$C$4:$E$4, 0))</f>
      </c>
      <c r="AF7" s="15">
        <f>AF5 * INDEX(ASSUMPTIONS!$C$13:$E$13, 1, MATCH(ASSUMPTIONS!$C$2, ASSUMPTIONS!$C$4:$E$4, 0))</f>
      </c>
      <c r="AG7" s="15">
        <f>AG5 * INDEX(ASSUMPTIONS!$C$13:$E$13, 1, MATCH(ASSUMPTIONS!$C$2, ASSUMPTIONS!$C$4:$E$4, 0))</f>
      </c>
      <c r="AH7" s="15">
        <f>AH5 * INDEX(ASSUMPTIONS!$C$13:$E$13, 1, MATCH(ASSUMPTIONS!$C$2, ASSUMPTIONS!$C$4:$E$4, 0))</f>
      </c>
      <c r="AI7" s="15">
        <f>AI5 * INDEX(ASSUMPTIONS!$C$13:$E$13, 1, MATCH(ASSUMPTIONS!$C$2, ASSUMPTIONS!$C$4:$E$4, 0))</f>
      </c>
      <c r="AJ7" s="15">
        <f>AJ5 * INDEX(ASSUMPTIONS!$C$13:$E$13, 1, MATCH(ASSUMPTIONS!$C$2, ASSUMPTIONS!$C$4:$E$4, 0))</f>
      </c>
      <c r="AK7" s="15">
        <f>AK5 * INDEX(ASSUMPTIONS!$C$13:$E$13, 1, MATCH(ASSUMPTIONS!$C$2, ASSUMPTIONS!$C$4:$E$4, 0))</f>
      </c>
      <c r="AL7" s="15">
        <f>AL5 * INDEX(ASSUMPTIONS!$C$13:$E$13, 1, MATCH(ASSUMPTIONS!$C$2, ASSUMPTIONS!$C$4:$E$4, 0))</f>
      </c>
      <c r="AM7" s="15">
        <f>AM5 * INDEX(ASSUMPTIONS!$C$13:$E$13, 1, MATCH(ASSUMPTIONS!$C$2, ASSUMPTIONS!$C$4:$E$4, 0))</f>
      </c>
      <c r="AN7" s="15">
        <f>AN5 * INDEX(ASSUMPTIONS!$C$13:$E$13, 1, MATCH(ASSUMPTIONS!$C$2, ASSUMPTIONS!$C$4:$E$4, 0))</f>
      </c>
      <c r="AO7" s="15">
        <f>AO5 * INDEX(ASSUMPTIONS!$C$13:$E$13, 1, MATCH(ASSUMPTIONS!$C$2, ASSUMPTIONS!$C$4:$E$4, 0))</f>
      </c>
      <c r="AP7" s="15">
        <f>AP5 * INDEX(ASSUMPTIONS!$C$13:$E$13, 1, MATCH(ASSUMPTIONS!$C$2, ASSUMPTIONS!$C$4:$E$4, 0))</f>
      </c>
      <c r="AQ7" s="15">
        <f>AQ5 * INDEX(ASSUMPTIONS!$C$13:$E$13, 1, MATCH(ASSUMPTIONS!$C$2, ASSUMPTIONS!$C$4:$E$4, 0))</f>
      </c>
      <c r="AR7" s="15">
        <f>AR5 * INDEX(ASSUMPTIONS!$C$13:$E$13, 1, MATCH(ASSUMPTIONS!$C$2, ASSUMPTIONS!$C$4:$E$4, 0))</f>
      </c>
      <c r="AS7" s="15">
        <f>AS5 * INDEX(ASSUMPTIONS!$C$13:$E$13, 1, MATCH(ASSUMPTIONS!$C$2, ASSUMPTIONS!$C$4:$E$4, 0))</f>
      </c>
      <c r="AT7" s="15">
        <f>AT5 * INDEX(ASSUMPTIONS!$C$13:$E$13, 1, MATCH(ASSUMPTIONS!$C$2, ASSUMPTIONS!$C$4:$E$4, 0))</f>
      </c>
      <c r="AU7" s="15">
        <f>AU5 * INDEX(ASSUMPTIONS!$C$13:$E$13, 1, MATCH(ASSUMPTIONS!$C$2, ASSUMPTIONS!$C$4:$E$4, 0))</f>
      </c>
      <c r="AV7" s="15">
        <f>AV5 * INDEX(ASSUMPTIONS!$C$13:$E$13, 1, MATCH(ASSUMPTIONS!$C$2, ASSUMPTIONS!$C$4:$E$4, 0))</f>
      </c>
      <c r="AW7" s="15">
        <f>AW5 * INDEX(ASSUMPTIONS!$C$13:$E$13, 1, MATCH(ASSUMPTIONS!$C$2, ASSUMPTIONS!$C$4:$E$4, 0))</f>
      </c>
      <c r="AX7" s="15">
        <f>AX5 * INDEX(ASSUMPTIONS!$C$13:$E$13, 1, MATCH(ASSUMPTIONS!$C$2, ASSUMPTIONS!$C$4:$E$4, 0))</f>
      </c>
      <c r="AY7" s="15">
        <f>AY5 * INDEX(ASSUMPTIONS!$C$13:$E$13, 1, MATCH(ASSUMPTIONS!$C$2, ASSUMPTIONS!$C$4:$E$4, 0))</f>
      </c>
      <c r="AZ7" s="15">
        <f>AZ5 * INDEX(ASSUMPTIONS!$C$13:$E$13, 1, MATCH(ASSUMPTIONS!$C$2, ASSUMPTIONS!$C$4:$E$4, 0))</f>
      </c>
      <c r="BA7" s="15">
        <f>BA5 * INDEX(ASSUMPTIONS!$C$13:$E$13, 1, MATCH(ASSUMPTIONS!$C$2, ASSUMPTIONS!$C$4:$E$4, 0))</f>
      </c>
      <c r="BB7" s="15">
        <f>BB5 * INDEX(ASSUMPTIONS!$C$13:$E$13, 1, MATCH(ASSUMPTIONS!$C$2, ASSUMPTIONS!$C$4:$E$4, 0))</f>
      </c>
      <c r="BC7" s="15">
        <f>BC5 * INDEX(ASSUMPTIONS!$C$13:$E$13, 1, MATCH(ASSUMPTIONS!$C$2, ASSUMPTIONS!$C$4:$E$4, 0))</f>
      </c>
      <c r="BD7" s="15">
        <f>BD5 * INDEX(ASSUMPTIONS!$C$13:$E$13, 1, MATCH(ASSUMPTIONS!$C$2, ASSUMPTIONS!$C$4:$E$4, 0))</f>
      </c>
      <c r="BE7" s="15">
        <f>BE5 * INDEX(ASSUMPTIONS!$C$13:$E$13, 1, MATCH(ASSUMPTIONS!$C$2, ASSUMPTIONS!$C$4:$E$4, 0))</f>
      </c>
      <c r="BF7" s="15">
        <f>BF5 * INDEX(ASSUMPTIONS!$C$13:$E$13, 1, MATCH(ASSUMPTIONS!$C$2, ASSUMPTIONS!$C$4:$E$4, 0))</f>
      </c>
      <c r="BG7" s="15">
        <f>BG5 * INDEX(ASSUMPTIONS!$C$13:$E$13, 1, MATCH(ASSUMPTIONS!$C$2, ASSUMPTIONS!$C$4:$E$4, 0))</f>
      </c>
      <c r="BH7" s="15">
        <f>BH5 * INDEX(ASSUMPTIONS!$C$13:$E$13, 1, MATCH(ASSUMPTIONS!$C$2, ASSUMPTIONS!$C$4:$E$4, 0))</f>
      </c>
      <c r="BI7" s="15">
        <f>BI5 * INDEX(ASSUMPTIONS!$C$13:$E$13, 1, MATCH(ASSUMPTIONS!$C$2, ASSUMPTIONS!$C$4:$E$4, 0))</f>
      </c>
      <c r="BJ7" s="15">
        <f>BJ5 * INDEX(ASSUMPTIONS!$C$13:$E$13, 1, MATCH(ASSUMPTIONS!$C$2, ASSUMPTIONS!$C$4:$E$4, 0))</f>
      </c>
    </row>
    <row r="8" spans="2:62" x14ac:dyDescent="0.25">
      <c r="B8" s="16" t="s">
        <v>96</v>
      </c>
      <c r="C8" s="15">
        <f>C5 + C6 - C7</f>
      </c>
      <c r="D8" s="15">
        <f>D5 + D6 - D7</f>
      </c>
      <c r="E8" s="15">
        <f>E5 + E6 - E7</f>
      </c>
      <c r="F8" s="15">
        <f>F5 + F6 - F7</f>
      </c>
      <c r="G8" s="15">
        <f>G5 + G6 - G7</f>
      </c>
      <c r="H8" s="15">
        <f>H5 + H6 - H7</f>
      </c>
      <c r="I8" s="15">
        <f>I5 + I6 - I7</f>
      </c>
      <c r="J8" s="15">
        <f>J5 + J6 - J7</f>
      </c>
      <c r="K8" s="15">
        <f>K5 + K6 - K7</f>
      </c>
      <c r="L8" s="15">
        <f>L5 + L6 - L7</f>
      </c>
      <c r="M8" s="15">
        <f>M5 + M6 - M7</f>
      </c>
      <c r="N8" s="15">
        <f>N5 + N6 - N7</f>
      </c>
      <c r="O8" s="15">
        <f>O5 + O6 - O7</f>
      </c>
      <c r="P8" s="15">
        <f>P5 + P6 - P7</f>
      </c>
      <c r="Q8" s="15">
        <f>Q5 + Q6 - Q7</f>
      </c>
      <c r="R8" s="15">
        <f>R5 + R6 - R7</f>
      </c>
      <c r="S8" s="15">
        <f>S5 + S6 - S7</f>
      </c>
      <c r="T8" s="15">
        <f>T5 + T6 - T7</f>
      </c>
      <c r="U8" s="15">
        <f>U5 + U6 - U7</f>
      </c>
      <c r="V8" s="15">
        <f>V5 + V6 - V7</f>
      </c>
      <c r="W8" s="15">
        <f>W5 + W6 - W7</f>
      </c>
      <c r="X8" s="15">
        <f>X5 + X6 - X7</f>
      </c>
      <c r="Y8" s="15">
        <f>Y5 + Y6 - Y7</f>
      </c>
      <c r="Z8" s="15">
        <f>Z5 + Z6 - Z7</f>
      </c>
      <c r="AA8" s="15">
        <f>AA5 + AA6 - AA7</f>
      </c>
      <c r="AB8" s="15">
        <f>AB5 + AB6 - AB7</f>
      </c>
      <c r="AC8" s="15">
        <f>AC5 + AC6 - AC7</f>
      </c>
      <c r="AD8" s="15">
        <f>AD5 + AD6 - AD7</f>
      </c>
      <c r="AE8" s="15">
        <f>AE5 + AE6 - AE7</f>
      </c>
      <c r="AF8" s="15">
        <f>AF5 + AF6 - AF7</f>
      </c>
      <c r="AG8" s="15">
        <f>AG5 + AG6 - AG7</f>
      </c>
      <c r="AH8" s="15">
        <f>AH5 + AH6 - AH7</f>
      </c>
      <c r="AI8" s="15">
        <f>AI5 + AI6 - AI7</f>
      </c>
      <c r="AJ8" s="15">
        <f>AJ5 + AJ6 - AJ7</f>
      </c>
      <c r="AK8" s="15">
        <f>AK5 + AK6 - AK7</f>
      </c>
      <c r="AL8" s="15">
        <f>AL5 + AL6 - AL7</f>
      </c>
      <c r="AM8" s="15">
        <f>AM5 + AM6 - AM7</f>
      </c>
      <c r="AN8" s="15">
        <f>AN5 + AN6 - AN7</f>
      </c>
      <c r="AO8" s="15">
        <f>AO5 + AO6 - AO7</f>
      </c>
      <c r="AP8" s="15">
        <f>AP5 + AP6 - AP7</f>
      </c>
      <c r="AQ8" s="15">
        <f>AQ5 + AQ6 - AQ7</f>
      </c>
      <c r="AR8" s="15">
        <f>AR5 + AR6 - AR7</f>
      </c>
      <c r="AS8" s="15">
        <f>AS5 + AS6 - AS7</f>
      </c>
      <c r="AT8" s="15">
        <f>AT5 + AT6 - AT7</f>
      </c>
      <c r="AU8" s="15">
        <f>AU5 + AU6 - AU7</f>
      </c>
      <c r="AV8" s="15">
        <f>AV5 + AV6 - AV7</f>
      </c>
      <c r="AW8" s="15">
        <f>AW5 + AW6 - AW7</f>
      </c>
      <c r="AX8" s="15">
        <f>AX5 + AX6 - AX7</f>
      </c>
      <c r="AY8" s="15">
        <f>AY5 + AY6 - AY7</f>
      </c>
      <c r="AZ8" s="15">
        <f>AZ5 + AZ6 - AZ7</f>
      </c>
      <c r="BA8" s="15">
        <f>BA5 + BA6 - BA7</f>
      </c>
      <c r="BB8" s="15">
        <f>BB5 + BB6 - BB7</f>
      </c>
      <c r="BC8" s="15">
        <f>BC5 + BC6 - BC7</f>
      </c>
      <c r="BD8" s="15">
        <f>BD5 + BD6 - BD7</f>
      </c>
      <c r="BE8" s="15">
        <f>BE5 + BE6 - BE7</f>
      </c>
      <c r="BF8" s="15">
        <f>BF5 + BF6 - BF7</f>
      </c>
      <c r="BG8" s="15">
        <f>BG5 + BG6 - BG7</f>
      </c>
      <c r="BH8" s="15">
        <f>BH5 + BH6 - BH7</f>
      </c>
      <c r="BI8" s="15">
        <f>BI5 + BI6 - BI7</f>
      </c>
      <c r="BJ8" s="15">
        <f>BJ5 + BJ6 -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97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98</v>
      </c>
      <c r="C5" s="17">
        <v>2500</v>
      </c>
      <c r="D5" s="17">
        <v>2500</v>
      </c>
      <c r="E5" s="17">
        <v>2500</v>
      </c>
      <c r="F5" s="17">
        <v>2500</v>
      </c>
      <c r="G5" s="17">
        <v>2500</v>
      </c>
      <c r="H5" s="17">
        <v>2500</v>
      </c>
      <c r="I5" s="17">
        <v>2500</v>
      </c>
      <c r="J5" s="17">
        <v>2500</v>
      </c>
      <c r="K5" s="17">
        <v>2500</v>
      </c>
      <c r="L5" s="17">
        <v>2500</v>
      </c>
      <c r="M5" s="17">
        <v>2500</v>
      </c>
      <c r="N5" s="17">
        <v>2500</v>
      </c>
      <c r="O5" s="17">
        <v>2500</v>
      </c>
      <c r="P5" s="17">
        <v>2500</v>
      </c>
      <c r="Q5" s="17">
        <v>2500</v>
      </c>
      <c r="R5" s="17">
        <v>2500</v>
      </c>
      <c r="S5" s="17">
        <v>2500</v>
      </c>
      <c r="T5" s="17">
        <v>2500</v>
      </c>
      <c r="U5" s="17">
        <v>2500</v>
      </c>
      <c r="V5" s="17">
        <v>2500</v>
      </c>
      <c r="W5" s="17">
        <v>2500</v>
      </c>
      <c r="X5" s="17">
        <v>2500</v>
      </c>
      <c r="Y5" s="17">
        <v>2500</v>
      </c>
      <c r="Z5" s="17">
        <v>2500</v>
      </c>
      <c r="AA5" s="17">
        <v>2500</v>
      </c>
      <c r="AB5" s="17">
        <v>2500</v>
      </c>
      <c r="AC5" s="17">
        <v>2500</v>
      </c>
      <c r="AD5" s="17">
        <v>2500</v>
      </c>
      <c r="AE5" s="17">
        <v>2500</v>
      </c>
      <c r="AF5" s="17">
        <v>2500</v>
      </c>
      <c r="AG5" s="17">
        <v>2500</v>
      </c>
      <c r="AH5" s="17">
        <v>2500</v>
      </c>
      <c r="AI5" s="17">
        <v>2500</v>
      </c>
      <c r="AJ5" s="17">
        <v>2500</v>
      </c>
      <c r="AK5" s="17">
        <v>2500</v>
      </c>
      <c r="AL5" s="17">
        <v>2500</v>
      </c>
      <c r="AM5" s="17">
        <v>2500</v>
      </c>
      <c r="AN5" s="17">
        <v>2500</v>
      </c>
      <c r="AO5" s="17">
        <v>2500</v>
      </c>
      <c r="AP5" s="17">
        <v>2500</v>
      </c>
      <c r="AQ5" s="17">
        <v>2500</v>
      </c>
      <c r="AR5" s="17">
        <v>2500</v>
      </c>
      <c r="AS5" s="17">
        <v>2500</v>
      </c>
      <c r="AT5" s="17">
        <v>2500</v>
      </c>
      <c r="AU5" s="17">
        <v>2500</v>
      </c>
      <c r="AV5" s="17">
        <v>2500</v>
      </c>
      <c r="AW5" s="17">
        <v>2500</v>
      </c>
      <c r="AX5" s="17">
        <v>2500</v>
      </c>
      <c r="AY5" s="17">
        <v>2500</v>
      </c>
      <c r="AZ5" s="17">
        <v>2500</v>
      </c>
      <c r="BA5" s="17">
        <v>2500</v>
      </c>
      <c r="BB5" s="17">
        <v>2500</v>
      </c>
      <c r="BC5" s="17">
        <v>2500</v>
      </c>
      <c r="BD5" s="17">
        <v>2500</v>
      </c>
      <c r="BE5" s="17">
        <v>2500</v>
      </c>
      <c r="BF5" s="17">
        <v>2500</v>
      </c>
      <c r="BG5" s="17">
        <v>2500</v>
      </c>
      <c r="BH5" s="17">
        <v>2500</v>
      </c>
      <c r="BI5" s="17">
        <v>2500</v>
      </c>
      <c r="BJ5" s="17">
        <v>2500</v>
      </c>
    </row>
    <row r="6" spans="2:62" x14ac:dyDescent="0.25">
      <c r="B6" s="16" t="s">
        <v>99</v>
      </c>
      <c r="C6" s="17">
        <f>'SUBSCRIBER_FUNNEL'!C8 * C5</f>
      </c>
      <c r="D6" s="17">
        <f>'SUBSCRIBER_FUNNEL'!D8 * D5</f>
      </c>
      <c r="E6" s="17">
        <f>'SUBSCRIBER_FUNNEL'!E8 * E5</f>
      </c>
      <c r="F6" s="17">
        <f>'SUBSCRIBER_FUNNEL'!F8 * F5</f>
      </c>
      <c r="G6" s="17">
        <f>'SUBSCRIBER_FUNNEL'!G8 * G5</f>
      </c>
      <c r="H6" s="17">
        <f>'SUBSCRIBER_FUNNEL'!H8 * H5</f>
      </c>
      <c r="I6" s="17">
        <f>'SUBSCRIBER_FUNNEL'!I8 * I5</f>
      </c>
      <c r="J6" s="17">
        <f>'SUBSCRIBER_FUNNEL'!J8 * J5</f>
      </c>
      <c r="K6" s="17">
        <f>'SUBSCRIBER_FUNNEL'!K8 * K5</f>
      </c>
      <c r="L6" s="17">
        <f>'SUBSCRIBER_FUNNEL'!L8 * L5</f>
      </c>
      <c r="M6" s="17">
        <f>'SUBSCRIBER_FUNNEL'!M8 * M5</f>
      </c>
      <c r="N6" s="17">
        <f>'SUBSCRIBER_FUNNEL'!N8 * N5</f>
      </c>
      <c r="O6" s="17">
        <f>'SUBSCRIBER_FUNNEL'!O8 * O5</f>
      </c>
      <c r="P6" s="17">
        <f>'SUBSCRIBER_FUNNEL'!P8 * P5</f>
      </c>
      <c r="Q6" s="17">
        <f>'SUBSCRIBER_FUNNEL'!Q8 * Q5</f>
      </c>
      <c r="R6" s="17">
        <f>'SUBSCRIBER_FUNNEL'!R8 * R5</f>
      </c>
      <c r="S6" s="17">
        <f>'SUBSCRIBER_FUNNEL'!S8 * S5</f>
      </c>
      <c r="T6" s="17">
        <f>'SUBSCRIBER_FUNNEL'!T8 * T5</f>
      </c>
      <c r="U6" s="17">
        <f>'SUBSCRIBER_FUNNEL'!U8 * U5</f>
      </c>
      <c r="V6" s="17">
        <f>'SUBSCRIBER_FUNNEL'!V8 * V5</f>
      </c>
      <c r="W6" s="17">
        <f>'SUBSCRIBER_FUNNEL'!W8 * W5</f>
      </c>
      <c r="X6" s="17">
        <f>'SUBSCRIBER_FUNNEL'!X8 * X5</f>
      </c>
      <c r="Y6" s="17">
        <f>'SUBSCRIBER_FUNNEL'!Y8 * Y5</f>
      </c>
      <c r="Z6" s="17">
        <f>'SUBSCRIBER_FUNNEL'!Z8 * Z5</f>
      </c>
      <c r="AA6" s="17">
        <f>'SUBSCRIBER_FUNNEL'!AA8 * AA5</f>
      </c>
      <c r="AB6" s="17">
        <f>'SUBSCRIBER_FUNNEL'!AB8 * AB5</f>
      </c>
      <c r="AC6" s="17">
        <f>'SUBSCRIBER_FUNNEL'!AC8 * AC5</f>
      </c>
      <c r="AD6" s="17">
        <f>'SUBSCRIBER_FUNNEL'!AD8 * AD5</f>
      </c>
      <c r="AE6" s="17">
        <f>'SUBSCRIBER_FUNNEL'!AE8 * AE5</f>
      </c>
      <c r="AF6" s="17">
        <f>'SUBSCRIBER_FUNNEL'!AF8 * AF5</f>
      </c>
      <c r="AG6" s="17">
        <f>'SUBSCRIBER_FUNNEL'!AG8 * AG5</f>
      </c>
      <c r="AH6" s="17">
        <f>'SUBSCRIBER_FUNNEL'!AH8 * AH5</f>
      </c>
      <c r="AI6" s="17">
        <f>'SUBSCRIBER_FUNNEL'!AI8 * AI5</f>
      </c>
      <c r="AJ6" s="17">
        <f>'SUBSCRIBER_FUNNEL'!AJ8 * AJ5</f>
      </c>
      <c r="AK6" s="17">
        <f>'SUBSCRIBER_FUNNEL'!AK8 * AK5</f>
      </c>
      <c r="AL6" s="17">
        <f>'SUBSCRIBER_FUNNEL'!AL8 * AL5</f>
      </c>
      <c r="AM6" s="17">
        <f>'SUBSCRIBER_FUNNEL'!AM8 * AM5</f>
      </c>
      <c r="AN6" s="17">
        <f>'SUBSCRIBER_FUNNEL'!AN8 * AN5</f>
      </c>
      <c r="AO6" s="17">
        <f>'SUBSCRIBER_FUNNEL'!AO8 * AO5</f>
      </c>
      <c r="AP6" s="17">
        <f>'SUBSCRIBER_FUNNEL'!AP8 * AP5</f>
      </c>
      <c r="AQ6" s="17">
        <f>'SUBSCRIBER_FUNNEL'!AQ8 * AQ5</f>
      </c>
      <c r="AR6" s="17">
        <f>'SUBSCRIBER_FUNNEL'!AR8 * AR5</f>
      </c>
      <c r="AS6" s="17">
        <f>'SUBSCRIBER_FUNNEL'!AS8 * AS5</f>
      </c>
      <c r="AT6" s="17">
        <f>'SUBSCRIBER_FUNNEL'!AT8 * AT5</f>
      </c>
      <c r="AU6" s="17">
        <f>'SUBSCRIBER_FUNNEL'!AU8 * AU5</f>
      </c>
      <c r="AV6" s="17">
        <f>'SUBSCRIBER_FUNNEL'!AV8 * AV5</f>
      </c>
      <c r="AW6" s="17">
        <f>'SUBSCRIBER_FUNNEL'!AW8 * AW5</f>
      </c>
      <c r="AX6" s="17">
        <f>'SUBSCRIBER_FUNNEL'!AX8 * AX5</f>
      </c>
      <c r="AY6" s="17">
        <f>'SUBSCRIBER_FUNNEL'!AY8 * AY5</f>
      </c>
      <c r="AZ6" s="17">
        <f>'SUBSCRIBER_FUNNEL'!AZ8 * AZ5</f>
      </c>
      <c r="BA6" s="17">
        <f>'SUBSCRIBER_FUNNEL'!BA8 * BA5</f>
      </c>
      <c r="BB6" s="17">
        <f>'SUBSCRIBER_FUNNEL'!BB8 * BB5</f>
      </c>
      <c r="BC6" s="17">
        <f>'SUBSCRIBER_FUNNEL'!BC8 * BC5</f>
      </c>
      <c r="BD6" s="17">
        <f>'SUBSCRIBER_FUNNEL'!BD8 * BD5</f>
      </c>
      <c r="BE6" s="17">
        <f>'SUBSCRIBER_FUNNEL'!BE8 * BE5</f>
      </c>
      <c r="BF6" s="17">
        <f>'SUBSCRIBER_FUNNEL'!BF8 * BF5</f>
      </c>
      <c r="BG6" s="17">
        <f>'SUBSCRIBER_FUNNEL'!BG8 * BG5</f>
      </c>
      <c r="BH6" s="17">
        <f>'SUBSCRIBER_FUNNEL'!BH8 * BH5</f>
      </c>
      <c r="BI6" s="17">
        <f>'SUBSCRIBER_FUNNEL'!BI8 * BI5</f>
      </c>
      <c r="BJ6" s="17">
        <f>'SUBSCRIBER_FUNNEL'!BJ8 * BJ5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100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101</v>
      </c>
      <c r="C5" s="17">
        <f>10000 + (50 * 'SUBSCRIBER_FUNNEL'!C8)</f>
      </c>
      <c r="D5" s="17">
        <f>10000 + (50 * 'SUBSCRIBER_FUNNEL'!D8)</f>
      </c>
      <c r="E5" s="17">
        <f>10000 + (50 * 'SUBSCRIBER_FUNNEL'!E8)</f>
      </c>
      <c r="F5" s="17">
        <f>10000 + (50 * 'SUBSCRIBER_FUNNEL'!F8)</f>
      </c>
      <c r="G5" s="17">
        <f>10000 + (50 * 'SUBSCRIBER_FUNNEL'!G8)</f>
      </c>
      <c r="H5" s="17">
        <f>10000 + (50 * 'SUBSCRIBER_FUNNEL'!H8)</f>
      </c>
      <c r="I5" s="17">
        <f>10000 + (50 * 'SUBSCRIBER_FUNNEL'!I8)</f>
      </c>
      <c r="J5" s="17">
        <f>10000 + (50 * 'SUBSCRIBER_FUNNEL'!J8)</f>
      </c>
      <c r="K5" s="17">
        <f>10000 + (50 * 'SUBSCRIBER_FUNNEL'!K8)</f>
      </c>
      <c r="L5" s="17">
        <f>10000 + (50 * 'SUBSCRIBER_FUNNEL'!L8)</f>
      </c>
      <c r="M5" s="17">
        <f>10000 + (50 * 'SUBSCRIBER_FUNNEL'!M8)</f>
      </c>
      <c r="N5" s="17">
        <f>10000 + (50 * 'SUBSCRIBER_FUNNEL'!N8)</f>
      </c>
      <c r="O5" s="17">
        <f>10000 + (50 * 'SUBSCRIBER_FUNNEL'!O8)</f>
      </c>
      <c r="P5" s="17">
        <f>10000 + (50 * 'SUBSCRIBER_FUNNEL'!P8)</f>
      </c>
      <c r="Q5" s="17">
        <f>10000 + (50 * 'SUBSCRIBER_FUNNEL'!Q8)</f>
      </c>
      <c r="R5" s="17">
        <f>10000 + (50 * 'SUBSCRIBER_FUNNEL'!R8)</f>
      </c>
      <c r="S5" s="17">
        <f>10000 + (50 * 'SUBSCRIBER_FUNNEL'!S8)</f>
      </c>
      <c r="T5" s="17">
        <f>10000 + (50 * 'SUBSCRIBER_FUNNEL'!T8)</f>
      </c>
      <c r="U5" s="17">
        <f>10000 + (50 * 'SUBSCRIBER_FUNNEL'!U8)</f>
      </c>
      <c r="V5" s="17">
        <f>10000 + (50 * 'SUBSCRIBER_FUNNEL'!V8)</f>
      </c>
      <c r="W5" s="17">
        <f>10000 + (50 * 'SUBSCRIBER_FUNNEL'!W8)</f>
      </c>
      <c r="X5" s="17">
        <f>10000 + (50 * 'SUBSCRIBER_FUNNEL'!X8)</f>
      </c>
      <c r="Y5" s="17">
        <f>10000 + (50 * 'SUBSCRIBER_FUNNEL'!Y8)</f>
      </c>
      <c r="Z5" s="17">
        <f>10000 + (50 * 'SUBSCRIBER_FUNNEL'!Z8)</f>
      </c>
      <c r="AA5" s="17">
        <f>10000 + (50 * 'SUBSCRIBER_FUNNEL'!AA8)</f>
      </c>
      <c r="AB5" s="17">
        <f>10000 + (50 * 'SUBSCRIBER_FUNNEL'!AB8)</f>
      </c>
      <c r="AC5" s="17">
        <f>10000 + (50 * 'SUBSCRIBER_FUNNEL'!AC8)</f>
      </c>
      <c r="AD5" s="17">
        <f>10000 + (50 * 'SUBSCRIBER_FUNNEL'!AD8)</f>
      </c>
      <c r="AE5" s="17">
        <f>10000 + (50 * 'SUBSCRIBER_FUNNEL'!AE8)</f>
      </c>
      <c r="AF5" s="17">
        <f>10000 + (50 * 'SUBSCRIBER_FUNNEL'!AF8)</f>
      </c>
      <c r="AG5" s="17">
        <f>10000 + (50 * 'SUBSCRIBER_FUNNEL'!AG8)</f>
      </c>
      <c r="AH5" s="17">
        <f>10000 + (50 * 'SUBSCRIBER_FUNNEL'!AH8)</f>
      </c>
      <c r="AI5" s="17">
        <f>10000 + (50 * 'SUBSCRIBER_FUNNEL'!AI8)</f>
      </c>
      <c r="AJ5" s="17">
        <f>10000 + (50 * 'SUBSCRIBER_FUNNEL'!AJ8)</f>
      </c>
      <c r="AK5" s="17">
        <f>10000 + (50 * 'SUBSCRIBER_FUNNEL'!AK8)</f>
      </c>
      <c r="AL5" s="17">
        <f>10000 + (50 * 'SUBSCRIBER_FUNNEL'!AL8)</f>
      </c>
      <c r="AM5" s="17">
        <f>10000 + (50 * 'SUBSCRIBER_FUNNEL'!AM8)</f>
      </c>
      <c r="AN5" s="17">
        <f>10000 + (50 * 'SUBSCRIBER_FUNNEL'!AN8)</f>
      </c>
      <c r="AO5" s="17">
        <f>10000 + (50 * 'SUBSCRIBER_FUNNEL'!AO8)</f>
      </c>
      <c r="AP5" s="17">
        <f>10000 + (50 * 'SUBSCRIBER_FUNNEL'!AP8)</f>
      </c>
      <c r="AQ5" s="17">
        <f>10000 + (50 * 'SUBSCRIBER_FUNNEL'!AQ8)</f>
      </c>
      <c r="AR5" s="17">
        <f>10000 + (50 * 'SUBSCRIBER_FUNNEL'!AR8)</f>
      </c>
      <c r="AS5" s="17">
        <f>10000 + (50 * 'SUBSCRIBER_FUNNEL'!AS8)</f>
      </c>
      <c r="AT5" s="17">
        <f>10000 + (50 * 'SUBSCRIBER_FUNNEL'!AT8)</f>
      </c>
      <c r="AU5" s="17">
        <f>10000 + (50 * 'SUBSCRIBER_FUNNEL'!AU8)</f>
      </c>
      <c r="AV5" s="17">
        <f>10000 + (50 * 'SUBSCRIBER_FUNNEL'!AV8)</f>
      </c>
      <c r="AW5" s="17">
        <f>10000 + (50 * 'SUBSCRIBER_FUNNEL'!AW8)</f>
      </c>
      <c r="AX5" s="17">
        <f>10000 + (50 * 'SUBSCRIBER_FUNNEL'!AX8)</f>
      </c>
      <c r="AY5" s="17">
        <f>10000 + (50 * 'SUBSCRIBER_FUNNEL'!AY8)</f>
      </c>
      <c r="AZ5" s="17">
        <f>10000 + (50 * 'SUBSCRIBER_FUNNEL'!AZ8)</f>
      </c>
      <c r="BA5" s="17">
        <f>10000 + (50 * 'SUBSCRIBER_FUNNEL'!BA8)</f>
      </c>
      <c r="BB5" s="17">
        <f>10000 + (50 * 'SUBSCRIBER_FUNNEL'!BB8)</f>
      </c>
      <c r="BC5" s="17">
        <f>10000 + (50 * 'SUBSCRIBER_FUNNEL'!BC8)</f>
      </c>
      <c r="BD5" s="17">
        <f>10000 + (50 * 'SUBSCRIBER_FUNNEL'!BD8)</f>
      </c>
      <c r="BE5" s="17">
        <f>10000 + (50 * 'SUBSCRIBER_FUNNEL'!BE8)</f>
      </c>
      <c r="BF5" s="17">
        <f>10000 + (50 * 'SUBSCRIBER_FUNNEL'!BF8)</f>
      </c>
      <c r="BG5" s="17">
        <f>10000 + (50 * 'SUBSCRIBER_FUNNEL'!BG8)</f>
      </c>
      <c r="BH5" s="17">
        <f>10000 + (50 * 'SUBSCRIBER_FUNNEL'!BH8)</f>
      </c>
      <c r="BI5" s="17">
        <f>10000 + (50 * 'SUBSCRIBER_FUNNEL'!BI8)</f>
      </c>
      <c r="BJ5" s="17">
        <f>10000 + (50 * 'SUBSCRIBER_FUNNEL'!BJ8)</f>
      </c>
    </row>
    <row r="6" spans="2:62" x14ac:dyDescent="0.25">
      <c r="B6" t="s">
        <v>102</v>
      </c>
      <c r="C6" s="17">
        <f>0.02 * 'REVENUE_ENGINE'!C6</f>
      </c>
      <c r="D6" s="17">
        <f>0.02 * 'REVENUE_ENGINE'!D6</f>
      </c>
      <c r="E6" s="17">
        <f>0.02 * 'REVENUE_ENGINE'!E6</f>
      </c>
      <c r="F6" s="17">
        <f>0.02 * 'REVENUE_ENGINE'!F6</f>
      </c>
      <c r="G6" s="17">
        <f>0.02 * 'REVENUE_ENGINE'!G6</f>
      </c>
      <c r="H6" s="17">
        <f>0.02 * 'REVENUE_ENGINE'!H6</f>
      </c>
      <c r="I6" s="17">
        <f>0.02 * 'REVENUE_ENGINE'!I6</f>
      </c>
      <c r="J6" s="17">
        <f>0.02 * 'REVENUE_ENGINE'!J6</f>
      </c>
      <c r="K6" s="17">
        <f>0.02 * 'REVENUE_ENGINE'!K6</f>
      </c>
      <c r="L6" s="17">
        <f>0.02 * 'REVENUE_ENGINE'!L6</f>
      </c>
      <c r="M6" s="17">
        <f>0.02 * 'REVENUE_ENGINE'!M6</f>
      </c>
      <c r="N6" s="17">
        <f>0.02 * 'REVENUE_ENGINE'!N6</f>
      </c>
      <c r="O6" s="17">
        <f>0.02 * 'REVENUE_ENGINE'!O6</f>
      </c>
      <c r="P6" s="17">
        <f>0.02 * 'REVENUE_ENGINE'!P6</f>
      </c>
      <c r="Q6" s="17">
        <f>0.02 * 'REVENUE_ENGINE'!Q6</f>
      </c>
      <c r="R6" s="17">
        <f>0.02 * 'REVENUE_ENGINE'!R6</f>
      </c>
      <c r="S6" s="17">
        <f>0.02 * 'REVENUE_ENGINE'!S6</f>
      </c>
      <c r="T6" s="17">
        <f>0.02 * 'REVENUE_ENGINE'!T6</f>
      </c>
      <c r="U6" s="17">
        <f>0.02 * 'REVENUE_ENGINE'!U6</f>
      </c>
      <c r="V6" s="17">
        <f>0.02 * 'REVENUE_ENGINE'!V6</f>
      </c>
      <c r="W6" s="17">
        <f>0.02 * 'REVENUE_ENGINE'!W6</f>
      </c>
      <c r="X6" s="17">
        <f>0.02 * 'REVENUE_ENGINE'!X6</f>
      </c>
      <c r="Y6" s="17">
        <f>0.02 * 'REVENUE_ENGINE'!Y6</f>
      </c>
      <c r="Z6" s="17">
        <f>0.02 * 'REVENUE_ENGINE'!Z6</f>
      </c>
      <c r="AA6" s="17">
        <f>0.02 * 'REVENUE_ENGINE'!AA6</f>
      </c>
      <c r="AB6" s="17">
        <f>0.02 * 'REVENUE_ENGINE'!AB6</f>
      </c>
      <c r="AC6" s="17">
        <f>0.02 * 'REVENUE_ENGINE'!AC6</f>
      </c>
      <c r="AD6" s="17">
        <f>0.02 * 'REVENUE_ENGINE'!AD6</f>
      </c>
      <c r="AE6" s="17">
        <f>0.02 * 'REVENUE_ENGINE'!AE6</f>
      </c>
      <c r="AF6" s="17">
        <f>0.02 * 'REVENUE_ENGINE'!AF6</f>
      </c>
      <c r="AG6" s="17">
        <f>0.02 * 'REVENUE_ENGINE'!AG6</f>
      </c>
      <c r="AH6" s="17">
        <f>0.02 * 'REVENUE_ENGINE'!AH6</f>
      </c>
      <c r="AI6" s="17">
        <f>0.02 * 'REVENUE_ENGINE'!AI6</f>
      </c>
      <c r="AJ6" s="17">
        <f>0.02 * 'REVENUE_ENGINE'!AJ6</f>
      </c>
      <c r="AK6" s="17">
        <f>0.02 * 'REVENUE_ENGINE'!AK6</f>
      </c>
      <c r="AL6" s="17">
        <f>0.02 * 'REVENUE_ENGINE'!AL6</f>
      </c>
      <c r="AM6" s="17">
        <f>0.02 * 'REVENUE_ENGINE'!AM6</f>
      </c>
      <c r="AN6" s="17">
        <f>0.02 * 'REVENUE_ENGINE'!AN6</f>
      </c>
      <c r="AO6" s="17">
        <f>0.02 * 'REVENUE_ENGINE'!AO6</f>
      </c>
      <c r="AP6" s="17">
        <f>0.02 * 'REVENUE_ENGINE'!AP6</f>
      </c>
      <c r="AQ6" s="17">
        <f>0.02 * 'REVENUE_ENGINE'!AQ6</f>
      </c>
      <c r="AR6" s="17">
        <f>0.02 * 'REVENUE_ENGINE'!AR6</f>
      </c>
      <c r="AS6" s="17">
        <f>0.02 * 'REVENUE_ENGINE'!AS6</f>
      </c>
      <c r="AT6" s="17">
        <f>0.02 * 'REVENUE_ENGINE'!AT6</f>
      </c>
      <c r="AU6" s="17">
        <f>0.02 * 'REVENUE_ENGINE'!AU6</f>
      </c>
      <c r="AV6" s="17">
        <f>0.02 * 'REVENUE_ENGINE'!AV6</f>
      </c>
      <c r="AW6" s="17">
        <f>0.02 * 'REVENUE_ENGINE'!AW6</f>
      </c>
      <c r="AX6" s="17">
        <f>0.02 * 'REVENUE_ENGINE'!AX6</f>
      </c>
      <c r="AY6" s="17">
        <f>0.02 * 'REVENUE_ENGINE'!AY6</f>
      </c>
      <c r="AZ6" s="17">
        <f>0.02 * 'REVENUE_ENGINE'!AZ6</f>
      </c>
      <c r="BA6" s="17">
        <f>0.02 * 'REVENUE_ENGINE'!BA6</f>
      </c>
      <c r="BB6" s="17">
        <f>0.02 * 'REVENUE_ENGINE'!BB6</f>
      </c>
      <c r="BC6" s="17">
        <f>0.02 * 'REVENUE_ENGINE'!BC6</f>
      </c>
      <c r="BD6" s="17">
        <f>0.02 * 'REVENUE_ENGINE'!BD6</f>
      </c>
      <c r="BE6" s="17">
        <f>0.02 * 'REVENUE_ENGINE'!BE6</f>
      </c>
      <c r="BF6" s="17">
        <f>0.02 * 'REVENUE_ENGINE'!BF6</f>
      </c>
      <c r="BG6" s="17">
        <f>0.02 * 'REVENUE_ENGINE'!BG6</f>
      </c>
      <c r="BH6" s="17">
        <f>0.02 * 'REVENUE_ENGINE'!BH6</f>
      </c>
      <c r="BI6" s="17">
        <f>0.02 * 'REVENUE_ENGINE'!BI6</f>
      </c>
      <c r="BJ6" s="17">
        <f>0.02 * 'REVENUE_ENGINE'!BJ6</f>
      </c>
    </row>
    <row r="7" spans="2:62" x14ac:dyDescent="0.25">
      <c r="B7" s="16" t="s">
        <v>103</v>
      </c>
      <c r="C7" s="17">
        <f>C5 + C6</f>
      </c>
      <c r="D7" s="17">
        <f>D5 + D6</f>
      </c>
      <c r="E7" s="17">
        <f>E5 + E6</f>
      </c>
      <c r="F7" s="17">
        <f>F5 + F6</f>
      </c>
      <c r="G7" s="17">
        <f>G5 + G6</f>
      </c>
      <c r="H7" s="17">
        <f>H5 + H6</f>
      </c>
      <c r="I7" s="17">
        <f>I5 + I6</f>
      </c>
      <c r="J7" s="17">
        <f>J5 + J6</f>
      </c>
      <c r="K7" s="17">
        <f>K5 + K6</f>
      </c>
      <c r="L7" s="17">
        <f>L5 + L6</f>
      </c>
      <c r="M7" s="17">
        <f>M5 + M6</f>
      </c>
      <c r="N7" s="17">
        <f>N5 + N6</f>
      </c>
      <c r="O7" s="17">
        <f>O5 + O6</f>
      </c>
      <c r="P7" s="17">
        <f>P5 + P6</f>
      </c>
      <c r="Q7" s="17">
        <f>Q5 + Q6</f>
      </c>
      <c r="R7" s="17">
        <f>R5 + R6</f>
      </c>
      <c r="S7" s="17">
        <f>S5 + S6</f>
      </c>
      <c r="T7" s="17">
        <f>T5 + T6</f>
      </c>
      <c r="U7" s="17">
        <f>U5 + U6</f>
      </c>
      <c r="V7" s="17">
        <f>V5 + V6</f>
      </c>
      <c r="W7" s="17">
        <f>W5 + W6</f>
      </c>
      <c r="X7" s="17">
        <f>X5 + X6</f>
      </c>
      <c r="Y7" s="17">
        <f>Y5 + Y6</f>
      </c>
      <c r="Z7" s="17">
        <f>Z5 + Z6</f>
      </c>
      <c r="AA7" s="17">
        <f>AA5 + AA6</f>
      </c>
      <c r="AB7" s="17">
        <f>AB5 + AB6</f>
      </c>
      <c r="AC7" s="17">
        <f>AC5 + AC6</f>
      </c>
      <c r="AD7" s="17">
        <f>AD5 + AD6</f>
      </c>
      <c r="AE7" s="17">
        <f>AE5 + AE6</f>
      </c>
      <c r="AF7" s="17">
        <f>AF5 + AF6</f>
      </c>
      <c r="AG7" s="17">
        <f>AG5 + AG6</f>
      </c>
      <c r="AH7" s="17">
        <f>AH5 + AH6</f>
      </c>
      <c r="AI7" s="17">
        <f>AI5 + AI6</f>
      </c>
      <c r="AJ7" s="17">
        <f>AJ5 + AJ6</f>
      </c>
      <c r="AK7" s="17">
        <f>AK5 + AK6</f>
      </c>
      <c r="AL7" s="17">
        <f>AL5 + AL6</f>
      </c>
      <c r="AM7" s="17">
        <f>AM5 + AM6</f>
      </c>
      <c r="AN7" s="17">
        <f>AN5 + AN6</f>
      </c>
      <c r="AO7" s="17">
        <f>AO5 + AO6</f>
      </c>
      <c r="AP7" s="17">
        <f>AP5 + AP6</f>
      </c>
      <c r="AQ7" s="17">
        <f>AQ5 + AQ6</f>
      </c>
      <c r="AR7" s="17">
        <f>AR5 + AR6</f>
      </c>
      <c r="AS7" s="17">
        <f>AS5 + AS6</f>
      </c>
      <c r="AT7" s="17">
        <f>AT5 + AT6</f>
      </c>
      <c r="AU7" s="17">
        <f>AU5 + AU6</f>
      </c>
      <c r="AV7" s="17">
        <f>AV5 + AV6</f>
      </c>
      <c r="AW7" s="17">
        <f>AW5 + AW6</f>
      </c>
      <c r="AX7" s="17">
        <f>AX5 + AX6</f>
      </c>
      <c r="AY7" s="17">
        <f>AY5 + AY6</f>
      </c>
      <c r="AZ7" s="17">
        <f>AZ5 + AZ6</f>
      </c>
      <c r="BA7" s="17">
        <f>BA5 + BA6</f>
      </c>
      <c r="BB7" s="17">
        <f>BB5 + BB6</f>
      </c>
      <c r="BC7" s="17">
        <f>BC5 + BC6</f>
      </c>
      <c r="BD7" s="17">
        <f>BD5 + BD6</f>
      </c>
      <c r="BE7" s="17">
        <f>BE5 + BE6</f>
      </c>
      <c r="BF7" s="17">
        <f>BF5 + BF6</f>
      </c>
      <c r="BG7" s="17">
        <f>BG5 + BG6</f>
      </c>
      <c r="BH7" s="17">
        <f>BH5 + BH6</f>
      </c>
      <c r="BI7" s="17">
        <f>BI5 + BI6</f>
      </c>
      <c r="BJ7" s="17">
        <f>BJ5 + BJ6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104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105</v>
      </c>
      <c r="C5" s="17">
        <f>300000 * ((1 + INDEX(ASSUMPTIONS!$C$16:$E$16, 1, MATCH(ASSUMPTIONS!$C$2, ASSUMPTIONS!$C$4:$E$4, 0))) ^ 0)</f>
      </c>
      <c r="D5" s="17">
        <f>300000 * ((1 + INDEX(ASSUMPTIONS!$C$16:$E$16, 1, MATCH(ASSUMPTIONS!$C$2, ASSUMPTIONS!$C$4:$E$4, 0))) ^ 0)</f>
      </c>
      <c r="E5" s="17">
        <f>300000 * ((1 + INDEX(ASSUMPTIONS!$C$16:$E$16, 1, MATCH(ASSUMPTIONS!$C$2, ASSUMPTIONS!$C$4:$E$4, 0))) ^ 0)</f>
      </c>
      <c r="F5" s="17">
        <f>300000 * ((1 + INDEX(ASSUMPTIONS!$C$16:$E$16, 1, MATCH(ASSUMPTIONS!$C$2, ASSUMPTIONS!$C$4:$E$4, 0))) ^ 0)</f>
      </c>
      <c r="G5" s="17">
        <f>300000 * ((1 + INDEX(ASSUMPTIONS!$C$16:$E$16, 1, MATCH(ASSUMPTIONS!$C$2, ASSUMPTIONS!$C$4:$E$4, 0))) ^ 0)</f>
      </c>
      <c r="H5" s="17">
        <f>300000 * ((1 + INDEX(ASSUMPTIONS!$C$16:$E$16, 1, MATCH(ASSUMPTIONS!$C$2, ASSUMPTIONS!$C$4:$E$4, 0))) ^ 0)</f>
      </c>
      <c r="I5" s="17">
        <f>300000 * ((1 + INDEX(ASSUMPTIONS!$C$16:$E$16, 1, MATCH(ASSUMPTIONS!$C$2, ASSUMPTIONS!$C$4:$E$4, 0))) ^ 0)</f>
      </c>
      <c r="J5" s="17">
        <f>300000 * ((1 + INDEX(ASSUMPTIONS!$C$16:$E$16, 1, MATCH(ASSUMPTIONS!$C$2, ASSUMPTIONS!$C$4:$E$4, 0))) ^ 0)</f>
      </c>
      <c r="K5" s="17">
        <f>300000 * ((1 + INDEX(ASSUMPTIONS!$C$16:$E$16, 1, MATCH(ASSUMPTIONS!$C$2, ASSUMPTIONS!$C$4:$E$4, 0))) ^ 0)</f>
      </c>
      <c r="L5" s="17">
        <f>300000 * ((1 + INDEX(ASSUMPTIONS!$C$16:$E$16, 1, MATCH(ASSUMPTIONS!$C$2, ASSUMPTIONS!$C$4:$E$4, 0))) ^ 0)</f>
      </c>
      <c r="M5" s="17">
        <f>300000 * ((1 + INDEX(ASSUMPTIONS!$C$16:$E$16, 1, MATCH(ASSUMPTIONS!$C$2, ASSUMPTIONS!$C$4:$E$4, 0))) ^ 0)</f>
      </c>
      <c r="N5" s="17">
        <f>300000 * ((1 + INDEX(ASSUMPTIONS!$C$16:$E$16, 1, MATCH(ASSUMPTIONS!$C$2, ASSUMPTIONS!$C$4:$E$4, 0))) ^ 0)</f>
      </c>
      <c r="O5" s="17">
        <f>300000 * ((1 + INDEX(ASSUMPTIONS!$C$16:$E$16, 1, MATCH(ASSUMPTIONS!$C$2, ASSUMPTIONS!$C$4:$E$4, 0))) ^ 1)</f>
      </c>
      <c r="P5" s="17">
        <f>300000 * ((1 + INDEX(ASSUMPTIONS!$C$16:$E$16, 1, MATCH(ASSUMPTIONS!$C$2, ASSUMPTIONS!$C$4:$E$4, 0))) ^ 1)</f>
      </c>
      <c r="Q5" s="17">
        <f>300000 * ((1 + INDEX(ASSUMPTIONS!$C$16:$E$16, 1, MATCH(ASSUMPTIONS!$C$2, ASSUMPTIONS!$C$4:$E$4, 0))) ^ 1)</f>
      </c>
      <c r="R5" s="17">
        <f>300000 * ((1 + INDEX(ASSUMPTIONS!$C$16:$E$16, 1, MATCH(ASSUMPTIONS!$C$2, ASSUMPTIONS!$C$4:$E$4, 0))) ^ 1)</f>
      </c>
      <c r="S5" s="17">
        <f>300000 * ((1 + INDEX(ASSUMPTIONS!$C$16:$E$16, 1, MATCH(ASSUMPTIONS!$C$2, ASSUMPTIONS!$C$4:$E$4, 0))) ^ 1)</f>
      </c>
      <c r="T5" s="17">
        <f>300000 * ((1 + INDEX(ASSUMPTIONS!$C$16:$E$16, 1, MATCH(ASSUMPTIONS!$C$2, ASSUMPTIONS!$C$4:$E$4, 0))) ^ 1)</f>
      </c>
      <c r="U5" s="17">
        <f>300000 * ((1 + INDEX(ASSUMPTIONS!$C$16:$E$16, 1, MATCH(ASSUMPTIONS!$C$2, ASSUMPTIONS!$C$4:$E$4, 0))) ^ 1)</f>
      </c>
      <c r="V5" s="17">
        <f>300000 * ((1 + INDEX(ASSUMPTIONS!$C$16:$E$16, 1, MATCH(ASSUMPTIONS!$C$2, ASSUMPTIONS!$C$4:$E$4, 0))) ^ 1)</f>
      </c>
      <c r="W5" s="17">
        <f>300000 * ((1 + INDEX(ASSUMPTIONS!$C$16:$E$16, 1, MATCH(ASSUMPTIONS!$C$2, ASSUMPTIONS!$C$4:$E$4, 0))) ^ 1)</f>
      </c>
      <c r="X5" s="17">
        <f>300000 * ((1 + INDEX(ASSUMPTIONS!$C$16:$E$16, 1, MATCH(ASSUMPTIONS!$C$2, ASSUMPTIONS!$C$4:$E$4, 0))) ^ 1)</f>
      </c>
      <c r="Y5" s="17">
        <f>300000 * ((1 + INDEX(ASSUMPTIONS!$C$16:$E$16, 1, MATCH(ASSUMPTIONS!$C$2, ASSUMPTIONS!$C$4:$E$4, 0))) ^ 1)</f>
      </c>
      <c r="Z5" s="17">
        <f>300000 * ((1 + INDEX(ASSUMPTIONS!$C$16:$E$16, 1, MATCH(ASSUMPTIONS!$C$2, ASSUMPTIONS!$C$4:$E$4, 0))) ^ 1)</f>
      </c>
      <c r="AA5" s="17">
        <f>300000 * ((1 + INDEX(ASSUMPTIONS!$C$16:$E$16, 1, MATCH(ASSUMPTIONS!$C$2, ASSUMPTIONS!$C$4:$E$4, 0))) ^ 2)</f>
      </c>
      <c r="AB5" s="17">
        <f>300000 * ((1 + INDEX(ASSUMPTIONS!$C$16:$E$16, 1, MATCH(ASSUMPTIONS!$C$2, ASSUMPTIONS!$C$4:$E$4, 0))) ^ 2)</f>
      </c>
      <c r="AC5" s="17">
        <f>300000 * ((1 + INDEX(ASSUMPTIONS!$C$16:$E$16, 1, MATCH(ASSUMPTIONS!$C$2, ASSUMPTIONS!$C$4:$E$4, 0))) ^ 2)</f>
      </c>
      <c r="AD5" s="17">
        <f>300000 * ((1 + INDEX(ASSUMPTIONS!$C$16:$E$16, 1, MATCH(ASSUMPTIONS!$C$2, ASSUMPTIONS!$C$4:$E$4, 0))) ^ 2)</f>
      </c>
      <c r="AE5" s="17">
        <f>300000 * ((1 + INDEX(ASSUMPTIONS!$C$16:$E$16, 1, MATCH(ASSUMPTIONS!$C$2, ASSUMPTIONS!$C$4:$E$4, 0))) ^ 2)</f>
      </c>
      <c r="AF5" s="17">
        <f>300000 * ((1 + INDEX(ASSUMPTIONS!$C$16:$E$16, 1, MATCH(ASSUMPTIONS!$C$2, ASSUMPTIONS!$C$4:$E$4, 0))) ^ 2)</f>
      </c>
      <c r="AG5" s="17">
        <f>300000 * ((1 + INDEX(ASSUMPTIONS!$C$16:$E$16, 1, MATCH(ASSUMPTIONS!$C$2, ASSUMPTIONS!$C$4:$E$4, 0))) ^ 2)</f>
      </c>
      <c r="AH5" s="17">
        <f>300000 * ((1 + INDEX(ASSUMPTIONS!$C$16:$E$16, 1, MATCH(ASSUMPTIONS!$C$2, ASSUMPTIONS!$C$4:$E$4, 0))) ^ 2)</f>
      </c>
      <c r="AI5" s="17">
        <f>300000 * ((1 + INDEX(ASSUMPTIONS!$C$16:$E$16, 1, MATCH(ASSUMPTIONS!$C$2, ASSUMPTIONS!$C$4:$E$4, 0))) ^ 2)</f>
      </c>
      <c r="AJ5" s="17">
        <f>300000 * ((1 + INDEX(ASSUMPTIONS!$C$16:$E$16, 1, MATCH(ASSUMPTIONS!$C$2, ASSUMPTIONS!$C$4:$E$4, 0))) ^ 2)</f>
      </c>
      <c r="AK5" s="17">
        <f>300000 * ((1 + INDEX(ASSUMPTIONS!$C$16:$E$16, 1, MATCH(ASSUMPTIONS!$C$2, ASSUMPTIONS!$C$4:$E$4, 0))) ^ 2)</f>
      </c>
      <c r="AL5" s="17">
        <f>300000 * ((1 + INDEX(ASSUMPTIONS!$C$16:$E$16, 1, MATCH(ASSUMPTIONS!$C$2, ASSUMPTIONS!$C$4:$E$4, 0))) ^ 2)</f>
      </c>
      <c r="AM5" s="17">
        <f>300000 * ((1 + INDEX(ASSUMPTIONS!$C$16:$E$16, 1, MATCH(ASSUMPTIONS!$C$2, ASSUMPTIONS!$C$4:$E$4, 0))) ^ 3)</f>
      </c>
      <c r="AN5" s="17">
        <f>300000 * ((1 + INDEX(ASSUMPTIONS!$C$16:$E$16, 1, MATCH(ASSUMPTIONS!$C$2, ASSUMPTIONS!$C$4:$E$4, 0))) ^ 3)</f>
      </c>
      <c r="AO5" s="17">
        <f>300000 * ((1 + INDEX(ASSUMPTIONS!$C$16:$E$16, 1, MATCH(ASSUMPTIONS!$C$2, ASSUMPTIONS!$C$4:$E$4, 0))) ^ 3)</f>
      </c>
      <c r="AP5" s="17">
        <f>300000 * ((1 + INDEX(ASSUMPTIONS!$C$16:$E$16, 1, MATCH(ASSUMPTIONS!$C$2, ASSUMPTIONS!$C$4:$E$4, 0))) ^ 3)</f>
      </c>
      <c r="AQ5" s="17">
        <f>300000 * ((1 + INDEX(ASSUMPTIONS!$C$16:$E$16, 1, MATCH(ASSUMPTIONS!$C$2, ASSUMPTIONS!$C$4:$E$4, 0))) ^ 3)</f>
      </c>
      <c r="AR5" s="17">
        <f>300000 * ((1 + INDEX(ASSUMPTIONS!$C$16:$E$16, 1, MATCH(ASSUMPTIONS!$C$2, ASSUMPTIONS!$C$4:$E$4, 0))) ^ 3)</f>
      </c>
      <c r="AS5" s="17">
        <f>300000 * ((1 + INDEX(ASSUMPTIONS!$C$16:$E$16, 1, MATCH(ASSUMPTIONS!$C$2, ASSUMPTIONS!$C$4:$E$4, 0))) ^ 3)</f>
      </c>
      <c r="AT5" s="17">
        <f>300000 * ((1 + INDEX(ASSUMPTIONS!$C$16:$E$16, 1, MATCH(ASSUMPTIONS!$C$2, ASSUMPTIONS!$C$4:$E$4, 0))) ^ 3)</f>
      </c>
      <c r="AU5" s="17">
        <f>300000 * ((1 + INDEX(ASSUMPTIONS!$C$16:$E$16, 1, MATCH(ASSUMPTIONS!$C$2, ASSUMPTIONS!$C$4:$E$4, 0))) ^ 3)</f>
      </c>
      <c r="AV5" s="17">
        <f>300000 * ((1 + INDEX(ASSUMPTIONS!$C$16:$E$16, 1, MATCH(ASSUMPTIONS!$C$2, ASSUMPTIONS!$C$4:$E$4, 0))) ^ 3)</f>
      </c>
      <c r="AW5" s="17">
        <f>300000 * ((1 + INDEX(ASSUMPTIONS!$C$16:$E$16, 1, MATCH(ASSUMPTIONS!$C$2, ASSUMPTIONS!$C$4:$E$4, 0))) ^ 3)</f>
      </c>
      <c r="AX5" s="17">
        <f>300000 * ((1 + INDEX(ASSUMPTIONS!$C$16:$E$16, 1, MATCH(ASSUMPTIONS!$C$2, ASSUMPTIONS!$C$4:$E$4, 0))) ^ 3)</f>
      </c>
      <c r="AY5" s="17">
        <f>300000 * ((1 + INDEX(ASSUMPTIONS!$C$16:$E$16, 1, MATCH(ASSUMPTIONS!$C$2, ASSUMPTIONS!$C$4:$E$4, 0))) ^ 4)</f>
      </c>
      <c r="AZ5" s="17">
        <f>300000 * ((1 + INDEX(ASSUMPTIONS!$C$16:$E$16, 1, MATCH(ASSUMPTIONS!$C$2, ASSUMPTIONS!$C$4:$E$4, 0))) ^ 4)</f>
      </c>
      <c r="BA5" s="17">
        <f>300000 * ((1 + INDEX(ASSUMPTIONS!$C$16:$E$16, 1, MATCH(ASSUMPTIONS!$C$2, ASSUMPTIONS!$C$4:$E$4, 0))) ^ 4)</f>
      </c>
      <c r="BB5" s="17">
        <f>300000 * ((1 + INDEX(ASSUMPTIONS!$C$16:$E$16, 1, MATCH(ASSUMPTIONS!$C$2, ASSUMPTIONS!$C$4:$E$4, 0))) ^ 4)</f>
      </c>
      <c r="BC5" s="17">
        <f>300000 * ((1 + INDEX(ASSUMPTIONS!$C$16:$E$16, 1, MATCH(ASSUMPTIONS!$C$2, ASSUMPTIONS!$C$4:$E$4, 0))) ^ 4)</f>
      </c>
      <c r="BD5" s="17">
        <f>300000 * ((1 + INDEX(ASSUMPTIONS!$C$16:$E$16, 1, MATCH(ASSUMPTIONS!$C$2, ASSUMPTIONS!$C$4:$E$4, 0))) ^ 4)</f>
      </c>
      <c r="BE5" s="17">
        <f>300000 * ((1 + INDEX(ASSUMPTIONS!$C$16:$E$16, 1, MATCH(ASSUMPTIONS!$C$2, ASSUMPTIONS!$C$4:$E$4, 0))) ^ 4)</f>
      </c>
      <c r="BF5" s="17">
        <f>300000 * ((1 + INDEX(ASSUMPTIONS!$C$16:$E$16, 1, MATCH(ASSUMPTIONS!$C$2, ASSUMPTIONS!$C$4:$E$4, 0))) ^ 4)</f>
      </c>
      <c r="BG5" s="17">
        <f>300000 * ((1 + INDEX(ASSUMPTIONS!$C$16:$E$16, 1, MATCH(ASSUMPTIONS!$C$2, ASSUMPTIONS!$C$4:$E$4, 0))) ^ 4)</f>
      </c>
      <c r="BH5" s="17">
        <f>300000 * ((1 + INDEX(ASSUMPTIONS!$C$16:$E$16, 1, MATCH(ASSUMPTIONS!$C$2, ASSUMPTIONS!$C$4:$E$4, 0))) ^ 4)</f>
      </c>
      <c r="BI5" s="17">
        <f>300000 * ((1 + INDEX(ASSUMPTIONS!$C$16:$E$16, 1, MATCH(ASSUMPTIONS!$C$2, ASSUMPTIONS!$C$4:$E$4, 0))) ^ 4)</f>
      </c>
      <c r="BJ5" s="17">
        <f>300000 * ((1 + INDEX(ASSUMPTIONS!$C$16:$E$16, 1, MATCH(ASSUMPTIONS!$C$2, ASSUMPTIONS!$C$4:$E$4, 0))) ^ 4)</f>
      </c>
    </row>
    <row r="6" spans="2:62" x14ac:dyDescent="0.25">
      <c r="B6" t="s">
        <v>106</v>
      </c>
      <c r="C6" s="17">
        <f>'REVENUE_ENGINE'!C6 * INDEX(ASSUMPTIONS!$C$17:$E$17, 1, MATCH(ASSUMPTIONS!$C$2, ASSUMPTIONS!$C$4:$E$4, 0))</f>
      </c>
      <c r="D6" s="17">
        <f>'REVENUE_ENGINE'!D6 * INDEX(ASSUMPTIONS!$C$17:$E$17, 1, MATCH(ASSUMPTIONS!$C$2, ASSUMPTIONS!$C$4:$E$4, 0))</f>
      </c>
      <c r="E6" s="17">
        <f>'REVENUE_ENGINE'!E6 * INDEX(ASSUMPTIONS!$C$17:$E$17, 1, MATCH(ASSUMPTIONS!$C$2, ASSUMPTIONS!$C$4:$E$4, 0))</f>
      </c>
      <c r="F6" s="17">
        <f>'REVENUE_ENGINE'!F6 * INDEX(ASSUMPTIONS!$C$17:$E$17, 1, MATCH(ASSUMPTIONS!$C$2, ASSUMPTIONS!$C$4:$E$4, 0))</f>
      </c>
      <c r="G6" s="17">
        <f>'REVENUE_ENGINE'!G6 * INDEX(ASSUMPTIONS!$C$17:$E$17, 1, MATCH(ASSUMPTIONS!$C$2, ASSUMPTIONS!$C$4:$E$4, 0))</f>
      </c>
      <c r="H6" s="17">
        <f>'REVENUE_ENGINE'!H6 * INDEX(ASSUMPTIONS!$C$17:$E$17, 1, MATCH(ASSUMPTIONS!$C$2, ASSUMPTIONS!$C$4:$E$4, 0))</f>
      </c>
      <c r="I6" s="17">
        <f>'REVENUE_ENGINE'!I6 * INDEX(ASSUMPTIONS!$C$17:$E$17, 1, MATCH(ASSUMPTIONS!$C$2, ASSUMPTIONS!$C$4:$E$4, 0))</f>
      </c>
      <c r="J6" s="17">
        <f>'REVENUE_ENGINE'!J6 * INDEX(ASSUMPTIONS!$C$17:$E$17, 1, MATCH(ASSUMPTIONS!$C$2, ASSUMPTIONS!$C$4:$E$4, 0))</f>
      </c>
      <c r="K6" s="17">
        <f>'REVENUE_ENGINE'!K6 * INDEX(ASSUMPTIONS!$C$17:$E$17, 1, MATCH(ASSUMPTIONS!$C$2, ASSUMPTIONS!$C$4:$E$4, 0))</f>
      </c>
      <c r="L6" s="17">
        <f>'REVENUE_ENGINE'!L6 * INDEX(ASSUMPTIONS!$C$17:$E$17, 1, MATCH(ASSUMPTIONS!$C$2, ASSUMPTIONS!$C$4:$E$4, 0))</f>
      </c>
      <c r="M6" s="17">
        <f>'REVENUE_ENGINE'!M6 * INDEX(ASSUMPTIONS!$C$17:$E$17, 1, MATCH(ASSUMPTIONS!$C$2, ASSUMPTIONS!$C$4:$E$4, 0))</f>
      </c>
      <c r="N6" s="17">
        <f>'REVENUE_ENGINE'!N6 * INDEX(ASSUMPTIONS!$C$17:$E$17, 1, MATCH(ASSUMPTIONS!$C$2, ASSUMPTIONS!$C$4:$E$4, 0))</f>
      </c>
      <c r="O6" s="17">
        <f>'REVENUE_ENGINE'!O6 * INDEX(ASSUMPTIONS!$C$17:$E$17, 1, MATCH(ASSUMPTIONS!$C$2, ASSUMPTIONS!$C$4:$E$4, 0))</f>
      </c>
      <c r="P6" s="17">
        <f>'REVENUE_ENGINE'!P6 * INDEX(ASSUMPTIONS!$C$17:$E$17, 1, MATCH(ASSUMPTIONS!$C$2, ASSUMPTIONS!$C$4:$E$4, 0))</f>
      </c>
      <c r="Q6" s="17">
        <f>'REVENUE_ENGINE'!Q6 * INDEX(ASSUMPTIONS!$C$17:$E$17, 1, MATCH(ASSUMPTIONS!$C$2, ASSUMPTIONS!$C$4:$E$4, 0))</f>
      </c>
      <c r="R6" s="17">
        <f>'REVENUE_ENGINE'!R6 * INDEX(ASSUMPTIONS!$C$17:$E$17, 1, MATCH(ASSUMPTIONS!$C$2, ASSUMPTIONS!$C$4:$E$4, 0))</f>
      </c>
      <c r="S6" s="17">
        <f>'REVENUE_ENGINE'!S6 * INDEX(ASSUMPTIONS!$C$17:$E$17, 1, MATCH(ASSUMPTIONS!$C$2, ASSUMPTIONS!$C$4:$E$4, 0))</f>
      </c>
      <c r="T6" s="17">
        <f>'REVENUE_ENGINE'!T6 * INDEX(ASSUMPTIONS!$C$17:$E$17, 1, MATCH(ASSUMPTIONS!$C$2, ASSUMPTIONS!$C$4:$E$4, 0))</f>
      </c>
      <c r="U6" s="17">
        <f>'REVENUE_ENGINE'!U6 * INDEX(ASSUMPTIONS!$C$17:$E$17, 1, MATCH(ASSUMPTIONS!$C$2, ASSUMPTIONS!$C$4:$E$4, 0))</f>
      </c>
      <c r="V6" s="17">
        <f>'REVENUE_ENGINE'!V6 * INDEX(ASSUMPTIONS!$C$17:$E$17, 1, MATCH(ASSUMPTIONS!$C$2, ASSUMPTIONS!$C$4:$E$4, 0))</f>
      </c>
      <c r="W6" s="17">
        <f>'REVENUE_ENGINE'!W6 * INDEX(ASSUMPTIONS!$C$17:$E$17, 1, MATCH(ASSUMPTIONS!$C$2, ASSUMPTIONS!$C$4:$E$4, 0))</f>
      </c>
      <c r="X6" s="17">
        <f>'REVENUE_ENGINE'!X6 * INDEX(ASSUMPTIONS!$C$17:$E$17, 1, MATCH(ASSUMPTIONS!$C$2, ASSUMPTIONS!$C$4:$E$4, 0))</f>
      </c>
      <c r="Y6" s="17">
        <f>'REVENUE_ENGINE'!Y6 * INDEX(ASSUMPTIONS!$C$17:$E$17, 1, MATCH(ASSUMPTIONS!$C$2, ASSUMPTIONS!$C$4:$E$4, 0))</f>
      </c>
      <c r="Z6" s="17">
        <f>'REVENUE_ENGINE'!Z6 * INDEX(ASSUMPTIONS!$C$17:$E$17, 1, MATCH(ASSUMPTIONS!$C$2, ASSUMPTIONS!$C$4:$E$4, 0))</f>
      </c>
      <c r="AA6" s="17">
        <f>'REVENUE_ENGINE'!AA6 * INDEX(ASSUMPTIONS!$C$17:$E$17, 1, MATCH(ASSUMPTIONS!$C$2, ASSUMPTIONS!$C$4:$E$4, 0))</f>
      </c>
      <c r="AB6" s="17">
        <f>'REVENUE_ENGINE'!AB6 * INDEX(ASSUMPTIONS!$C$17:$E$17, 1, MATCH(ASSUMPTIONS!$C$2, ASSUMPTIONS!$C$4:$E$4, 0))</f>
      </c>
      <c r="AC6" s="17">
        <f>'REVENUE_ENGINE'!AC6 * INDEX(ASSUMPTIONS!$C$17:$E$17, 1, MATCH(ASSUMPTIONS!$C$2, ASSUMPTIONS!$C$4:$E$4, 0))</f>
      </c>
      <c r="AD6" s="17">
        <f>'REVENUE_ENGINE'!AD6 * INDEX(ASSUMPTIONS!$C$17:$E$17, 1, MATCH(ASSUMPTIONS!$C$2, ASSUMPTIONS!$C$4:$E$4, 0))</f>
      </c>
      <c r="AE6" s="17">
        <f>'REVENUE_ENGINE'!AE6 * INDEX(ASSUMPTIONS!$C$17:$E$17, 1, MATCH(ASSUMPTIONS!$C$2, ASSUMPTIONS!$C$4:$E$4, 0))</f>
      </c>
      <c r="AF6" s="17">
        <f>'REVENUE_ENGINE'!AF6 * INDEX(ASSUMPTIONS!$C$17:$E$17, 1, MATCH(ASSUMPTIONS!$C$2, ASSUMPTIONS!$C$4:$E$4, 0))</f>
      </c>
      <c r="AG6" s="17">
        <f>'REVENUE_ENGINE'!AG6 * INDEX(ASSUMPTIONS!$C$17:$E$17, 1, MATCH(ASSUMPTIONS!$C$2, ASSUMPTIONS!$C$4:$E$4, 0))</f>
      </c>
      <c r="AH6" s="17">
        <f>'REVENUE_ENGINE'!AH6 * INDEX(ASSUMPTIONS!$C$17:$E$17, 1, MATCH(ASSUMPTIONS!$C$2, ASSUMPTIONS!$C$4:$E$4, 0))</f>
      </c>
      <c r="AI6" s="17">
        <f>'REVENUE_ENGINE'!AI6 * INDEX(ASSUMPTIONS!$C$17:$E$17, 1, MATCH(ASSUMPTIONS!$C$2, ASSUMPTIONS!$C$4:$E$4, 0))</f>
      </c>
      <c r="AJ6" s="17">
        <f>'REVENUE_ENGINE'!AJ6 * INDEX(ASSUMPTIONS!$C$17:$E$17, 1, MATCH(ASSUMPTIONS!$C$2, ASSUMPTIONS!$C$4:$E$4, 0))</f>
      </c>
      <c r="AK6" s="17">
        <f>'REVENUE_ENGINE'!AK6 * INDEX(ASSUMPTIONS!$C$17:$E$17, 1, MATCH(ASSUMPTIONS!$C$2, ASSUMPTIONS!$C$4:$E$4, 0))</f>
      </c>
      <c r="AL6" s="17">
        <f>'REVENUE_ENGINE'!AL6 * INDEX(ASSUMPTIONS!$C$17:$E$17, 1, MATCH(ASSUMPTIONS!$C$2, ASSUMPTIONS!$C$4:$E$4, 0))</f>
      </c>
      <c r="AM6" s="17">
        <f>'REVENUE_ENGINE'!AM6 * INDEX(ASSUMPTIONS!$C$17:$E$17, 1, MATCH(ASSUMPTIONS!$C$2, ASSUMPTIONS!$C$4:$E$4, 0))</f>
      </c>
      <c r="AN6" s="17">
        <f>'REVENUE_ENGINE'!AN6 * INDEX(ASSUMPTIONS!$C$17:$E$17, 1, MATCH(ASSUMPTIONS!$C$2, ASSUMPTIONS!$C$4:$E$4, 0))</f>
      </c>
      <c r="AO6" s="17">
        <f>'REVENUE_ENGINE'!AO6 * INDEX(ASSUMPTIONS!$C$17:$E$17, 1, MATCH(ASSUMPTIONS!$C$2, ASSUMPTIONS!$C$4:$E$4, 0))</f>
      </c>
      <c r="AP6" s="17">
        <f>'REVENUE_ENGINE'!AP6 * INDEX(ASSUMPTIONS!$C$17:$E$17, 1, MATCH(ASSUMPTIONS!$C$2, ASSUMPTIONS!$C$4:$E$4, 0))</f>
      </c>
      <c r="AQ6" s="17">
        <f>'REVENUE_ENGINE'!AQ6 * INDEX(ASSUMPTIONS!$C$17:$E$17, 1, MATCH(ASSUMPTIONS!$C$2, ASSUMPTIONS!$C$4:$E$4, 0))</f>
      </c>
      <c r="AR6" s="17">
        <f>'REVENUE_ENGINE'!AR6 * INDEX(ASSUMPTIONS!$C$17:$E$17, 1, MATCH(ASSUMPTIONS!$C$2, ASSUMPTIONS!$C$4:$E$4, 0))</f>
      </c>
      <c r="AS6" s="17">
        <f>'REVENUE_ENGINE'!AS6 * INDEX(ASSUMPTIONS!$C$17:$E$17, 1, MATCH(ASSUMPTIONS!$C$2, ASSUMPTIONS!$C$4:$E$4, 0))</f>
      </c>
      <c r="AT6" s="17">
        <f>'REVENUE_ENGINE'!AT6 * INDEX(ASSUMPTIONS!$C$17:$E$17, 1, MATCH(ASSUMPTIONS!$C$2, ASSUMPTIONS!$C$4:$E$4, 0))</f>
      </c>
      <c r="AU6" s="17">
        <f>'REVENUE_ENGINE'!AU6 * INDEX(ASSUMPTIONS!$C$17:$E$17, 1, MATCH(ASSUMPTIONS!$C$2, ASSUMPTIONS!$C$4:$E$4, 0))</f>
      </c>
      <c r="AV6" s="17">
        <f>'REVENUE_ENGINE'!AV6 * INDEX(ASSUMPTIONS!$C$17:$E$17, 1, MATCH(ASSUMPTIONS!$C$2, ASSUMPTIONS!$C$4:$E$4, 0))</f>
      </c>
      <c r="AW6" s="17">
        <f>'REVENUE_ENGINE'!AW6 * INDEX(ASSUMPTIONS!$C$17:$E$17, 1, MATCH(ASSUMPTIONS!$C$2, ASSUMPTIONS!$C$4:$E$4, 0))</f>
      </c>
      <c r="AX6" s="17">
        <f>'REVENUE_ENGINE'!AX6 * INDEX(ASSUMPTIONS!$C$17:$E$17, 1, MATCH(ASSUMPTIONS!$C$2, ASSUMPTIONS!$C$4:$E$4, 0))</f>
      </c>
      <c r="AY6" s="17">
        <f>'REVENUE_ENGINE'!AY6 * INDEX(ASSUMPTIONS!$C$17:$E$17, 1, MATCH(ASSUMPTIONS!$C$2, ASSUMPTIONS!$C$4:$E$4, 0))</f>
      </c>
      <c r="AZ6" s="17">
        <f>'REVENUE_ENGINE'!AZ6 * INDEX(ASSUMPTIONS!$C$17:$E$17, 1, MATCH(ASSUMPTIONS!$C$2, ASSUMPTIONS!$C$4:$E$4, 0))</f>
      </c>
      <c r="BA6" s="17">
        <f>'REVENUE_ENGINE'!BA6 * INDEX(ASSUMPTIONS!$C$17:$E$17, 1, MATCH(ASSUMPTIONS!$C$2, ASSUMPTIONS!$C$4:$E$4, 0))</f>
      </c>
      <c r="BB6" s="17">
        <f>'REVENUE_ENGINE'!BB6 * INDEX(ASSUMPTIONS!$C$17:$E$17, 1, MATCH(ASSUMPTIONS!$C$2, ASSUMPTIONS!$C$4:$E$4, 0))</f>
      </c>
      <c r="BC6" s="17">
        <f>'REVENUE_ENGINE'!BC6 * INDEX(ASSUMPTIONS!$C$17:$E$17, 1, MATCH(ASSUMPTIONS!$C$2, ASSUMPTIONS!$C$4:$E$4, 0))</f>
      </c>
      <c r="BD6" s="17">
        <f>'REVENUE_ENGINE'!BD6 * INDEX(ASSUMPTIONS!$C$17:$E$17, 1, MATCH(ASSUMPTIONS!$C$2, ASSUMPTIONS!$C$4:$E$4, 0))</f>
      </c>
      <c r="BE6" s="17">
        <f>'REVENUE_ENGINE'!BE6 * INDEX(ASSUMPTIONS!$C$17:$E$17, 1, MATCH(ASSUMPTIONS!$C$2, ASSUMPTIONS!$C$4:$E$4, 0))</f>
      </c>
      <c r="BF6" s="17">
        <f>'REVENUE_ENGINE'!BF6 * INDEX(ASSUMPTIONS!$C$17:$E$17, 1, MATCH(ASSUMPTIONS!$C$2, ASSUMPTIONS!$C$4:$E$4, 0))</f>
      </c>
      <c r="BG6" s="17">
        <f>'REVENUE_ENGINE'!BG6 * INDEX(ASSUMPTIONS!$C$17:$E$17, 1, MATCH(ASSUMPTIONS!$C$2, ASSUMPTIONS!$C$4:$E$4, 0))</f>
      </c>
      <c r="BH6" s="17">
        <f>'REVENUE_ENGINE'!BH6 * INDEX(ASSUMPTIONS!$C$17:$E$17, 1, MATCH(ASSUMPTIONS!$C$2, ASSUMPTIONS!$C$4:$E$4, 0))</f>
      </c>
      <c r="BI6" s="17">
        <f>'REVENUE_ENGINE'!BI6 * INDEX(ASSUMPTIONS!$C$17:$E$17, 1, MATCH(ASSUMPTIONS!$C$2, ASSUMPTIONS!$C$4:$E$4, 0))</f>
      </c>
      <c r="BJ6" s="17">
        <f>'REVENUE_ENGINE'!BJ6 * INDEX(ASSUMPTIONS!$C$17:$E$17, 1, MATCH(ASSUMPTIONS!$C$2, ASSUMPTIONS!$C$4:$E$4, 0))</f>
      </c>
    </row>
    <row r="7" spans="2:62" x14ac:dyDescent="0.25">
      <c r="B7" t="s">
        <v>107</v>
      </c>
      <c r="C7" s="17">
        <f>100000 * ((1 + INDEX(ASSUMPTIONS!$C$16:$E$16, 1, MATCH(ASSUMPTIONS!$C$2, ASSUMPTIONS!$C$4:$E$4, 0))) ^ 0)</f>
      </c>
      <c r="D7" s="17">
        <f>100000 * ((1 + INDEX(ASSUMPTIONS!$C$16:$E$16, 1, MATCH(ASSUMPTIONS!$C$2, ASSUMPTIONS!$C$4:$E$4, 0))) ^ 0)</f>
      </c>
      <c r="E7" s="17">
        <f>100000 * ((1 + INDEX(ASSUMPTIONS!$C$16:$E$16, 1, MATCH(ASSUMPTIONS!$C$2, ASSUMPTIONS!$C$4:$E$4, 0))) ^ 0)</f>
      </c>
      <c r="F7" s="17">
        <f>100000 * ((1 + INDEX(ASSUMPTIONS!$C$16:$E$16, 1, MATCH(ASSUMPTIONS!$C$2, ASSUMPTIONS!$C$4:$E$4, 0))) ^ 0)</f>
      </c>
      <c r="G7" s="17">
        <f>100000 * ((1 + INDEX(ASSUMPTIONS!$C$16:$E$16, 1, MATCH(ASSUMPTIONS!$C$2, ASSUMPTIONS!$C$4:$E$4, 0))) ^ 0)</f>
      </c>
      <c r="H7" s="17">
        <f>100000 * ((1 + INDEX(ASSUMPTIONS!$C$16:$E$16, 1, MATCH(ASSUMPTIONS!$C$2, ASSUMPTIONS!$C$4:$E$4, 0))) ^ 0)</f>
      </c>
      <c r="I7" s="17">
        <f>100000 * ((1 + INDEX(ASSUMPTIONS!$C$16:$E$16, 1, MATCH(ASSUMPTIONS!$C$2, ASSUMPTIONS!$C$4:$E$4, 0))) ^ 0)</f>
      </c>
      <c r="J7" s="17">
        <f>100000 * ((1 + INDEX(ASSUMPTIONS!$C$16:$E$16, 1, MATCH(ASSUMPTIONS!$C$2, ASSUMPTIONS!$C$4:$E$4, 0))) ^ 0)</f>
      </c>
      <c r="K7" s="17">
        <f>100000 * ((1 + INDEX(ASSUMPTIONS!$C$16:$E$16, 1, MATCH(ASSUMPTIONS!$C$2, ASSUMPTIONS!$C$4:$E$4, 0))) ^ 0)</f>
      </c>
      <c r="L7" s="17">
        <f>100000 * ((1 + INDEX(ASSUMPTIONS!$C$16:$E$16, 1, MATCH(ASSUMPTIONS!$C$2, ASSUMPTIONS!$C$4:$E$4, 0))) ^ 0)</f>
      </c>
      <c r="M7" s="17">
        <f>100000 * ((1 + INDEX(ASSUMPTIONS!$C$16:$E$16, 1, MATCH(ASSUMPTIONS!$C$2, ASSUMPTIONS!$C$4:$E$4, 0))) ^ 0)</f>
      </c>
      <c r="N7" s="17">
        <f>100000 * ((1 + INDEX(ASSUMPTIONS!$C$16:$E$16, 1, MATCH(ASSUMPTIONS!$C$2, ASSUMPTIONS!$C$4:$E$4, 0))) ^ 0)</f>
      </c>
      <c r="O7" s="17">
        <f>100000 * ((1 + INDEX(ASSUMPTIONS!$C$16:$E$16, 1, MATCH(ASSUMPTIONS!$C$2, ASSUMPTIONS!$C$4:$E$4, 0))) ^ 1)</f>
      </c>
      <c r="P7" s="17">
        <f>100000 * ((1 + INDEX(ASSUMPTIONS!$C$16:$E$16, 1, MATCH(ASSUMPTIONS!$C$2, ASSUMPTIONS!$C$4:$E$4, 0))) ^ 1)</f>
      </c>
      <c r="Q7" s="17">
        <f>100000 * ((1 + INDEX(ASSUMPTIONS!$C$16:$E$16, 1, MATCH(ASSUMPTIONS!$C$2, ASSUMPTIONS!$C$4:$E$4, 0))) ^ 1)</f>
      </c>
      <c r="R7" s="17">
        <f>100000 * ((1 + INDEX(ASSUMPTIONS!$C$16:$E$16, 1, MATCH(ASSUMPTIONS!$C$2, ASSUMPTIONS!$C$4:$E$4, 0))) ^ 1)</f>
      </c>
      <c r="S7" s="17">
        <f>100000 * ((1 + INDEX(ASSUMPTIONS!$C$16:$E$16, 1, MATCH(ASSUMPTIONS!$C$2, ASSUMPTIONS!$C$4:$E$4, 0))) ^ 1)</f>
      </c>
      <c r="T7" s="17">
        <f>100000 * ((1 + INDEX(ASSUMPTIONS!$C$16:$E$16, 1, MATCH(ASSUMPTIONS!$C$2, ASSUMPTIONS!$C$4:$E$4, 0))) ^ 1)</f>
      </c>
      <c r="U7" s="17">
        <f>100000 * ((1 + INDEX(ASSUMPTIONS!$C$16:$E$16, 1, MATCH(ASSUMPTIONS!$C$2, ASSUMPTIONS!$C$4:$E$4, 0))) ^ 1)</f>
      </c>
      <c r="V7" s="17">
        <f>100000 * ((1 + INDEX(ASSUMPTIONS!$C$16:$E$16, 1, MATCH(ASSUMPTIONS!$C$2, ASSUMPTIONS!$C$4:$E$4, 0))) ^ 1)</f>
      </c>
      <c r="W7" s="17">
        <f>100000 * ((1 + INDEX(ASSUMPTIONS!$C$16:$E$16, 1, MATCH(ASSUMPTIONS!$C$2, ASSUMPTIONS!$C$4:$E$4, 0))) ^ 1)</f>
      </c>
      <c r="X7" s="17">
        <f>100000 * ((1 + INDEX(ASSUMPTIONS!$C$16:$E$16, 1, MATCH(ASSUMPTIONS!$C$2, ASSUMPTIONS!$C$4:$E$4, 0))) ^ 1)</f>
      </c>
      <c r="Y7" s="17">
        <f>100000 * ((1 + INDEX(ASSUMPTIONS!$C$16:$E$16, 1, MATCH(ASSUMPTIONS!$C$2, ASSUMPTIONS!$C$4:$E$4, 0))) ^ 1)</f>
      </c>
      <c r="Z7" s="17">
        <f>100000 * ((1 + INDEX(ASSUMPTIONS!$C$16:$E$16, 1, MATCH(ASSUMPTIONS!$C$2, ASSUMPTIONS!$C$4:$E$4, 0))) ^ 1)</f>
      </c>
      <c r="AA7" s="17">
        <f>100000 * ((1 + INDEX(ASSUMPTIONS!$C$16:$E$16, 1, MATCH(ASSUMPTIONS!$C$2, ASSUMPTIONS!$C$4:$E$4, 0))) ^ 2)</f>
      </c>
      <c r="AB7" s="17">
        <f>100000 * ((1 + INDEX(ASSUMPTIONS!$C$16:$E$16, 1, MATCH(ASSUMPTIONS!$C$2, ASSUMPTIONS!$C$4:$E$4, 0))) ^ 2)</f>
      </c>
      <c r="AC7" s="17">
        <f>100000 * ((1 + INDEX(ASSUMPTIONS!$C$16:$E$16, 1, MATCH(ASSUMPTIONS!$C$2, ASSUMPTIONS!$C$4:$E$4, 0))) ^ 2)</f>
      </c>
      <c r="AD7" s="17">
        <f>100000 * ((1 + INDEX(ASSUMPTIONS!$C$16:$E$16, 1, MATCH(ASSUMPTIONS!$C$2, ASSUMPTIONS!$C$4:$E$4, 0))) ^ 2)</f>
      </c>
      <c r="AE7" s="17">
        <f>100000 * ((1 + INDEX(ASSUMPTIONS!$C$16:$E$16, 1, MATCH(ASSUMPTIONS!$C$2, ASSUMPTIONS!$C$4:$E$4, 0))) ^ 2)</f>
      </c>
      <c r="AF7" s="17">
        <f>100000 * ((1 + INDEX(ASSUMPTIONS!$C$16:$E$16, 1, MATCH(ASSUMPTIONS!$C$2, ASSUMPTIONS!$C$4:$E$4, 0))) ^ 2)</f>
      </c>
      <c r="AG7" s="17">
        <f>100000 * ((1 + INDEX(ASSUMPTIONS!$C$16:$E$16, 1, MATCH(ASSUMPTIONS!$C$2, ASSUMPTIONS!$C$4:$E$4, 0))) ^ 2)</f>
      </c>
      <c r="AH7" s="17">
        <f>100000 * ((1 + INDEX(ASSUMPTIONS!$C$16:$E$16, 1, MATCH(ASSUMPTIONS!$C$2, ASSUMPTIONS!$C$4:$E$4, 0))) ^ 2)</f>
      </c>
      <c r="AI7" s="17">
        <f>100000 * ((1 + INDEX(ASSUMPTIONS!$C$16:$E$16, 1, MATCH(ASSUMPTIONS!$C$2, ASSUMPTIONS!$C$4:$E$4, 0))) ^ 2)</f>
      </c>
      <c r="AJ7" s="17">
        <f>100000 * ((1 + INDEX(ASSUMPTIONS!$C$16:$E$16, 1, MATCH(ASSUMPTIONS!$C$2, ASSUMPTIONS!$C$4:$E$4, 0))) ^ 2)</f>
      </c>
      <c r="AK7" s="17">
        <f>100000 * ((1 + INDEX(ASSUMPTIONS!$C$16:$E$16, 1, MATCH(ASSUMPTIONS!$C$2, ASSUMPTIONS!$C$4:$E$4, 0))) ^ 2)</f>
      </c>
      <c r="AL7" s="17">
        <f>100000 * ((1 + INDEX(ASSUMPTIONS!$C$16:$E$16, 1, MATCH(ASSUMPTIONS!$C$2, ASSUMPTIONS!$C$4:$E$4, 0))) ^ 2)</f>
      </c>
      <c r="AM7" s="17">
        <f>100000 * ((1 + INDEX(ASSUMPTIONS!$C$16:$E$16, 1, MATCH(ASSUMPTIONS!$C$2, ASSUMPTIONS!$C$4:$E$4, 0))) ^ 3)</f>
      </c>
      <c r="AN7" s="17">
        <f>100000 * ((1 + INDEX(ASSUMPTIONS!$C$16:$E$16, 1, MATCH(ASSUMPTIONS!$C$2, ASSUMPTIONS!$C$4:$E$4, 0))) ^ 3)</f>
      </c>
      <c r="AO7" s="17">
        <f>100000 * ((1 + INDEX(ASSUMPTIONS!$C$16:$E$16, 1, MATCH(ASSUMPTIONS!$C$2, ASSUMPTIONS!$C$4:$E$4, 0))) ^ 3)</f>
      </c>
      <c r="AP7" s="17">
        <f>100000 * ((1 + INDEX(ASSUMPTIONS!$C$16:$E$16, 1, MATCH(ASSUMPTIONS!$C$2, ASSUMPTIONS!$C$4:$E$4, 0))) ^ 3)</f>
      </c>
      <c r="AQ7" s="17">
        <f>100000 * ((1 + INDEX(ASSUMPTIONS!$C$16:$E$16, 1, MATCH(ASSUMPTIONS!$C$2, ASSUMPTIONS!$C$4:$E$4, 0))) ^ 3)</f>
      </c>
      <c r="AR7" s="17">
        <f>100000 * ((1 + INDEX(ASSUMPTIONS!$C$16:$E$16, 1, MATCH(ASSUMPTIONS!$C$2, ASSUMPTIONS!$C$4:$E$4, 0))) ^ 3)</f>
      </c>
      <c r="AS7" s="17">
        <f>100000 * ((1 + INDEX(ASSUMPTIONS!$C$16:$E$16, 1, MATCH(ASSUMPTIONS!$C$2, ASSUMPTIONS!$C$4:$E$4, 0))) ^ 3)</f>
      </c>
      <c r="AT7" s="17">
        <f>100000 * ((1 + INDEX(ASSUMPTIONS!$C$16:$E$16, 1, MATCH(ASSUMPTIONS!$C$2, ASSUMPTIONS!$C$4:$E$4, 0))) ^ 3)</f>
      </c>
      <c r="AU7" s="17">
        <f>100000 * ((1 + INDEX(ASSUMPTIONS!$C$16:$E$16, 1, MATCH(ASSUMPTIONS!$C$2, ASSUMPTIONS!$C$4:$E$4, 0))) ^ 3)</f>
      </c>
      <c r="AV7" s="17">
        <f>100000 * ((1 + INDEX(ASSUMPTIONS!$C$16:$E$16, 1, MATCH(ASSUMPTIONS!$C$2, ASSUMPTIONS!$C$4:$E$4, 0))) ^ 3)</f>
      </c>
      <c r="AW7" s="17">
        <f>100000 * ((1 + INDEX(ASSUMPTIONS!$C$16:$E$16, 1, MATCH(ASSUMPTIONS!$C$2, ASSUMPTIONS!$C$4:$E$4, 0))) ^ 3)</f>
      </c>
      <c r="AX7" s="17">
        <f>100000 * ((1 + INDEX(ASSUMPTIONS!$C$16:$E$16, 1, MATCH(ASSUMPTIONS!$C$2, ASSUMPTIONS!$C$4:$E$4, 0))) ^ 3)</f>
      </c>
      <c r="AY7" s="17">
        <f>100000 * ((1 + INDEX(ASSUMPTIONS!$C$16:$E$16, 1, MATCH(ASSUMPTIONS!$C$2, ASSUMPTIONS!$C$4:$E$4, 0))) ^ 4)</f>
      </c>
      <c r="AZ7" s="17">
        <f>100000 * ((1 + INDEX(ASSUMPTIONS!$C$16:$E$16, 1, MATCH(ASSUMPTIONS!$C$2, ASSUMPTIONS!$C$4:$E$4, 0))) ^ 4)</f>
      </c>
      <c r="BA7" s="17">
        <f>100000 * ((1 + INDEX(ASSUMPTIONS!$C$16:$E$16, 1, MATCH(ASSUMPTIONS!$C$2, ASSUMPTIONS!$C$4:$E$4, 0))) ^ 4)</f>
      </c>
      <c r="BB7" s="17">
        <f>100000 * ((1 + INDEX(ASSUMPTIONS!$C$16:$E$16, 1, MATCH(ASSUMPTIONS!$C$2, ASSUMPTIONS!$C$4:$E$4, 0))) ^ 4)</f>
      </c>
      <c r="BC7" s="17">
        <f>100000 * ((1 + INDEX(ASSUMPTIONS!$C$16:$E$16, 1, MATCH(ASSUMPTIONS!$C$2, ASSUMPTIONS!$C$4:$E$4, 0))) ^ 4)</f>
      </c>
      <c r="BD7" s="17">
        <f>100000 * ((1 + INDEX(ASSUMPTIONS!$C$16:$E$16, 1, MATCH(ASSUMPTIONS!$C$2, ASSUMPTIONS!$C$4:$E$4, 0))) ^ 4)</f>
      </c>
      <c r="BE7" s="17">
        <f>100000 * ((1 + INDEX(ASSUMPTIONS!$C$16:$E$16, 1, MATCH(ASSUMPTIONS!$C$2, ASSUMPTIONS!$C$4:$E$4, 0))) ^ 4)</f>
      </c>
      <c r="BF7" s="17">
        <f>100000 * ((1 + INDEX(ASSUMPTIONS!$C$16:$E$16, 1, MATCH(ASSUMPTIONS!$C$2, ASSUMPTIONS!$C$4:$E$4, 0))) ^ 4)</f>
      </c>
      <c r="BG7" s="17">
        <f>100000 * ((1 + INDEX(ASSUMPTIONS!$C$16:$E$16, 1, MATCH(ASSUMPTIONS!$C$2, ASSUMPTIONS!$C$4:$E$4, 0))) ^ 4)</f>
      </c>
      <c r="BH7" s="17">
        <f>100000 * ((1 + INDEX(ASSUMPTIONS!$C$16:$E$16, 1, MATCH(ASSUMPTIONS!$C$2, ASSUMPTIONS!$C$4:$E$4, 0))) ^ 4)</f>
      </c>
      <c r="BI7" s="17">
        <f>100000 * ((1 + INDEX(ASSUMPTIONS!$C$16:$E$16, 1, MATCH(ASSUMPTIONS!$C$2, ASSUMPTIONS!$C$4:$E$4, 0))) ^ 4)</f>
      </c>
      <c r="BJ7" s="17">
        <f>100000 * ((1 + INDEX(ASSUMPTIONS!$C$16:$E$16, 1, MATCH(ASSUMPTIONS!$C$2, ASSUMPTIONS!$C$4:$E$4, 0))) ^ 4)</f>
      </c>
    </row>
    <row r="8" spans="2:62" x14ac:dyDescent="0.25">
      <c r="B8" t="s">
        <v>108</v>
      </c>
      <c r="C8" s="17">
        <f>150000 * ((1 + INDEX(ASSUMPTIONS!$C$16:$E$16, 1, MATCH(ASSUMPTIONS!$C$2, ASSUMPTIONS!$C$4:$E$4, 0))) ^ 0)</f>
      </c>
      <c r="D8" s="17">
        <f>150000 * ((1 + INDEX(ASSUMPTIONS!$C$16:$E$16, 1, MATCH(ASSUMPTIONS!$C$2, ASSUMPTIONS!$C$4:$E$4, 0))) ^ 0)</f>
      </c>
      <c r="E8" s="17">
        <f>150000 * ((1 + INDEX(ASSUMPTIONS!$C$16:$E$16, 1, MATCH(ASSUMPTIONS!$C$2, ASSUMPTIONS!$C$4:$E$4, 0))) ^ 0)</f>
      </c>
      <c r="F8" s="17">
        <f>150000 * ((1 + INDEX(ASSUMPTIONS!$C$16:$E$16, 1, MATCH(ASSUMPTIONS!$C$2, ASSUMPTIONS!$C$4:$E$4, 0))) ^ 0)</f>
      </c>
      <c r="G8" s="17">
        <f>150000 * ((1 + INDEX(ASSUMPTIONS!$C$16:$E$16, 1, MATCH(ASSUMPTIONS!$C$2, ASSUMPTIONS!$C$4:$E$4, 0))) ^ 0)</f>
      </c>
      <c r="H8" s="17">
        <f>150000 * ((1 + INDEX(ASSUMPTIONS!$C$16:$E$16, 1, MATCH(ASSUMPTIONS!$C$2, ASSUMPTIONS!$C$4:$E$4, 0))) ^ 0)</f>
      </c>
      <c r="I8" s="17">
        <f>150000 * ((1 + INDEX(ASSUMPTIONS!$C$16:$E$16, 1, MATCH(ASSUMPTIONS!$C$2, ASSUMPTIONS!$C$4:$E$4, 0))) ^ 0)</f>
      </c>
      <c r="J8" s="17">
        <f>150000 * ((1 + INDEX(ASSUMPTIONS!$C$16:$E$16, 1, MATCH(ASSUMPTIONS!$C$2, ASSUMPTIONS!$C$4:$E$4, 0))) ^ 0)</f>
      </c>
      <c r="K8" s="17">
        <f>150000 * ((1 + INDEX(ASSUMPTIONS!$C$16:$E$16, 1, MATCH(ASSUMPTIONS!$C$2, ASSUMPTIONS!$C$4:$E$4, 0))) ^ 0)</f>
      </c>
      <c r="L8" s="17">
        <f>150000 * ((1 + INDEX(ASSUMPTIONS!$C$16:$E$16, 1, MATCH(ASSUMPTIONS!$C$2, ASSUMPTIONS!$C$4:$E$4, 0))) ^ 0)</f>
      </c>
      <c r="M8" s="17">
        <f>150000 * ((1 + INDEX(ASSUMPTIONS!$C$16:$E$16, 1, MATCH(ASSUMPTIONS!$C$2, ASSUMPTIONS!$C$4:$E$4, 0))) ^ 0)</f>
      </c>
      <c r="N8" s="17">
        <f>150000 * ((1 + INDEX(ASSUMPTIONS!$C$16:$E$16, 1, MATCH(ASSUMPTIONS!$C$2, ASSUMPTIONS!$C$4:$E$4, 0))) ^ 0)</f>
      </c>
      <c r="O8" s="17">
        <f>150000 * ((1 + INDEX(ASSUMPTIONS!$C$16:$E$16, 1, MATCH(ASSUMPTIONS!$C$2, ASSUMPTIONS!$C$4:$E$4, 0))) ^ 1)</f>
      </c>
      <c r="P8" s="17">
        <f>150000 * ((1 + INDEX(ASSUMPTIONS!$C$16:$E$16, 1, MATCH(ASSUMPTIONS!$C$2, ASSUMPTIONS!$C$4:$E$4, 0))) ^ 1)</f>
      </c>
      <c r="Q8" s="17">
        <f>150000 * ((1 + INDEX(ASSUMPTIONS!$C$16:$E$16, 1, MATCH(ASSUMPTIONS!$C$2, ASSUMPTIONS!$C$4:$E$4, 0))) ^ 1)</f>
      </c>
      <c r="R8" s="17">
        <f>150000 * ((1 + INDEX(ASSUMPTIONS!$C$16:$E$16, 1, MATCH(ASSUMPTIONS!$C$2, ASSUMPTIONS!$C$4:$E$4, 0))) ^ 1)</f>
      </c>
      <c r="S8" s="17">
        <f>150000 * ((1 + INDEX(ASSUMPTIONS!$C$16:$E$16, 1, MATCH(ASSUMPTIONS!$C$2, ASSUMPTIONS!$C$4:$E$4, 0))) ^ 1)</f>
      </c>
      <c r="T8" s="17">
        <f>150000 * ((1 + INDEX(ASSUMPTIONS!$C$16:$E$16, 1, MATCH(ASSUMPTIONS!$C$2, ASSUMPTIONS!$C$4:$E$4, 0))) ^ 1)</f>
      </c>
      <c r="U8" s="17">
        <f>150000 * ((1 + INDEX(ASSUMPTIONS!$C$16:$E$16, 1, MATCH(ASSUMPTIONS!$C$2, ASSUMPTIONS!$C$4:$E$4, 0))) ^ 1)</f>
      </c>
      <c r="V8" s="17">
        <f>150000 * ((1 + INDEX(ASSUMPTIONS!$C$16:$E$16, 1, MATCH(ASSUMPTIONS!$C$2, ASSUMPTIONS!$C$4:$E$4, 0))) ^ 1)</f>
      </c>
      <c r="W8" s="17">
        <f>150000 * ((1 + INDEX(ASSUMPTIONS!$C$16:$E$16, 1, MATCH(ASSUMPTIONS!$C$2, ASSUMPTIONS!$C$4:$E$4, 0))) ^ 1)</f>
      </c>
      <c r="X8" s="17">
        <f>150000 * ((1 + INDEX(ASSUMPTIONS!$C$16:$E$16, 1, MATCH(ASSUMPTIONS!$C$2, ASSUMPTIONS!$C$4:$E$4, 0))) ^ 1)</f>
      </c>
      <c r="Y8" s="17">
        <f>150000 * ((1 + INDEX(ASSUMPTIONS!$C$16:$E$16, 1, MATCH(ASSUMPTIONS!$C$2, ASSUMPTIONS!$C$4:$E$4, 0))) ^ 1)</f>
      </c>
      <c r="Z8" s="17">
        <f>150000 * ((1 + INDEX(ASSUMPTIONS!$C$16:$E$16, 1, MATCH(ASSUMPTIONS!$C$2, ASSUMPTIONS!$C$4:$E$4, 0))) ^ 1)</f>
      </c>
      <c r="AA8" s="17">
        <f>150000 * ((1 + INDEX(ASSUMPTIONS!$C$16:$E$16, 1, MATCH(ASSUMPTIONS!$C$2, ASSUMPTIONS!$C$4:$E$4, 0))) ^ 2)</f>
      </c>
      <c r="AB8" s="17">
        <f>150000 * ((1 + INDEX(ASSUMPTIONS!$C$16:$E$16, 1, MATCH(ASSUMPTIONS!$C$2, ASSUMPTIONS!$C$4:$E$4, 0))) ^ 2)</f>
      </c>
      <c r="AC8" s="17">
        <f>150000 * ((1 + INDEX(ASSUMPTIONS!$C$16:$E$16, 1, MATCH(ASSUMPTIONS!$C$2, ASSUMPTIONS!$C$4:$E$4, 0))) ^ 2)</f>
      </c>
      <c r="AD8" s="17">
        <f>150000 * ((1 + INDEX(ASSUMPTIONS!$C$16:$E$16, 1, MATCH(ASSUMPTIONS!$C$2, ASSUMPTIONS!$C$4:$E$4, 0))) ^ 2)</f>
      </c>
      <c r="AE8" s="17">
        <f>150000 * ((1 + INDEX(ASSUMPTIONS!$C$16:$E$16, 1, MATCH(ASSUMPTIONS!$C$2, ASSUMPTIONS!$C$4:$E$4, 0))) ^ 2)</f>
      </c>
      <c r="AF8" s="17">
        <f>150000 * ((1 + INDEX(ASSUMPTIONS!$C$16:$E$16, 1, MATCH(ASSUMPTIONS!$C$2, ASSUMPTIONS!$C$4:$E$4, 0))) ^ 2)</f>
      </c>
      <c r="AG8" s="17">
        <f>150000 * ((1 + INDEX(ASSUMPTIONS!$C$16:$E$16, 1, MATCH(ASSUMPTIONS!$C$2, ASSUMPTIONS!$C$4:$E$4, 0))) ^ 2)</f>
      </c>
      <c r="AH8" s="17">
        <f>150000 * ((1 + INDEX(ASSUMPTIONS!$C$16:$E$16, 1, MATCH(ASSUMPTIONS!$C$2, ASSUMPTIONS!$C$4:$E$4, 0))) ^ 2)</f>
      </c>
      <c r="AI8" s="17">
        <f>150000 * ((1 + INDEX(ASSUMPTIONS!$C$16:$E$16, 1, MATCH(ASSUMPTIONS!$C$2, ASSUMPTIONS!$C$4:$E$4, 0))) ^ 2)</f>
      </c>
      <c r="AJ8" s="17">
        <f>150000 * ((1 + INDEX(ASSUMPTIONS!$C$16:$E$16, 1, MATCH(ASSUMPTIONS!$C$2, ASSUMPTIONS!$C$4:$E$4, 0))) ^ 2)</f>
      </c>
      <c r="AK8" s="17">
        <f>150000 * ((1 + INDEX(ASSUMPTIONS!$C$16:$E$16, 1, MATCH(ASSUMPTIONS!$C$2, ASSUMPTIONS!$C$4:$E$4, 0))) ^ 2)</f>
      </c>
      <c r="AL8" s="17">
        <f>150000 * ((1 + INDEX(ASSUMPTIONS!$C$16:$E$16, 1, MATCH(ASSUMPTIONS!$C$2, ASSUMPTIONS!$C$4:$E$4, 0))) ^ 2)</f>
      </c>
      <c r="AM8" s="17">
        <f>150000 * ((1 + INDEX(ASSUMPTIONS!$C$16:$E$16, 1, MATCH(ASSUMPTIONS!$C$2, ASSUMPTIONS!$C$4:$E$4, 0))) ^ 3)</f>
      </c>
      <c r="AN8" s="17">
        <f>150000 * ((1 + INDEX(ASSUMPTIONS!$C$16:$E$16, 1, MATCH(ASSUMPTIONS!$C$2, ASSUMPTIONS!$C$4:$E$4, 0))) ^ 3)</f>
      </c>
      <c r="AO8" s="17">
        <f>150000 * ((1 + INDEX(ASSUMPTIONS!$C$16:$E$16, 1, MATCH(ASSUMPTIONS!$C$2, ASSUMPTIONS!$C$4:$E$4, 0))) ^ 3)</f>
      </c>
      <c r="AP8" s="17">
        <f>150000 * ((1 + INDEX(ASSUMPTIONS!$C$16:$E$16, 1, MATCH(ASSUMPTIONS!$C$2, ASSUMPTIONS!$C$4:$E$4, 0))) ^ 3)</f>
      </c>
      <c r="AQ8" s="17">
        <f>150000 * ((1 + INDEX(ASSUMPTIONS!$C$16:$E$16, 1, MATCH(ASSUMPTIONS!$C$2, ASSUMPTIONS!$C$4:$E$4, 0))) ^ 3)</f>
      </c>
      <c r="AR8" s="17">
        <f>150000 * ((1 + INDEX(ASSUMPTIONS!$C$16:$E$16, 1, MATCH(ASSUMPTIONS!$C$2, ASSUMPTIONS!$C$4:$E$4, 0))) ^ 3)</f>
      </c>
      <c r="AS8" s="17">
        <f>150000 * ((1 + INDEX(ASSUMPTIONS!$C$16:$E$16, 1, MATCH(ASSUMPTIONS!$C$2, ASSUMPTIONS!$C$4:$E$4, 0))) ^ 3)</f>
      </c>
      <c r="AT8" s="17">
        <f>150000 * ((1 + INDEX(ASSUMPTIONS!$C$16:$E$16, 1, MATCH(ASSUMPTIONS!$C$2, ASSUMPTIONS!$C$4:$E$4, 0))) ^ 3)</f>
      </c>
      <c r="AU8" s="17">
        <f>150000 * ((1 + INDEX(ASSUMPTIONS!$C$16:$E$16, 1, MATCH(ASSUMPTIONS!$C$2, ASSUMPTIONS!$C$4:$E$4, 0))) ^ 3)</f>
      </c>
      <c r="AV8" s="17">
        <f>150000 * ((1 + INDEX(ASSUMPTIONS!$C$16:$E$16, 1, MATCH(ASSUMPTIONS!$C$2, ASSUMPTIONS!$C$4:$E$4, 0))) ^ 3)</f>
      </c>
      <c r="AW8" s="17">
        <f>150000 * ((1 + INDEX(ASSUMPTIONS!$C$16:$E$16, 1, MATCH(ASSUMPTIONS!$C$2, ASSUMPTIONS!$C$4:$E$4, 0))) ^ 3)</f>
      </c>
      <c r="AX8" s="17">
        <f>150000 * ((1 + INDEX(ASSUMPTIONS!$C$16:$E$16, 1, MATCH(ASSUMPTIONS!$C$2, ASSUMPTIONS!$C$4:$E$4, 0))) ^ 3)</f>
      </c>
      <c r="AY8" s="17">
        <f>150000 * ((1 + INDEX(ASSUMPTIONS!$C$16:$E$16, 1, MATCH(ASSUMPTIONS!$C$2, ASSUMPTIONS!$C$4:$E$4, 0))) ^ 4)</f>
      </c>
      <c r="AZ8" s="17">
        <f>150000 * ((1 + INDEX(ASSUMPTIONS!$C$16:$E$16, 1, MATCH(ASSUMPTIONS!$C$2, ASSUMPTIONS!$C$4:$E$4, 0))) ^ 4)</f>
      </c>
      <c r="BA8" s="17">
        <f>150000 * ((1 + INDEX(ASSUMPTIONS!$C$16:$E$16, 1, MATCH(ASSUMPTIONS!$C$2, ASSUMPTIONS!$C$4:$E$4, 0))) ^ 4)</f>
      </c>
      <c r="BB8" s="17">
        <f>150000 * ((1 + INDEX(ASSUMPTIONS!$C$16:$E$16, 1, MATCH(ASSUMPTIONS!$C$2, ASSUMPTIONS!$C$4:$E$4, 0))) ^ 4)</f>
      </c>
      <c r="BC8" s="17">
        <f>150000 * ((1 + INDEX(ASSUMPTIONS!$C$16:$E$16, 1, MATCH(ASSUMPTIONS!$C$2, ASSUMPTIONS!$C$4:$E$4, 0))) ^ 4)</f>
      </c>
      <c r="BD8" s="17">
        <f>150000 * ((1 + INDEX(ASSUMPTIONS!$C$16:$E$16, 1, MATCH(ASSUMPTIONS!$C$2, ASSUMPTIONS!$C$4:$E$4, 0))) ^ 4)</f>
      </c>
      <c r="BE8" s="17">
        <f>150000 * ((1 + INDEX(ASSUMPTIONS!$C$16:$E$16, 1, MATCH(ASSUMPTIONS!$C$2, ASSUMPTIONS!$C$4:$E$4, 0))) ^ 4)</f>
      </c>
      <c r="BF8" s="17">
        <f>150000 * ((1 + INDEX(ASSUMPTIONS!$C$16:$E$16, 1, MATCH(ASSUMPTIONS!$C$2, ASSUMPTIONS!$C$4:$E$4, 0))) ^ 4)</f>
      </c>
      <c r="BG8" s="17">
        <f>150000 * ((1 + INDEX(ASSUMPTIONS!$C$16:$E$16, 1, MATCH(ASSUMPTIONS!$C$2, ASSUMPTIONS!$C$4:$E$4, 0))) ^ 4)</f>
      </c>
      <c r="BH8" s="17">
        <f>150000 * ((1 + INDEX(ASSUMPTIONS!$C$16:$E$16, 1, MATCH(ASSUMPTIONS!$C$2, ASSUMPTIONS!$C$4:$E$4, 0))) ^ 4)</f>
      </c>
      <c r="BI8" s="17">
        <f>150000 * ((1 + INDEX(ASSUMPTIONS!$C$16:$E$16, 1, MATCH(ASSUMPTIONS!$C$2, ASSUMPTIONS!$C$4:$E$4, 0))) ^ 4)</f>
      </c>
      <c r="BJ8" s="17">
        <f>150000 * ((1 + INDEX(ASSUMPTIONS!$C$16:$E$16, 1, MATCH(ASSUMPTIONS!$C$2, ASSUMPTIONS!$C$4:$E$4, 0))) ^ 4)</f>
      </c>
    </row>
    <row r="9" spans="2:62" x14ac:dyDescent="0.25">
      <c r="B9" t="s">
        <v>109</v>
      </c>
      <c r="C9" s="17">
        <f>50000 * ((1 + INDEX(ASSUMPTIONS!$C$16:$E$16, 1, MATCH(ASSUMPTIONS!$C$2, ASSUMPTIONS!$C$4:$E$4, 0))) ^ 0)</f>
      </c>
      <c r="D9" s="17">
        <f>50000 * ((1 + INDEX(ASSUMPTIONS!$C$16:$E$16, 1, MATCH(ASSUMPTIONS!$C$2, ASSUMPTIONS!$C$4:$E$4, 0))) ^ 0)</f>
      </c>
      <c r="E9" s="17">
        <f>50000 * ((1 + INDEX(ASSUMPTIONS!$C$16:$E$16, 1, MATCH(ASSUMPTIONS!$C$2, ASSUMPTIONS!$C$4:$E$4, 0))) ^ 0)</f>
      </c>
      <c r="F9" s="17">
        <f>50000 * ((1 + INDEX(ASSUMPTIONS!$C$16:$E$16, 1, MATCH(ASSUMPTIONS!$C$2, ASSUMPTIONS!$C$4:$E$4, 0))) ^ 0)</f>
      </c>
      <c r="G9" s="17">
        <f>50000 * ((1 + INDEX(ASSUMPTIONS!$C$16:$E$16, 1, MATCH(ASSUMPTIONS!$C$2, ASSUMPTIONS!$C$4:$E$4, 0))) ^ 0)</f>
      </c>
      <c r="H9" s="17">
        <f>50000 * ((1 + INDEX(ASSUMPTIONS!$C$16:$E$16, 1, MATCH(ASSUMPTIONS!$C$2, ASSUMPTIONS!$C$4:$E$4, 0))) ^ 0)</f>
      </c>
      <c r="I9" s="17">
        <f>50000 * ((1 + INDEX(ASSUMPTIONS!$C$16:$E$16, 1, MATCH(ASSUMPTIONS!$C$2, ASSUMPTIONS!$C$4:$E$4, 0))) ^ 0)</f>
      </c>
      <c r="J9" s="17">
        <f>50000 * ((1 + INDEX(ASSUMPTIONS!$C$16:$E$16, 1, MATCH(ASSUMPTIONS!$C$2, ASSUMPTIONS!$C$4:$E$4, 0))) ^ 0)</f>
      </c>
      <c r="K9" s="17">
        <f>50000 * ((1 + INDEX(ASSUMPTIONS!$C$16:$E$16, 1, MATCH(ASSUMPTIONS!$C$2, ASSUMPTIONS!$C$4:$E$4, 0))) ^ 0)</f>
      </c>
      <c r="L9" s="17">
        <f>50000 * ((1 + INDEX(ASSUMPTIONS!$C$16:$E$16, 1, MATCH(ASSUMPTIONS!$C$2, ASSUMPTIONS!$C$4:$E$4, 0))) ^ 0)</f>
      </c>
      <c r="M9" s="17">
        <f>50000 * ((1 + INDEX(ASSUMPTIONS!$C$16:$E$16, 1, MATCH(ASSUMPTIONS!$C$2, ASSUMPTIONS!$C$4:$E$4, 0))) ^ 0)</f>
      </c>
      <c r="N9" s="17">
        <f>50000 * ((1 + INDEX(ASSUMPTIONS!$C$16:$E$16, 1, MATCH(ASSUMPTIONS!$C$2, ASSUMPTIONS!$C$4:$E$4, 0))) ^ 0)</f>
      </c>
      <c r="O9" s="17">
        <f>50000 * ((1 + INDEX(ASSUMPTIONS!$C$16:$E$16, 1, MATCH(ASSUMPTIONS!$C$2, ASSUMPTIONS!$C$4:$E$4, 0))) ^ 1)</f>
      </c>
      <c r="P9" s="17">
        <f>50000 * ((1 + INDEX(ASSUMPTIONS!$C$16:$E$16, 1, MATCH(ASSUMPTIONS!$C$2, ASSUMPTIONS!$C$4:$E$4, 0))) ^ 1)</f>
      </c>
      <c r="Q9" s="17">
        <f>50000 * ((1 + INDEX(ASSUMPTIONS!$C$16:$E$16, 1, MATCH(ASSUMPTIONS!$C$2, ASSUMPTIONS!$C$4:$E$4, 0))) ^ 1)</f>
      </c>
      <c r="R9" s="17">
        <f>50000 * ((1 + INDEX(ASSUMPTIONS!$C$16:$E$16, 1, MATCH(ASSUMPTIONS!$C$2, ASSUMPTIONS!$C$4:$E$4, 0))) ^ 1)</f>
      </c>
      <c r="S9" s="17">
        <f>50000 * ((1 + INDEX(ASSUMPTIONS!$C$16:$E$16, 1, MATCH(ASSUMPTIONS!$C$2, ASSUMPTIONS!$C$4:$E$4, 0))) ^ 1)</f>
      </c>
      <c r="T9" s="17">
        <f>50000 * ((1 + INDEX(ASSUMPTIONS!$C$16:$E$16, 1, MATCH(ASSUMPTIONS!$C$2, ASSUMPTIONS!$C$4:$E$4, 0))) ^ 1)</f>
      </c>
      <c r="U9" s="17">
        <f>50000 * ((1 + INDEX(ASSUMPTIONS!$C$16:$E$16, 1, MATCH(ASSUMPTIONS!$C$2, ASSUMPTIONS!$C$4:$E$4, 0))) ^ 1)</f>
      </c>
      <c r="V9" s="17">
        <f>50000 * ((1 + INDEX(ASSUMPTIONS!$C$16:$E$16, 1, MATCH(ASSUMPTIONS!$C$2, ASSUMPTIONS!$C$4:$E$4, 0))) ^ 1)</f>
      </c>
      <c r="W9" s="17">
        <f>50000 * ((1 + INDEX(ASSUMPTIONS!$C$16:$E$16, 1, MATCH(ASSUMPTIONS!$C$2, ASSUMPTIONS!$C$4:$E$4, 0))) ^ 1)</f>
      </c>
      <c r="X9" s="17">
        <f>50000 * ((1 + INDEX(ASSUMPTIONS!$C$16:$E$16, 1, MATCH(ASSUMPTIONS!$C$2, ASSUMPTIONS!$C$4:$E$4, 0))) ^ 1)</f>
      </c>
      <c r="Y9" s="17">
        <f>50000 * ((1 + INDEX(ASSUMPTIONS!$C$16:$E$16, 1, MATCH(ASSUMPTIONS!$C$2, ASSUMPTIONS!$C$4:$E$4, 0))) ^ 1)</f>
      </c>
      <c r="Z9" s="17">
        <f>50000 * ((1 + INDEX(ASSUMPTIONS!$C$16:$E$16, 1, MATCH(ASSUMPTIONS!$C$2, ASSUMPTIONS!$C$4:$E$4, 0))) ^ 1)</f>
      </c>
      <c r="AA9" s="17">
        <f>50000 * ((1 + INDEX(ASSUMPTIONS!$C$16:$E$16, 1, MATCH(ASSUMPTIONS!$C$2, ASSUMPTIONS!$C$4:$E$4, 0))) ^ 2)</f>
      </c>
      <c r="AB9" s="17">
        <f>50000 * ((1 + INDEX(ASSUMPTIONS!$C$16:$E$16, 1, MATCH(ASSUMPTIONS!$C$2, ASSUMPTIONS!$C$4:$E$4, 0))) ^ 2)</f>
      </c>
      <c r="AC9" s="17">
        <f>50000 * ((1 + INDEX(ASSUMPTIONS!$C$16:$E$16, 1, MATCH(ASSUMPTIONS!$C$2, ASSUMPTIONS!$C$4:$E$4, 0))) ^ 2)</f>
      </c>
      <c r="AD9" s="17">
        <f>50000 * ((1 + INDEX(ASSUMPTIONS!$C$16:$E$16, 1, MATCH(ASSUMPTIONS!$C$2, ASSUMPTIONS!$C$4:$E$4, 0))) ^ 2)</f>
      </c>
      <c r="AE9" s="17">
        <f>50000 * ((1 + INDEX(ASSUMPTIONS!$C$16:$E$16, 1, MATCH(ASSUMPTIONS!$C$2, ASSUMPTIONS!$C$4:$E$4, 0))) ^ 2)</f>
      </c>
      <c r="AF9" s="17">
        <f>50000 * ((1 + INDEX(ASSUMPTIONS!$C$16:$E$16, 1, MATCH(ASSUMPTIONS!$C$2, ASSUMPTIONS!$C$4:$E$4, 0))) ^ 2)</f>
      </c>
      <c r="AG9" s="17">
        <f>50000 * ((1 + INDEX(ASSUMPTIONS!$C$16:$E$16, 1, MATCH(ASSUMPTIONS!$C$2, ASSUMPTIONS!$C$4:$E$4, 0))) ^ 2)</f>
      </c>
      <c r="AH9" s="17">
        <f>50000 * ((1 + INDEX(ASSUMPTIONS!$C$16:$E$16, 1, MATCH(ASSUMPTIONS!$C$2, ASSUMPTIONS!$C$4:$E$4, 0))) ^ 2)</f>
      </c>
      <c r="AI9" s="17">
        <f>50000 * ((1 + INDEX(ASSUMPTIONS!$C$16:$E$16, 1, MATCH(ASSUMPTIONS!$C$2, ASSUMPTIONS!$C$4:$E$4, 0))) ^ 2)</f>
      </c>
      <c r="AJ9" s="17">
        <f>50000 * ((1 + INDEX(ASSUMPTIONS!$C$16:$E$16, 1, MATCH(ASSUMPTIONS!$C$2, ASSUMPTIONS!$C$4:$E$4, 0))) ^ 2)</f>
      </c>
      <c r="AK9" s="17">
        <f>50000 * ((1 + INDEX(ASSUMPTIONS!$C$16:$E$16, 1, MATCH(ASSUMPTIONS!$C$2, ASSUMPTIONS!$C$4:$E$4, 0))) ^ 2)</f>
      </c>
      <c r="AL9" s="17">
        <f>50000 * ((1 + INDEX(ASSUMPTIONS!$C$16:$E$16, 1, MATCH(ASSUMPTIONS!$C$2, ASSUMPTIONS!$C$4:$E$4, 0))) ^ 2)</f>
      </c>
      <c r="AM9" s="17">
        <f>50000 * ((1 + INDEX(ASSUMPTIONS!$C$16:$E$16, 1, MATCH(ASSUMPTIONS!$C$2, ASSUMPTIONS!$C$4:$E$4, 0))) ^ 3)</f>
      </c>
      <c r="AN9" s="17">
        <f>50000 * ((1 + INDEX(ASSUMPTIONS!$C$16:$E$16, 1, MATCH(ASSUMPTIONS!$C$2, ASSUMPTIONS!$C$4:$E$4, 0))) ^ 3)</f>
      </c>
      <c r="AO9" s="17">
        <f>50000 * ((1 + INDEX(ASSUMPTIONS!$C$16:$E$16, 1, MATCH(ASSUMPTIONS!$C$2, ASSUMPTIONS!$C$4:$E$4, 0))) ^ 3)</f>
      </c>
      <c r="AP9" s="17">
        <f>50000 * ((1 + INDEX(ASSUMPTIONS!$C$16:$E$16, 1, MATCH(ASSUMPTIONS!$C$2, ASSUMPTIONS!$C$4:$E$4, 0))) ^ 3)</f>
      </c>
      <c r="AQ9" s="17">
        <f>50000 * ((1 + INDEX(ASSUMPTIONS!$C$16:$E$16, 1, MATCH(ASSUMPTIONS!$C$2, ASSUMPTIONS!$C$4:$E$4, 0))) ^ 3)</f>
      </c>
      <c r="AR9" s="17">
        <f>50000 * ((1 + INDEX(ASSUMPTIONS!$C$16:$E$16, 1, MATCH(ASSUMPTIONS!$C$2, ASSUMPTIONS!$C$4:$E$4, 0))) ^ 3)</f>
      </c>
      <c r="AS9" s="17">
        <f>50000 * ((1 + INDEX(ASSUMPTIONS!$C$16:$E$16, 1, MATCH(ASSUMPTIONS!$C$2, ASSUMPTIONS!$C$4:$E$4, 0))) ^ 3)</f>
      </c>
      <c r="AT9" s="17">
        <f>50000 * ((1 + INDEX(ASSUMPTIONS!$C$16:$E$16, 1, MATCH(ASSUMPTIONS!$C$2, ASSUMPTIONS!$C$4:$E$4, 0))) ^ 3)</f>
      </c>
      <c r="AU9" s="17">
        <f>50000 * ((1 + INDEX(ASSUMPTIONS!$C$16:$E$16, 1, MATCH(ASSUMPTIONS!$C$2, ASSUMPTIONS!$C$4:$E$4, 0))) ^ 3)</f>
      </c>
      <c r="AV9" s="17">
        <f>50000 * ((1 + INDEX(ASSUMPTIONS!$C$16:$E$16, 1, MATCH(ASSUMPTIONS!$C$2, ASSUMPTIONS!$C$4:$E$4, 0))) ^ 3)</f>
      </c>
      <c r="AW9" s="17">
        <f>50000 * ((1 + INDEX(ASSUMPTIONS!$C$16:$E$16, 1, MATCH(ASSUMPTIONS!$C$2, ASSUMPTIONS!$C$4:$E$4, 0))) ^ 3)</f>
      </c>
      <c r="AX9" s="17">
        <f>50000 * ((1 + INDEX(ASSUMPTIONS!$C$16:$E$16, 1, MATCH(ASSUMPTIONS!$C$2, ASSUMPTIONS!$C$4:$E$4, 0))) ^ 3)</f>
      </c>
      <c r="AY9" s="17">
        <f>50000 * ((1 + INDEX(ASSUMPTIONS!$C$16:$E$16, 1, MATCH(ASSUMPTIONS!$C$2, ASSUMPTIONS!$C$4:$E$4, 0))) ^ 4)</f>
      </c>
      <c r="AZ9" s="17">
        <f>50000 * ((1 + INDEX(ASSUMPTIONS!$C$16:$E$16, 1, MATCH(ASSUMPTIONS!$C$2, ASSUMPTIONS!$C$4:$E$4, 0))) ^ 4)</f>
      </c>
      <c r="BA9" s="17">
        <f>50000 * ((1 + INDEX(ASSUMPTIONS!$C$16:$E$16, 1, MATCH(ASSUMPTIONS!$C$2, ASSUMPTIONS!$C$4:$E$4, 0))) ^ 4)</f>
      </c>
      <c r="BB9" s="17">
        <f>50000 * ((1 + INDEX(ASSUMPTIONS!$C$16:$E$16, 1, MATCH(ASSUMPTIONS!$C$2, ASSUMPTIONS!$C$4:$E$4, 0))) ^ 4)</f>
      </c>
      <c r="BC9" s="17">
        <f>50000 * ((1 + INDEX(ASSUMPTIONS!$C$16:$E$16, 1, MATCH(ASSUMPTIONS!$C$2, ASSUMPTIONS!$C$4:$E$4, 0))) ^ 4)</f>
      </c>
      <c r="BD9" s="17">
        <f>50000 * ((1 + INDEX(ASSUMPTIONS!$C$16:$E$16, 1, MATCH(ASSUMPTIONS!$C$2, ASSUMPTIONS!$C$4:$E$4, 0))) ^ 4)</f>
      </c>
      <c r="BE9" s="17">
        <f>50000 * ((1 + INDEX(ASSUMPTIONS!$C$16:$E$16, 1, MATCH(ASSUMPTIONS!$C$2, ASSUMPTIONS!$C$4:$E$4, 0))) ^ 4)</f>
      </c>
      <c r="BF9" s="17">
        <f>50000 * ((1 + INDEX(ASSUMPTIONS!$C$16:$E$16, 1, MATCH(ASSUMPTIONS!$C$2, ASSUMPTIONS!$C$4:$E$4, 0))) ^ 4)</f>
      </c>
      <c r="BG9" s="17">
        <f>50000 * ((1 + INDEX(ASSUMPTIONS!$C$16:$E$16, 1, MATCH(ASSUMPTIONS!$C$2, ASSUMPTIONS!$C$4:$E$4, 0))) ^ 4)</f>
      </c>
      <c r="BH9" s="17">
        <f>50000 * ((1 + INDEX(ASSUMPTIONS!$C$16:$E$16, 1, MATCH(ASSUMPTIONS!$C$2, ASSUMPTIONS!$C$4:$E$4, 0))) ^ 4)</f>
      </c>
      <c r="BI9" s="17">
        <f>50000 * ((1 + INDEX(ASSUMPTIONS!$C$16:$E$16, 1, MATCH(ASSUMPTIONS!$C$2, ASSUMPTIONS!$C$4:$E$4, 0))) ^ 4)</f>
      </c>
      <c r="BJ9" s="17">
        <f>50000 * ((1 + INDEX(ASSUMPTIONS!$C$16:$E$16, 1, MATCH(ASSUMPTIONS!$C$2, ASSUMPTIONS!$C$4:$E$4, 0))) ^ 4)</f>
      </c>
    </row>
    <row r="10" spans="2:62" x14ac:dyDescent="0.25">
      <c r="B10" s="16" t="s">
        <v>110</v>
      </c>
      <c r="C10" s="17">
        <f>((C5 + C6 + C7 + C8 + C9) * (1 + INDEX(ASSUMPTIONS!$C$8:$E$8, 1, MATCH(ASSUMPTIONS!$C$2, ASSUMPTIONS!$C$4:$E$4, 0))))</f>
      </c>
      <c r="D10" s="17">
        <f>((D5 + D6 + D7 + D8 + D9) * (1 + INDEX(ASSUMPTIONS!$C$8:$E$8, 1, MATCH(ASSUMPTIONS!$C$2, ASSUMPTIONS!$C$4:$E$4, 0))))</f>
      </c>
      <c r="E10" s="17">
        <f>((E5 + E6 + E7 + E8 + E9) * (1 + INDEX(ASSUMPTIONS!$C$8:$E$8, 1, MATCH(ASSUMPTIONS!$C$2, ASSUMPTIONS!$C$4:$E$4, 0))))</f>
      </c>
      <c r="F10" s="17">
        <f>((F5 + F6 + F7 + F8 + F9) * (1 + INDEX(ASSUMPTIONS!$C$8:$E$8, 1, MATCH(ASSUMPTIONS!$C$2, ASSUMPTIONS!$C$4:$E$4, 0))))</f>
      </c>
      <c r="G10" s="17">
        <f>((G5 + G6 + G7 + G8 + G9) * (1 + INDEX(ASSUMPTIONS!$C$8:$E$8, 1, MATCH(ASSUMPTIONS!$C$2, ASSUMPTIONS!$C$4:$E$4, 0))))</f>
      </c>
      <c r="H10" s="17">
        <f>((H5 + H6 + H7 + H8 + H9) * (1 + INDEX(ASSUMPTIONS!$C$8:$E$8, 1, MATCH(ASSUMPTIONS!$C$2, ASSUMPTIONS!$C$4:$E$4, 0))))</f>
      </c>
      <c r="I10" s="17">
        <f>((I5 + I6 + I7 + I8 + I9) * (1 + INDEX(ASSUMPTIONS!$C$8:$E$8, 1, MATCH(ASSUMPTIONS!$C$2, ASSUMPTIONS!$C$4:$E$4, 0))))</f>
      </c>
      <c r="J10" s="17">
        <f>((J5 + J6 + J7 + J8 + J9) * (1 + INDEX(ASSUMPTIONS!$C$8:$E$8, 1, MATCH(ASSUMPTIONS!$C$2, ASSUMPTIONS!$C$4:$E$4, 0))))</f>
      </c>
      <c r="K10" s="17">
        <f>((K5 + K6 + K7 + K8 + K9) * (1 + INDEX(ASSUMPTIONS!$C$8:$E$8, 1, MATCH(ASSUMPTIONS!$C$2, ASSUMPTIONS!$C$4:$E$4, 0))))</f>
      </c>
      <c r="L10" s="17">
        <f>((L5 + L6 + L7 + L8 + L9) * (1 + INDEX(ASSUMPTIONS!$C$8:$E$8, 1, MATCH(ASSUMPTIONS!$C$2, ASSUMPTIONS!$C$4:$E$4, 0))))</f>
      </c>
      <c r="M10" s="17">
        <f>((M5 + M6 + M7 + M8 + M9) * (1 + INDEX(ASSUMPTIONS!$C$8:$E$8, 1, MATCH(ASSUMPTIONS!$C$2, ASSUMPTIONS!$C$4:$E$4, 0))))</f>
      </c>
      <c r="N10" s="17">
        <f>((N5 + N6 + N7 + N8 + N9) * (1 + INDEX(ASSUMPTIONS!$C$8:$E$8, 1, MATCH(ASSUMPTIONS!$C$2, ASSUMPTIONS!$C$4:$E$4, 0))))</f>
      </c>
      <c r="O10" s="17">
        <f>((O5 + O6 + O7 + O8 + O9) * (1 + INDEX(ASSUMPTIONS!$C$8:$E$8, 1, MATCH(ASSUMPTIONS!$C$2, ASSUMPTIONS!$C$4:$E$4, 0))))</f>
      </c>
      <c r="P10" s="17">
        <f>((P5 + P6 + P7 + P8 + P9) * (1 + INDEX(ASSUMPTIONS!$C$8:$E$8, 1, MATCH(ASSUMPTIONS!$C$2, ASSUMPTIONS!$C$4:$E$4, 0))))</f>
      </c>
      <c r="Q10" s="17">
        <f>((Q5 + Q6 + Q7 + Q8 + Q9) * (1 + INDEX(ASSUMPTIONS!$C$8:$E$8, 1, MATCH(ASSUMPTIONS!$C$2, ASSUMPTIONS!$C$4:$E$4, 0))))</f>
      </c>
      <c r="R10" s="17">
        <f>((R5 + R6 + R7 + R8 + R9) * (1 + INDEX(ASSUMPTIONS!$C$8:$E$8, 1, MATCH(ASSUMPTIONS!$C$2, ASSUMPTIONS!$C$4:$E$4, 0))))</f>
      </c>
      <c r="S10" s="17">
        <f>((S5 + S6 + S7 + S8 + S9) * (1 + INDEX(ASSUMPTIONS!$C$8:$E$8, 1, MATCH(ASSUMPTIONS!$C$2, ASSUMPTIONS!$C$4:$E$4, 0))))</f>
      </c>
      <c r="T10" s="17">
        <f>((T5 + T6 + T7 + T8 + T9) * (1 + INDEX(ASSUMPTIONS!$C$8:$E$8, 1, MATCH(ASSUMPTIONS!$C$2, ASSUMPTIONS!$C$4:$E$4, 0))))</f>
      </c>
      <c r="U10" s="17">
        <f>((U5 + U6 + U7 + U8 + U9) * (1 + INDEX(ASSUMPTIONS!$C$8:$E$8, 1, MATCH(ASSUMPTIONS!$C$2, ASSUMPTIONS!$C$4:$E$4, 0))))</f>
      </c>
      <c r="V10" s="17">
        <f>((V5 + V6 + V7 + V8 + V9) * (1 + INDEX(ASSUMPTIONS!$C$8:$E$8, 1, MATCH(ASSUMPTIONS!$C$2, ASSUMPTIONS!$C$4:$E$4, 0))))</f>
      </c>
      <c r="W10" s="17">
        <f>((W5 + W6 + W7 + W8 + W9) * (1 + INDEX(ASSUMPTIONS!$C$8:$E$8, 1, MATCH(ASSUMPTIONS!$C$2, ASSUMPTIONS!$C$4:$E$4, 0))))</f>
      </c>
      <c r="X10" s="17">
        <f>((X5 + X6 + X7 + X8 + X9) * (1 + INDEX(ASSUMPTIONS!$C$8:$E$8, 1, MATCH(ASSUMPTIONS!$C$2, ASSUMPTIONS!$C$4:$E$4, 0))))</f>
      </c>
      <c r="Y10" s="17">
        <f>((Y5 + Y6 + Y7 + Y8 + Y9) * (1 + INDEX(ASSUMPTIONS!$C$8:$E$8, 1, MATCH(ASSUMPTIONS!$C$2, ASSUMPTIONS!$C$4:$E$4, 0))))</f>
      </c>
      <c r="Z10" s="17">
        <f>((Z5 + Z6 + Z7 + Z8 + Z9) * (1 + INDEX(ASSUMPTIONS!$C$8:$E$8, 1, MATCH(ASSUMPTIONS!$C$2, ASSUMPTIONS!$C$4:$E$4, 0))))</f>
      </c>
      <c r="AA10" s="17">
        <f>((AA5 + AA6 + AA7 + AA8 + AA9) * (1 + INDEX(ASSUMPTIONS!$C$8:$E$8, 1, MATCH(ASSUMPTIONS!$C$2, ASSUMPTIONS!$C$4:$E$4, 0))))</f>
      </c>
      <c r="AB10" s="17">
        <f>((AB5 + AB6 + AB7 + AB8 + AB9) * (1 + INDEX(ASSUMPTIONS!$C$8:$E$8, 1, MATCH(ASSUMPTIONS!$C$2, ASSUMPTIONS!$C$4:$E$4, 0))))</f>
      </c>
      <c r="AC10" s="17">
        <f>((AC5 + AC6 + AC7 + AC8 + AC9) * (1 + INDEX(ASSUMPTIONS!$C$8:$E$8, 1, MATCH(ASSUMPTIONS!$C$2, ASSUMPTIONS!$C$4:$E$4, 0))))</f>
      </c>
      <c r="AD10" s="17">
        <f>((AD5 + AD6 + AD7 + AD8 + AD9) * (1 + INDEX(ASSUMPTIONS!$C$8:$E$8, 1, MATCH(ASSUMPTIONS!$C$2, ASSUMPTIONS!$C$4:$E$4, 0))))</f>
      </c>
      <c r="AE10" s="17">
        <f>((AE5 + AE6 + AE7 + AE8 + AE9) * (1 + INDEX(ASSUMPTIONS!$C$8:$E$8, 1, MATCH(ASSUMPTIONS!$C$2, ASSUMPTIONS!$C$4:$E$4, 0))))</f>
      </c>
      <c r="AF10" s="17">
        <f>((AF5 + AF6 + AF7 + AF8 + AF9) * (1 + INDEX(ASSUMPTIONS!$C$8:$E$8, 1, MATCH(ASSUMPTIONS!$C$2, ASSUMPTIONS!$C$4:$E$4, 0))))</f>
      </c>
      <c r="AG10" s="17">
        <f>((AG5 + AG6 + AG7 + AG8 + AG9) * (1 + INDEX(ASSUMPTIONS!$C$8:$E$8, 1, MATCH(ASSUMPTIONS!$C$2, ASSUMPTIONS!$C$4:$E$4, 0))))</f>
      </c>
      <c r="AH10" s="17">
        <f>((AH5 + AH6 + AH7 + AH8 + AH9) * (1 + INDEX(ASSUMPTIONS!$C$8:$E$8, 1, MATCH(ASSUMPTIONS!$C$2, ASSUMPTIONS!$C$4:$E$4, 0))))</f>
      </c>
      <c r="AI10" s="17">
        <f>((AI5 + AI6 + AI7 + AI8 + AI9) * (1 + INDEX(ASSUMPTIONS!$C$8:$E$8, 1, MATCH(ASSUMPTIONS!$C$2, ASSUMPTIONS!$C$4:$E$4, 0))))</f>
      </c>
      <c r="AJ10" s="17">
        <f>((AJ5 + AJ6 + AJ7 + AJ8 + AJ9) * (1 + INDEX(ASSUMPTIONS!$C$8:$E$8, 1, MATCH(ASSUMPTIONS!$C$2, ASSUMPTIONS!$C$4:$E$4, 0))))</f>
      </c>
      <c r="AK10" s="17">
        <f>((AK5 + AK6 + AK7 + AK8 + AK9) * (1 + INDEX(ASSUMPTIONS!$C$8:$E$8, 1, MATCH(ASSUMPTIONS!$C$2, ASSUMPTIONS!$C$4:$E$4, 0))))</f>
      </c>
      <c r="AL10" s="17">
        <f>((AL5 + AL6 + AL7 + AL8 + AL9) * (1 + INDEX(ASSUMPTIONS!$C$8:$E$8, 1, MATCH(ASSUMPTIONS!$C$2, ASSUMPTIONS!$C$4:$E$4, 0))))</f>
      </c>
      <c r="AM10" s="17">
        <f>((AM5 + AM6 + AM7 + AM8 + AM9) * (1 + INDEX(ASSUMPTIONS!$C$8:$E$8, 1, MATCH(ASSUMPTIONS!$C$2, ASSUMPTIONS!$C$4:$E$4, 0))))</f>
      </c>
      <c r="AN10" s="17">
        <f>((AN5 + AN6 + AN7 + AN8 + AN9) * (1 + INDEX(ASSUMPTIONS!$C$8:$E$8, 1, MATCH(ASSUMPTIONS!$C$2, ASSUMPTIONS!$C$4:$E$4, 0))))</f>
      </c>
      <c r="AO10" s="17">
        <f>((AO5 + AO6 + AO7 + AO8 + AO9) * (1 + INDEX(ASSUMPTIONS!$C$8:$E$8, 1, MATCH(ASSUMPTIONS!$C$2, ASSUMPTIONS!$C$4:$E$4, 0))))</f>
      </c>
      <c r="AP10" s="17">
        <f>((AP5 + AP6 + AP7 + AP8 + AP9) * (1 + INDEX(ASSUMPTIONS!$C$8:$E$8, 1, MATCH(ASSUMPTIONS!$C$2, ASSUMPTIONS!$C$4:$E$4, 0))))</f>
      </c>
      <c r="AQ10" s="17">
        <f>((AQ5 + AQ6 + AQ7 + AQ8 + AQ9) * (1 + INDEX(ASSUMPTIONS!$C$8:$E$8, 1, MATCH(ASSUMPTIONS!$C$2, ASSUMPTIONS!$C$4:$E$4, 0))))</f>
      </c>
      <c r="AR10" s="17">
        <f>((AR5 + AR6 + AR7 + AR8 + AR9) * (1 + INDEX(ASSUMPTIONS!$C$8:$E$8, 1, MATCH(ASSUMPTIONS!$C$2, ASSUMPTIONS!$C$4:$E$4, 0))))</f>
      </c>
      <c r="AS10" s="17">
        <f>((AS5 + AS6 + AS7 + AS8 + AS9) * (1 + INDEX(ASSUMPTIONS!$C$8:$E$8, 1, MATCH(ASSUMPTIONS!$C$2, ASSUMPTIONS!$C$4:$E$4, 0))))</f>
      </c>
      <c r="AT10" s="17">
        <f>((AT5 + AT6 + AT7 + AT8 + AT9) * (1 + INDEX(ASSUMPTIONS!$C$8:$E$8, 1, MATCH(ASSUMPTIONS!$C$2, ASSUMPTIONS!$C$4:$E$4, 0))))</f>
      </c>
      <c r="AU10" s="17">
        <f>((AU5 + AU6 + AU7 + AU8 + AU9) * (1 + INDEX(ASSUMPTIONS!$C$8:$E$8, 1, MATCH(ASSUMPTIONS!$C$2, ASSUMPTIONS!$C$4:$E$4, 0))))</f>
      </c>
      <c r="AV10" s="17">
        <f>((AV5 + AV6 + AV7 + AV8 + AV9) * (1 + INDEX(ASSUMPTIONS!$C$8:$E$8, 1, MATCH(ASSUMPTIONS!$C$2, ASSUMPTIONS!$C$4:$E$4, 0))))</f>
      </c>
      <c r="AW10" s="17">
        <f>((AW5 + AW6 + AW7 + AW8 + AW9) * (1 + INDEX(ASSUMPTIONS!$C$8:$E$8, 1, MATCH(ASSUMPTIONS!$C$2, ASSUMPTIONS!$C$4:$E$4, 0))))</f>
      </c>
      <c r="AX10" s="17">
        <f>((AX5 + AX6 + AX7 + AX8 + AX9) * (1 + INDEX(ASSUMPTIONS!$C$8:$E$8, 1, MATCH(ASSUMPTIONS!$C$2, ASSUMPTIONS!$C$4:$E$4, 0))))</f>
      </c>
      <c r="AY10" s="17">
        <f>((AY5 + AY6 + AY7 + AY8 + AY9) * (1 + INDEX(ASSUMPTIONS!$C$8:$E$8, 1, MATCH(ASSUMPTIONS!$C$2, ASSUMPTIONS!$C$4:$E$4, 0))))</f>
      </c>
      <c r="AZ10" s="17">
        <f>((AZ5 + AZ6 + AZ7 + AZ8 + AZ9) * (1 + INDEX(ASSUMPTIONS!$C$8:$E$8, 1, MATCH(ASSUMPTIONS!$C$2, ASSUMPTIONS!$C$4:$E$4, 0))))</f>
      </c>
      <c r="BA10" s="17">
        <f>((BA5 + BA6 + BA7 + BA8 + BA9) * (1 + INDEX(ASSUMPTIONS!$C$8:$E$8, 1, MATCH(ASSUMPTIONS!$C$2, ASSUMPTIONS!$C$4:$E$4, 0))))</f>
      </c>
      <c r="BB10" s="17">
        <f>((BB5 + BB6 + BB7 + BB8 + BB9) * (1 + INDEX(ASSUMPTIONS!$C$8:$E$8, 1, MATCH(ASSUMPTIONS!$C$2, ASSUMPTIONS!$C$4:$E$4, 0))))</f>
      </c>
      <c r="BC10" s="17">
        <f>((BC5 + BC6 + BC7 + BC8 + BC9) * (1 + INDEX(ASSUMPTIONS!$C$8:$E$8, 1, MATCH(ASSUMPTIONS!$C$2, ASSUMPTIONS!$C$4:$E$4, 0))))</f>
      </c>
      <c r="BD10" s="17">
        <f>((BD5 + BD6 + BD7 + BD8 + BD9) * (1 + INDEX(ASSUMPTIONS!$C$8:$E$8, 1, MATCH(ASSUMPTIONS!$C$2, ASSUMPTIONS!$C$4:$E$4, 0))))</f>
      </c>
      <c r="BE10" s="17">
        <f>((BE5 + BE6 + BE7 + BE8 + BE9) * (1 + INDEX(ASSUMPTIONS!$C$8:$E$8, 1, MATCH(ASSUMPTIONS!$C$2, ASSUMPTIONS!$C$4:$E$4, 0))))</f>
      </c>
      <c r="BF10" s="17">
        <f>((BF5 + BF6 + BF7 + BF8 + BF9) * (1 + INDEX(ASSUMPTIONS!$C$8:$E$8, 1, MATCH(ASSUMPTIONS!$C$2, ASSUMPTIONS!$C$4:$E$4, 0))))</f>
      </c>
      <c r="BG10" s="17">
        <f>((BG5 + BG6 + BG7 + BG8 + BG9) * (1 + INDEX(ASSUMPTIONS!$C$8:$E$8, 1, MATCH(ASSUMPTIONS!$C$2, ASSUMPTIONS!$C$4:$E$4, 0))))</f>
      </c>
      <c r="BH10" s="17">
        <f>((BH5 + BH6 + BH7 + BH8 + BH9) * (1 + INDEX(ASSUMPTIONS!$C$8:$E$8, 1, MATCH(ASSUMPTIONS!$C$2, ASSUMPTIONS!$C$4:$E$4, 0))))</f>
      </c>
      <c r="BI10" s="17">
        <f>((BI5 + BI6 + BI7 + BI8 + BI9) * (1 + INDEX(ASSUMPTIONS!$C$8:$E$8, 1, MATCH(ASSUMPTIONS!$C$2, ASSUMPTIONS!$C$4:$E$4, 0))))</f>
      </c>
      <c r="BJ10" s="17">
        <f>((BJ5 + BJ6 + BJ7 + BJ8 + BJ9) * (1 + INDEX(ASSUMPTIONS!$C$8:$E$8, 1, MATCH(ASSUMPTIONS!$C$2, ASSUMPTIONS!$C$4:$E$4, 0))))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111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112</v>
      </c>
      <c r="C5" s="17">
        <v>0</v>
      </c>
      <c r="D5" s="17">
        <f>C8</f>
      </c>
      <c r="E5" s="17">
        <f>D8</f>
      </c>
      <c r="F5" s="17">
        <f>E8</f>
      </c>
      <c r="G5" s="17">
        <f>F8</f>
      </c>
      <c r="H5" s="17">
        <f>G8</f>
      </c>
      <c r="I5" s="17">
        <f>H8</f>
      </c>
      <c r="J5" s="17">
        <f>I8</f>
      </c>
      <c r="K5" s="17">
        <f>J8</f>
      </c>
      <c r="L5" s="17">
        <f>K8</f>
      </c>
      <c r="M5" s="17">
        <f>L8</f>
      </c>
      <c r="N5" s="17">
        <f>M8</f>
      </c>
      <c r="O5" s="17">
        <f>N8</f>
      </c>
      <c r="P5" s="17">
        <f>O8</f>
      </c>
      <c r="Q5" s="17">
        <f>P8</f>
      </c>
      <c r="R5" s="17">
        <f>Q8</f>
      </c>
      <c r="S5" s="17">
        <f>R8</f>
      </c>
      <c r="T5" s="17">
        <f>S8</f>
      </c>
      <c r="U5" s="17">
        <f>T8</f>
      </c>
      <c r="V5" s="17">
        <f>U8</f>
      </c>
      <c r="W5" s="17">
        <f>V8</f>
      </c>
      <c r="X5" s="17">
        <f>W8</f>
      </c>
      <c r="Y5" s="17">
        <f>X8</f>
      </c>
      <c r="Z5" s="17">
        <f>Y8</f>
      </c>
      <c r="AA5" s="17">
        <f>Z8</f>
      </c>
      <c r="AB5" s="17">
        <f>AA8</f>
      </c>
      <c r="AC5" s="17">
        <f>AB8</f>
      </c>
      <c r="AD5" s="17">
        <f>AC8</f>
      </c>
      <c r="AE5" s="17">
        <f>AD8</f>
      </c>
      <c r="AF5" s="17">
        <f>AE8</f>
      </c>
      <c r="AG5" s="17">
        <f>AF8</f>
      </c>
      <c r="AH5" s="17">
        <f>AG8</f>
      </c>
      <c r="AI5" s="17">
        <f>AH8</f>
      </c>
      <c r="AJ5" s="17">
        <f>AI8</f>
      </c>
      <c r="AK5" s="17">
        <f>AJ8</f>
      </c>
      <c r="AL5" s="17">
        <f>AK8</f>
      </c>
      <c r="AM5" s="17">
        <f>AL8</f>
      </c>
      <c r="AN5" s="17">
        <f>AM8</f>
      </c>
      <c r="AO5" s="17">
        <f>AN8</f>
      </c>
      <c r="AP5" s="17">
        <f>AO8</f>
      </c>
      <c r="AQ5" s="17">
        <f>AP8</f>
      </c>
      <c r="AR5" s="17">
        <f>AQ8</f>
      </c>
      <c r="AS5" s="17">
        <f>AR8</f>
      </c>
      <c r="AT5" s="17">
        <f>AS8</f>
      </c>
      <c r="AU5" s="17">
        <f>AT8</f>
      </c>
      <c r="AV5" s="17">
        <f>AU8</f>
      </c>
      <c r="AW5" s="17">
        <f>AV8</f>
      </c>
      <c r="AX5" s="17">
        <f>AW8</f>
      </c>
      <c r="AY5" s="17">
        <f>AX8</f>
      </c>
      <c r="AZ5" s="17">
        <f>AY8</f>
      </c>
      <c r="BA5" s="17">
        <f>AZ8</f>
      </c>
      <c r="BB5" s="17">
        <f>BA8</f>
      </c>
      <c r="BC5" s="17">
        <f>BB8</f>
      </c>
      <c r="BD5" s="17">
        <f>BC8</f>
      </c>
      <c r="BE5" s="17">
        <f>BD8</f>
      </c>
      <c r="BF5" s="17">
        <f>BE8</f>
      </c>
      <c r="BG5" s="17">
        <f>BF8</f>
      </c>
      <c r="BH5" s="17">
        <f>BG8</f>
      </c>
      <c r="BI5" s="17">
        <f>BH8</f>
      </c>
      <c r="BJ5" s="17">
        <f>BI8</f>
      </c>
    </row>
    <row r="6" spans="2:62" x14ac:dyDescent="0.25">
      <c r="B6" t="s">
        <v>113</v>
      </c>
      <c r="C6" s="17">
        <f>'FUNDING_REQUIREMENT'!$C$5</f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</row>
    <row r="7" spans="2:62" x14ac:dyDescent="0.25">
      <c r="B7" t="s">
        <v>114</v>
      </c>
      <c r="C7" s="17">
        <f>(C5 + C6) / 60</f>
      </c>
      <c r="D7" s="17">
        <f>(D5 + D6) / 60</f>
      </c>
      <c r="E7" s="17">
        <f>(E5 + E6) / 60</f>
      </c>
      <c r="F7" s="17">
        <f>(F5 + F6) / 60</f>
      </c>
      <c r="G7" s="17">
        <f>(G5 + G6) / 60</f>
      </c>
      <c r="H7" s="17">
        <f>(H5 + H6) / 60</f>
      </c>
      <c r="I7" s="17">
        <f>(I5 + I6) / 60</f>
      </c>
      <c r="J7" s="17">
        <f>(J5 + J6) / 60</f>
      </c>
      <c r="K7" s="17">
        <f>(K5 + K6) / 60</f>
      </c>
      <c r="L7" s="17">
        <f>(L5 + L6) / 60</f>
      </c>
      <c r="M7" s="17">
        <f>(M5 + M6) / 60</f>
      </c>
      <c r="N7" s="17">
        <f>(N5 + N6) / 60</f>
      </c>
      <c r="O7" s="17">
        <f>(O5 + O6) / 60</f>
      </c>
      <c r="P7" s="17">
        <f>(P5 + P6) / 60</f>
      </c>
      <c r="Q7" s="17">
        <f>(Q5 + Q6) / 60</f>
      </c>
      <c r="R7" s="17">
        <f>(R5 + R6) / 60</f>
      </c>
      <c r="S7" s="17">
        <f>(S5 + S6) / 60</f>
      </c>
      <c r="T7" s="17">
        <f>(T5 + T6) / 60</f>
      </c>
      <c r="U7" s="17">
        <f>(U5 + U6) / 60</f>
      </c>
      <c r="V7" s="17">
        <f>(V5 + V6) / 60</f>
      </c>
      <c r="W7" s="17">
        <f>(W5 + W6) / 60</f>
      </c>
      <c r="X7" s="17">
        <f>(X5 + X6) / 60</f>
      </c>
      <c r="Y7" s="17">
        <f>(Y5 + Y6) / 60</f>
      </c>
      <c r="Z7" s="17">
        <f>(Z5 + Z6) / 60</f>
      </c>
      <c r="AA7" s="17">
        <f>(AA5 + AA6) / 60</f>
      </c>
      <c r="AB7" s="17">
        <f>(AB5 + AB6) / 60</f>
      </c>
      <c r="AC7" s="17">
        <f>(AC5 + AC6) / 60</f>
      </c>
      <c r="AD7" s="17">
        <f>(AD5 + AD6) / 60</f>
      </c>
      <c r="AE7" s="17">
        <f>(AE5 + AE6) / 60</f>
      </c>
      <c r="AF7" s="17">
        <f>(AF5 + AF6) / 60</f>
      </c>
      <c r="AG7" s="17">
        <f>(AG5 + AG6) / 60</f>
      </c>
      <c r="AH7" s="17">
        <f>(AH5 + AH6) / 60</f>
      </c>
      <c r="AI7" s="17">
        <f>(AI5 + AI6) / 60</f>
      </c>
      <c r="AJ7" s="17">
        <f>(AJ5 + AJ6) / 60</f>
      </c>
      <c r="AK7" s="17">
        <f>(AK5 + AK6) / 60</f>
      </c>
      <c r="AL7" s="17">
        <f>(AL5 + AL6) / 60</f>
      </c>
      <c r="AM7" s="17">
        <f>(AM5 + AM6) / 60</f>
      </c>
      <c r="AN7" s="17">
        <f>(AN5 + AN6) / 60</f>
      </c>
      <c r="AO7" s="17">
        <f>(AO5 + AO6) / 60</f>
      </c>
      <c r="AP7" s="17">
        <f>(AP5 + AP6) / 60</f>
      </c>
      <c r="AQ7" s="17">
        <f>(AQ5 + AQ6) / 60</f>
      </c>
      <c r="AR7" s="17">
        <f>(AR5 + AR6) / 60</f>
      </c>
      <c r="AS7" s="17">
        <f>(AS5 + AS6) / 60</f>
      </c>
      <c r="AT7" s="17">
        <f>(AT5 + AT6) / 60</f>
      </c>
      <c r="AU7" s="17">
        <f>(AU5 + AU6) / 60</f>
      </c>
      <c r="AV7" s="17">
        <f>(AV5 + AV6) / 60</f>
      </c>
      <c r="AW7" s="17">
        <f>(AW5 + AW6) / 60</f>
      </c>
      <c r="AX7" s="17">
        <f>(AX5 + AX6) / 60</f>
      </c>
      <c r="AY7" s="17">
        <f>(AY5 + AY6) / 60</f>
      </c>
      <c r="AZ7" s="17">
        <f>(AZ5 + AZ6) / 60</f>
      </c>
      <c r="BA7" s="17">
        <f>(BA5 + BA6) / 60</f>
      </c>
      <c r="BB7" s="17">
        <f>(BB5 + BB6) / 60</f>
      </c>
      <c r="BC7" s="17">
        <f>(BC5 + BC6) / 60</f>
      </c>
      <c r="BD7" s="17">
        <f>(BD5 + BD6) / 60</f>
      </c>
      <c r="BE7" s="17">
        <f>(BE5 + BE6) / 60</f>
      </c>
      <c r="BF7" s="17">
        <f>(BF5 + BF6) / 60</f>
      </c>
      <c r="BG7" s="17">
        <f>(BG5 + BG6) / 60</f>
      </c>
      <c r="BH7" s="17">
        <f>(BH5 + BH6) / 60</f>
      </c>
      <c r="BI7" s="17">
        <f>(BI5 + BI6) / 60</f>
      </c>
      <c r="BJ7" s="17">
        <f>(BJ5 + BJ6) / 60</f>
      </c>
    </row>
    <row r="8" spans="2:62" x14ac:dyDescent="0.25">
      <c r="B8" s="16" t="s">
        <v>115</v>
      </c>
      <c r="C8" s="17">
        <f>C5 + C6 - C7</f>
      </c>
      <c r="D8" s="17">
        <f>D5 + D6 - D7</f>
      </c>
      <c r="E8" s="17">
        <f>E5 + E6 - E7</f>
      </c>
      <c r="F8" s="17">
        <f>F5 + F6 - F7</f>
      </c>
      <c r="G8" s="17">
        <f>G5 + G6 - G7</f>
      </c>
      <c r="H8" s="17">
        <f>H5 + H6 - H7</f>
      </c>
      <c r="I8" s="17">
        <f>I5 + I6 - I7</f>
      </c>
      <c r="J8" s="17">
        <f>J5 + J6 - J7</f>
      </c>
      <c r="K8" s="17">
        <f>K5 + K6 - K7</f>
      </c>
      <c r="L8" s="17">
        <f>L5 + L6 - L7</f>
      </c>
      <c r="M8" s="17">
        <f>M5 + M6 - M7</f>
      </c>
      <c r="N8" s="17">
        <f>N5 + N6 - N7</f>
      </c>
      <c r="O8" s="17">
        <f>O5 + O6 - O7</f>
      </c>
      <c r="P8" s="17">
        <f>P5 + P6 - P7</f>
      </c>
      <c r="Q8" s="17">
        <f>Q5 + Q6 - Q7</f>
      </c>
      <c r="R8" s="17">
        <f>R5 + R6 - R7</f>
      </c>
      <c r="S8" s="17">
        <f>S5 + S6 - S7</f>
      </c>
      <c r="T8" s="17">
        <f>T5 + T6 - T7</f>
      </c>
      <c r="U8" s="17">
        <f>U5 + U6 - U7</f>
      </c>
      <c r="V8" s="17">
        <f>V5 + V6 - V7</f>
      </c>
      <c r="W8" s="17">
        <f>W5 + W6 - W7</f>
      </c>
      <c r="X8" s="17">
        <f>X5 + X6 - X7</f>
      </c>
      <c r="Y8" s="17">
        <f>Y5 + Y6 - Y7</f>
      </c>
      <c r="Z8" s="17">
        <f>Z5 + Z6 - Z7</f>
      </c>
      <c r="AA8" s="17">
        <f>AA5 + AA6 - AA7</f>
      </c>
      <c r="AB8" s="17">
        <f>AB5 + AB6 - AB7</f>
      </c>
      <c r="AC8" s="17">
        <f>AC5 + AC6 - AC7</f>
      </c>
      <c r="AD8" s="17">
        <f>AD5 + AD6 - AD7</f>
      </c>
      <c r="AE8" s="17">
        <f>AE5 + AE6 - AE7</f>
      </c>
      <c r="AF8" s="17">
        <f>AF5 + AF6 - AF7</f>
      </c>
      <c r="AG8" s="17">
        <f>AG5 + AG6 - AG7</f>
      </c>
      <c r="AH8" s="17">
        <f>AH5 + AH6 - AH7</f>
      </c>
      <c r="AI8" s="17">
        <f>AI5 + AI6 - AI7</f>
      </c>
      <c r="AJ8" s="17">
        <f>AJ5 + AJ6 - AJ7</f>
      </c>
      <c r="AK8" s="17">
        <f>AK5 + AK6 - AK7</f>
      </c>
      <c r="AL8" s="17">
        <f>AL5 + AL6 - AL7</f>
      </c>
      <c r="AM8" s="17">
        <f>AM5 + AM6 - AM7</f>
      </c>
      <c r="AN8" s="17">
        <f>AN5 + AN6 - AN7</f>
      </c>
      <c r="AO8" s="17">
        <f>AO5 + AO6 - AO7</f>
      </c>
      <c r="AP8" s="17">
        <f>AP5 + AP6 - AP7</f>
      </c>
      <c r="AQ8" s="17">
        <f>AQ5 + AQ6 - AQ7</f>
      </c>
      <c r="AR8" s="17">
        <f>AR5 + AR6 - AR7</f>
      </c>
      <c r="AS8" s="17">
        <f>AS5 + AS6 - AS7</f>
      </c>
      <c r="AT8" s="17">
        <f>AT5 + AT6 - AT7</f>
      </c>
      <c r="AU8" s="17">
        <f>AU5 + AU6 - AU7</f>
      </c>
      <c r="AV8" s="17">
        <f>AV5 + AV6 - AV7</f>
      </c>
      <c r="AW8" s="17">
        <f>AW5 + AW6 - AW7</f>
      </c>
      <c r="AX8" s="17">
        <f>AX5 + AX6 - AX7</f>
      </c>
      <c r="AY8" s="17">
        <f>AY5 + AY6 - AY7</f>
      </c>
      <c r="AZ8" s="17">
        <f>AZ5 + AZ6 - AZ7</f>
      </c>
      <c r="BA8" s="17">
        <f>BA5 + BA6 - BA7</f>
      </c>
      <c r="BB8" s="17">
        <f>BB5 + BB6 - BB7</f>
      </c>
      <c r="BC8" s="17">
        <f>BC5 + BC6 - BC7</f>
      </c>
      <c r="BD8" s="17">
        <f>BD5 + BD6 - BD7</f>
      </c>
      <c r="BE8" s="17">
        <f>BE5 + BE6 - BE7</f>
      </c>
      <c r="BF8" s="17">
        <f>BF5 + BF6 - BF7</f>
      </c>
      <c r="BG8" s="17">
        <f>BG5 + BG6 - BG7</f>
      </c>
      <c r="BH8" s="17">
        <f>BH5 + BH6 - BH7</f>
      </c>
      <c r="BI8" s="17">
        <f>BI5 + BI6 - BI7</f>
      </c>
      <c r="BJ8" s="17">
        <f>BJ5 + BJ6 -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116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117</v>
      </c>
      <c r="C5" s="17">
        <f>'MONTHLY_P_AND_L'!C5 * (30/365)</f>
      </c>
      <c r="D5" s="17">
        <f>'MONTHLY_P_AND_L'!D5 * (30/365)</f>
      </c>
      <c r="E5" s="17">
        <f>'MONTHLY_P_AND_L'!E5 * (30/365)</f>
      </c>
      <c r="F5" s="17">
        <f>'MONTHLY_P_AND_L'!F5 * (30/365)</f>
      </c>
      <c r="G5" s="17">
        <f>'MONTHLY_P_AND_L'!G5 * (30/365)</f>
      </c>
      <c r="H5" s="17">
        <f>'MONTHLY_P_AND_L'!H5 * (30/365)</f>
      </c>
      <c r="I5" s="17">
        <f>'MONTHLY_P_AND_L'!I5 * (30/365)</f>
      </c>
      <c r="J5" s="17">
        <f>'MONTHLY_P_AND_L'!J5 * (30/365)</f>
      </c>
      <c r="K5" s="17">
        <f>'MONTHLY_P_AND_L'!K5 * (30/365)</f>
      </c>
      <c r="L5" s="17">
        <f>'MONTHLY_P_AND_L'!L5 * (30/365)</f>
      </c>
      <c r="M5" s="17">
        <f>'MONTHLY_P_AND_L'!M5 * (30/365)</f>
      </c>
      <c r="N5" s="17">
        <f>'MONTHLY_P_AND_L'!N5 * (30/365)</f>
      </c>
      <c r="O5" s="17">
        <f>'MONTHLY_P_AND_L'!O5 * (30/365)</f>
      </c>
      <c r="P5" s="17">
        <f>'MONTHLY_P_AND_L'!P5 * (30/365)</f>
      </c>
      <c r="Q5" s="17">
        <f>'MONTHLY_P_AND_L'!Q5 * (30/365)</f>
      </c>
      <c r="R5" s="17">
        <f>'MONTHLY_P_AND_L'!R5 * (30/365)</f>
      </c>
      <c r="S5" s="17">
        <f>'MONTHLY_P_AND_L'!S5 * (30/365)</f>
      </c>
      <c r="T5" s="17">
        <f>'MONTHLY_P_AND_L'!T5 * (30/365)</f>
      </c>
      <c r="U5" s="17">
        <f>'MONTHLY_P_AND_L'!U5 * (30/365)</f>
      </c>
      <c r="V5" s="17">
        <f>'MONTHLY_P_AND_L'!V5 * (30/365)</f>
      </c>
      <c r="W5" s="17">
        <f>'MONTHLY_P_AND_L'!W5 * (30/365)</f>
      </c>
      <c r="X5" s="17">
        <f>'MONTHLY_P_AND_L'!X5 * (30/365)</f>
      </c>
      <c r="Y5" s="17">
        <f>'MONTHLY_P_AND_L'!Y5 * (30/365)</f>
      </c>
      <c r="Z5" s="17">
        <f>'MONTHLY_P_AND_L'!Z5 * (30/365)</f>
      </c>
      <c r="AA5" s="17">
        <f>'MONTHLY_P_AND_L'!AA5 * (30/365)</f>
      </c>
      <c r="AB5" s="17">
        <f>'MONTHLY_P_AND_L'!AB5 * (30/365)</f>
      </c>
      <c r="AC5" s="17">
        <f>'MONTHLY_P_AND_L'!AC5 * (30/365)</f>
      </c>
      <c r="AD5" s="17">
        <f>'MONTHLY_P_AND_L'!AD5 * (30/365)</f>
      </c>
      <c r="AE5" s="17">
        <f>'MONTHLY_P_AND_L'!AE5 * (30/365)</f>
      </c>
      <c r="AF5" s="17">
        <f>'MONTHLY_P_AND_L'!AF5 * (30/365)</f>
      </c>
      <c r="AG5" s="17">
        <f>'MONTHLY_P_AND_L'!AG5 * (30/365)</f>
      </c>
      <c r="AH5" s="17">
        <f>'MONTHLY_P_AND_L'!AH5 * (30/365)</f>
      </c>
      <c r="AI5" s="17">
        <f>'MONTHLY_P_AND_L'!AI5 * (30/365)</f>
      </c>
      <c r="AJ5" s="17">
        <f>'MONTHLY_P_AND_L'!AJ5 * (30/365)</f>
      </c>
      <c r="AK5" s="17">
        <f>'MONTHLY_P_AND_L'!AK5 * (30/365)</f>
      </c>
      <c r="AL5" s="17">
        <f>'MONTHLY_P_AND_L'!AL5 * (30/365)</f>
      </c>
      <c r="AM5" s="17">
        <f>'MONTHLY_P_AND_L'!AM5 * (30/365)</f>
      </c>
      <c r="AN5" s="17">
        <f>'MONTHLY_P_AND_L'!AN5 * (30/365)</f>
      </c>
      <c r="AO5" s="17">
        <f>'MONTHLY_P_AND_L'!AO5 * (30/365)</f>
      </c>
      <c r="AP5" s="17">
        <f>'MONTHLY_P_AND_L'!AP5 * (30/365)</f>
      </c>
      <c r="AQ5" s="17">
        <f>'MONTHLY_P_AND_L'!AQ5 * (30/365)</f>
      </c>
      <c r="AR5" s="17">
        <f>'MONTHLY_P_AND_L'!AR5 * (30/365)</f>
      </c>
      <c r="AS5" s="17">
        <f>'MONTHLY_P_AND_L'!AS5 * (30/365)</f>
      </c>
      <c r="AT5" s="17">
        <f>'MONTHLY_P_AND_L'!AT5 * (30/365)</f>
      </c>
      <c r="AU5" s="17">
        <f>'MONTHLY_P_AND_L'!AU5 * (30/365)</f>
      </c>
      <c r="AV5" s="17">
        <f>'MONTHLY_P_AND_L'!AV5 * (30/365)</f>
      </c>
      <c r="AW5" s="17">
        <f>'MONTHLY_P_AND_L'!AW5 * (30/365)</f>
      </c>
      <c r="AX5" s="17">
        <f>'MONTHLY_P_AND_L'!AX5 * (30/365)</f>
      </c>
      <c r="AY5" s="17">
        <f>'MONTHLY_P_AND_L'!AY5 * (30/365)</f>
      </c>
      <c r="AZ5" s="17">
        <f>'MONTHLY_P_AND_L'!AZ5 * (30/365)</f>
      </c>
      <c r="BA5" s="17">
        <f>'MONTHLY_P_AND_L'!BA5 * (30/365)</f>
      </c>
      <c r="BB5" s="17">
        <f>'MONTHLY_P_AND_L'!BB5 * (30/365)</f>
      </c>
      <c r="BC5" s="17">
        <f>'MONTHLY_P_AND_L'!BC5 * (30/365)</f>
      </c>
      <c r="BD5" s="17">
        <f>'MONTHLY_P_AND_L'!BD5 * (30/365)</f>
      </c>
      <c r="BE5" s="17">
        <f>'MONTHLY_P_AND_L'!BE5 * (30/365)</f>
      </c>
      <c r="BF5" s="17">
        <f>'MONTHLY_P_AND_L'!BF5 * (30/365)</f>
      </c>
      <c r="BG5" s="17">
        <f>'MONTHLY_P_AND_L'!BG5 * (30/365)</f>
      </c>
      <c r="BH5" s="17">
        <f>'MONTHLY_P_AND_L'!BH5 * (30/365)</f>
      </c>
      <c r="BI5" s="17">
        <f>'MONTHLY_P_AND_L'!BI5 * (30/365)</f>
      </c>
      <c r="BJ5" s="17">
        <f>'MONTHLY_P_AND_L'!BJ5 * (30/365)</f>
      </c>
    </row>
    <row r="6" spans="2:62" x14ac:dyDescent="0.25">
      <c r="B6" t="s">
        <v>118</v>
      </c>
      <c r="C6" s="17">
        <f>'MONTHLY_P_AND_L'!C8 * (15/365)</f>
      </c>
      <c r="D6" s="17">
        <f>'MONTHLY_P_AND_L'!D8 * (15/365)</f>
      </c>
      <c r="E6" s="17">
        <f>'MONTHLY_P_AND_L'!E8 * (15/365)</f>
      </c>
      <c r="F6" s="17">
        <f>'MONTHLY_P_AND_L'!F8 * (15/365)</f>
      </c>
      <c r="G6" s="17">
        <f>'MONTHLY_P_AND_L'!G8 * (15/365)</f>
      </c>
      <c r="H6" s="17">
        <f>'MONTHLY_P_AND_L'!H8 * (15/365)</f>
      </c>
      <c r="I6" s="17">
        <f>'MONTHLY_P_AND_L'!I8 * (15/365)</f>
      </c>
      <c r="J6" s="17">
        <f>'MONTHLY_P_AND_L'!J8 * (15/365)</f>
      </c>
      <c r="K6" s="17">
        <f>'MONTHLY_P_AND_L'!K8 * (15/365)</f>
      </c>
      <c r="L6" s="17">
        <f>'MONTHLY_P_AND_L'!L8 * (15/365)</f>
      </c>
      <c r="M6" s="17">
        <f>'MONTHLY_P_AND_L'!M8 * (15/365)</f>
      </c>
      <c r="N6" s="17">
        <f>'MONTHLY_P_AND_L'!N8 * (15/365)</f>
      </c>
      <c r="O6" s="17">
        <f>'MONTHLY_P_AND_L'!O8 * (15/365)</f>
      </c>
      <c r="P6" s="17">
        <f>'MONTHLY_P_AND_L'!P8 * (15/365)</f>
      </c>
      <c r="Q6" s="17">
        <f>'MONTHLY_P_AND_L'!Q8 * (15/365)</f>
      </c>
      <c r="R6" s="17">
        <f>'MONTHLY_P_AND_L'!R8 * (15/365)</f>
      </c>
      <c r="S6" s="17">
        <f>'MONTHLY_P_AND_L'!S8 * (15/365)</f>
      </c>
      <c r="T6" s="17">
        <f>'MONTHLY_P_AND_L'!T8 * (15/365)</f>
      </c>
      <c r="U6" s="17">
        <f>'MONTHLY_P_AND_L'!U8 * (15/365)</f>
      </c>
      <c r="V6" s="17">
        <f>'MONTHLY_P_AND_L'!V8 * (15/365)</f>
      </c>
      <c r="W6" s="17">
        <f>'MONTHLY_P_AND_L'!W8 * (15/365)</f>
      </c>
      <c r="X6" s="17">
        <f>'MONTHLY_P_AND_L'!X8 * (15/365)</f>
      </c>
      <c r="Y6" s="17">
        <f>'MONTHLY_P_AND_L'!Y8 * (15/365)</f>
      </c>
      <c r="Z6" s="17">
        <f>'MONTHLY_P_AND_L'!Z8 * (15/365)</f>
      </c>
      <c r="AA6" s="17">
        <f>'MONTHLY_P_AND_L'!AA8 * (15/365)</f>
      </c>
      <c r="AB6" s="17">
        <f>'MONTHLY_P_AND_L'!AB8 * (15/365)</f>
      </c>
      <c r="AC6" s="17">
        <f>'MONTHLY_P_AND_L'!AC8 * (15/365)</f>
      </c>
      <c r="AD6" s="17">
        <f>'MONTHLY_P_AND_L'!AD8 * (15/365)</f>
      </c>
      <c r="AE6" s="17">
        <f>'MONTHLY_P_AND_L'!AE8 * (15/365)</f>
      </c>
      <c r="AF6" s="17">
        <f>'MONTHLY_P_AND_L'!AF8 * (15/365)</f>
      </c>
      <c r="AG6" s="17">
        <f>'MONTHLY_P_AND_L'!AG8 * (15/365)</f>
      </c>
      <c r="AH6" s="17">
        <f>'MONTHLY_P_AND_L'!AH8 * (15/365)</f>
      </c>
      <c r="AI6" s="17">
        <f>'MONTHLY_P_AND_L'!AI8 * (15/365)</f>
      </c>
      <c r="AJ6" s="17">
        <f>'MONTHLY_P_AND_L'!AJ8 * (15/365)</f>
      </c>
      <c r="AK6" s="17">
        <f>'MONTHLY_P_AND_L'!AK8 * (15/365)</f>
      </c>
      <c r="AL6" s="17">
        <f>'MONTHLY_P_AND_L'!AL8 * (15/365)</f>
      </c>
      <c r="AM6" s="17">
        <f>'MONTHLY_P_AND_L'!AM8 * (15/365)</f>
      </c>
      <c r="AN6" s="17">
        <f>'MONTHLY_P_AND_L'!AN8 * (15/365)</f>
      </c>
      <c r="AO6" s="17">
        <f>'MONTHLY_P_AND_L'!AO8 * (15/365)</f>
      </c>
      <c r="AP6" s="17">
        <f>'MONTHLY_P_AND_L'!AP8 * (15/365)</f>
      </c>
      <c r="AQ6" s="17">
        <f>'MONTHLY_P_AND_L'!AQ8 * (15/365)</f>
      </c>
      <c r="AR6" s="17">
        <f>'MONTHLY_P_AND_L'!AR8 * (15/365)</f>
      </c>
      <c r="AS6" s="17">
        <f>'MONTHLY_P_AND_L'!AS8 * (15/365)</f>
      </c>
      <c r="AT6" s="17">
        <f>'MONTHLY_P_AND_L'!AT8 * (15/365)</f>
      </c>
      <c r="AU6" s="17">
        <f>'MONTHLY_P_AND_L'!AU8 * (15/365)</f>
      </c>
      <c r="AV6" s="17">
        <f>'MONTHLY_P_AND_L'!AV8 * (15/365)</f>
      </c>
      <c r="AW6" s="17">
        <f>'MONTHLY_P_AND_L'!AW8 * (15/365)</f>
      </c>
      <c r="AX6" s="17">
        <f>'MONTHLY_P_AND_L'!AX8 * (15/365)</f>
      </c>
      <c r="AY6" s="17">
        <f>'MONTHLY_P_AND_L'!AY8 * (15/365)</f>
      </c>
      <c r="AZ6" s="17">
        <f>'MONTHLY_P_AND_L'!AZ8 * (15/365)</f>
      </c>
      <c r="BA6" s="17">
        <f>'MONTHLY_P_AND_L'!BA8 * (15/365)</f>
      </c>
      <c r="BB6" s="17">
        <f>'MONTHLY_P_AND_L'!BB8 * (15/365)</f>
      </c>
      <c r="BC6" s="17">
        <f>'MONTHLY_P_AND_L'!BC8 * (15/365)</f>
      </c>
      <c r="BD6" s="17">
        <f>'MONTHLY_P_AND_L'!BD8 * (15/365)</f>
      </c>
      <c r="BE6" s="17">
        <f>'MONTHLY_P_AND_L'!BE8 * (15/365)</f>
      </c>
      <c r="BF6" s="17">
        <f>'MONTHLY_P_AND_L'!BF8 * (15/365)</f>
      </c>
      <c r="BG6" s="17">
        <f>'MONTHLY_P_AND_L'!BG8 * (15/365)</f>
      </c>
      <c r="BH6" s="17">
        <f>'MONTHLY_P_AND_L'!BH8 * (15/365)</f>
      </c>
      <c r="BI6" s="17">
        <f>'MONTHLY_P_AND_L'!BI8 * (15/365)</f>
      </c>
      <c r="BJ6" s="17">
        <f>'MONTHLY_P_AND_L'!BJ8 * (15/365)</f>
      </c>
    </row>
    <row r="7" spans="2:62" x14ac:dyDescent="0.25">
      <c r="B7" t="s">
        <v>119</v>
      </c>
      <c r="C7" s="17">
        <f>C5 - C6</f>
      </c>
      <c r="D7" s="17">
        <f>D5 - D6</f>
      </c>
      <c r="E7" s="17">
        <f>E5 - E6</f>
      </c>
      <c r="F7" s="17">
        <f>F5 - F6</f>
      </c>
      <c r="G7" s="17">
        <f>G5 - G6</f>
      </c>
      <c r="H7" s="17">
        <f>H5 - H6</f>
      </c>
      <c r="I7" s="17">
        <f>I5 - I6</f>
      </c>
      <c r="J7" s="17">
        <f>J5 - J6</f>
      </c>
      <c r="K7" s="17">
        <f>K5 - K6</f>
      </c>
      <c r="L7" s="17">
        <f>L5 - L6</f>
      </c>
      <c r="M7" s="17">
        <f>M5 - M6</f>
      </c>
      <c r="N7" s="17">
        <f>N5 - N6</f>
      </c>
      <c r="O7" s="17">
        <f>O5 - O6</f>
      </c>
      <c r="P7" s="17">
        <f>P5 - P6</f>
      </c>
      <c r="Q7" s="17">
        <f>Q5 - Q6</f>
      </c>
      <c r="R7" s="17">
        <f>R5 - R6</f>
      </c>
      <c r="S7" s="17">
        <f>S5 - S6</f>
      </c>
      <c r="T7" s="17">
        <f>T5 - T6</f>
      </c>
      <c r="U7" s="17">
        <f>U5 - U6</f>
      </c>
      <c r="V7" s="17">
        <f>V5 - V6</f>
      </c>
      <c r="W7" s="17">
        <f>W5 - W6</f>
      </c>
      <c r="X7" s="17">
        <f>X5 - X6</f>
      </c>
      <c r="Y7" s="17">
        <f>Y5 - Y6</f>
      </c>
      <c r="Z7" s="17">
        <f>Z5 - Z6</f>
      </c>
      <c r="AA7" s="17">
        <f>AA5 - AA6</f>
      </c>
      <c r="AB7" s="17">
        <f>AB5 - AB6</f>
      </c>
      <c r="AC7" s="17">
        <f>AC5 - AC6</f>
      </c>
      <c r="AD7" s="17">
        <f>AD5 - AD6</f>
      </c>
      <c r="AE7" s="17">
        <f>AE5 - AE6</f>
      </c>
      <c r="AF7" s="17">
        <f>AF5 - AF6</f>
      </c>
      <c r="AG7" s="17">
        <f>AG5 - AG6</f>
      </c>
      <c r="AH7" s="17">
        <f>AH5 - AH6</f>
      </c>
      <c r="AI7" s="17">
        <f>AI5 - AI6</f>
      </c>
      <c r="AJ7" s="17">
        <f>AJ5 - AJ6</f>
      </c>
      <c r="AK7" s="17">
        <f>AK5 - AK6</f>
      </c>
      <c r="AL7" s="17">
        <f>AL5 - AL6</f>
      </c>
      <c r="AM7" s="17">
        <f>AM5 - AM6</f>
      </c>
      <c r="AN7" s="17">
        <f>AN5 - AN6</f>
      </c>
      <c r="AO7" s="17">
        <f>AO5 - AO6</f>
      </c>
      <c r="AP7" s="17">
        <f>AP5 - AP6</f>
      </c>
      <c r="AQ7" s="17">
        <f>AQ5 - AQ6</f>
      </c>
      <c r="AR7" s="17">
        <f>AR5 - AR6</f>
      </c>
      <c r="AS7" s="17">
        <f>AS5 - AS6</f>
      </c>
      <c r="AT7" s="17">
        <f>AT5 - AT6</f>
      </c>
      <c r="AU7" s="17">
        <f>AU5 - AU6</f>
      </c>
      <c r="AV7" s="17">
        <f>AV5 - AV6</f>
      </c>
      <c r="AW7" s="17">
        <f>AW5 - AW6</f>
      </c>
      <c r="AX7" s="17">
        <f>AX5 - AX6</f>
      </c>
      <c r="AY7" s="17">
        <f>AY5 - AY6</f>
      </c>
      <c r="AZ7" s="17">
        <f>AZ5 - AZ6</f>
      </c>
      <c r="BA7" s="17">
        <f>BA5 - BA6</f>
      </c>
      <c r="BB7" s="17">
        <f>BB5 - BB6</f>
      </c>
      <c r="BC7" s="17">
        <f>BC5 - BC6</f>
      </c>
      <c r="BD7" s="17">
        <f>BD5 - BD6</f>
      </c>
      <c r="BE7" s="17">
        <f>BE5 - BE6</f>
      </c>
      <c r="BF7" s="17">
        <f>BF5 - BF6</f>
      </c>
      <c r="BG7" s="17">
        <f>BG5 - BG6</f>
      </c>
      <c r="BH7" s="17">
        <f>BH5 - BH6</f>
      </c>
      <c r="BI7" s="17">
        <f>BI5 - BI6</f>
      </c>
      <c r="BJ7" s="17">
        <f>BJ5 - BJ6</f>
      </c>
    </row>
    <row r="8" spans="2:62" x14ac:dyDescent="0.25">
      <c r="B8" s="16" t="s">
        <v>120</v>
      </c>
      <c r="C8" s="17">
        <f>C7</f>
      </c>
      <c r="D8" s="17">
        <f>D7 - C7</f>
      </c>
      <c r="E8" s="17">
        <f>E7 - D7</f>
      </c>
      <c r="F8" s="17">
        <f>F7 - E7</f>
      </c>
      <c r="G8" s="17">
        <f>G7 - F7</f>
      </c>
      <c r="H8" s="17">
        <f>H7 - G7</f>
      </c>
      <c r="I8" s="17">
        <f>I7 - H7</f>
      </c>
      <c r="J8" s="17">
        <f>J7 - I7</f>
      </c>
      <c r="K8" s="17">
        <f>K7 - J7</f>
      </c>
      <c r="L8" s="17">
        <f>L7 - K7</f>
      </c>
      <c r="M8" s="17">
        <f>M7 - L7</f>
      </c>
      <c r="N8" s="17">
        <f>N7 - M7</f>
      </c>
      <c r="O8" s="17">
        <f>O7 - N7</f>
      </c>
      <c r="P8" s="17">
        <f>P7 - O7</f>
      </c>
      <c r="Q8" s="17">
        <f>Q7 - P7</f>
      </c>
      <c r="R8" s="17">
        <f>R7 - Q7</f>
      </c>
      <c r="S8" s="17">
        <f>S7 - R7</f>
      </c>
      <c r="T8" s="17">
        <f>T7 - S7</f>
      </c>
      <c r="U8" s="17">
        <f>U7 - T7</f>
      </c>
      <c r="V8" s="17">
        <f>V7 - U7</f>
      </c>
      <c r="W8" s="17">
        <f>W7 - V7</f>
      </c>
      <c r="X8" s="17">
        <f>X7 - W7</f>
      </c>
      <c r="Y8" s="17">
        <f>Y7 - X7</f>
      </c>
      <c r="Z8" s="17">
        <f>Z7 - Y7</f>
      </c>
      <c r="AA8" s="17">
        <f>AA7 - Z7</f>
      </c>
      <c r="AB8" s="17">
        <f>AB7 - AA7</f>
      </c>
      <c r="AC8" s="17">
        <f>AC7 - AB7</f>
      </c>
      <c r="AD8" s="17">
        <f>AD7 - AC7</f>
      </c>
      <c r="AE8" s="17">
        <f>AE7 - AD7</f>
      </c>
      <c r="AF8" s="17">
        <f>AF7 - AE7</f>
      </c>
      <c r="AG8" s="17">
        <f>AG7 - AF7</f>
      </c>
      <c r="AH8" s="17">
        <f>AH7 - AG7</f>
      </c>
      <c r="AI8" s="17">
        <f>AI7 - AH7</f>
      </c>
      <c r="AJ8" s="17">
        <f>AJ7 - AI7</f>
      </c>
      <c r="AK8" s="17">
        <f>AK7 - AJ7</f>
      </c>
      <c r="AL8" s="17">
        <f>AL7 - AK7</f>
      </c>
      <c r="AM8" s="17">
        <f>AM7 - AL7</f>
      </c>
      <c r="AN8" s="17">
        <f>AN7 - AM7</f>
      </c>
      <c r="AO8" s="17">
        <f>AO7 - AN7</f>
      </c>
      <c r="AP8" s="17">
        <f>AP7 - AO7</f>
      </c>
      <c r="AQ8" s="17">
        <f>AQ7 - AP7</f>
      </c>
      <c r="AR8" s="17">
        <f>AR7 - AQ7</f>
      </c>
      <c r="AS8" s="17">
        <f>AS7 - AR7</f>
      </c>
      <c r="AT8" s="17">
        <f>AT7 - AS7</f>
      </c>
      <c r="AU8" s="17">
        <f>AU7 - AT7</f>
      </c>
      <c r="AV8" s="17">
        <f>AV7 - AU7</f>
      </c>
      <c r="AW8" s="17">
        <f>AW7 - AV7</f>
      </c>
      <c r="AX8" s="17">
        <f>AX7 - AW7</f>
      </c>
      <c r="AY8" s="17">
        <f>AY7 - AX7</f>
      </c>
      <c r="AZ8" s="17">
        <f>AZ7 - AY7</f>
      </c>
      <c r="BA8" s="17">
        <f>BA7 - AZ7</f>
      </c>
      <c r="BB8" s="17">
        <f>BB7 - BA7</f>
      </c>
      <c r="BC8" s="17">
        <f>BC7 - BB7</f>
      </c>
      <c r="BD8" s="17">
        <f>BD7 - BC7</f>
      </c>
      <c r="BE8" s="17">
        <f>BE7 - BD7</f>
      </c>
      <c r="BF8" s="17">
        <f>BF7 - BE7</f>
      </c>
      <c r="BG8" s="17">
        <f>BG7 - BF7</f>
      </c>
      <c r="BH8" s="17">
        <f>BH7 - BG7</f>
      </c>
      <c r="BI8" s="17">
        <f>BI7 - BH7</f>
      </c>
      <c r="BJ8" s="17">
        <f>BJ7 - BI7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121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122</v>
      </c>
      <c r="C5" s="17">
        <f>'REVENUE_ENGINE'!C6</f>
      </c>
      <c r="D5" s="17">
        <f>'REVENUE_ENGINE'!D6</f>
      </c>
      <c r="E5" s="17">
        <f>'REVENUE_ENGINE'!E6</f>
      </c>
      <c r="F5" s="17">
        <f>'REVENUE_ENGINE'!F6</f>
      </c>
      <c r="G5" s="17">
        <f>'REVENUE_ENGINE'!G6</f>
      </c>
      <c r="H5" s="17">
        <f>'REVENUE_ENGINE'!H6</f>
      </c>
      <c r="I5" s="17">
        <f>'REVENUE_ENGINE'!I6</f>
      </c>
      <c r="J5" s="17">
        <f>'REVENUE_ENGINE'!J6</f>
      </c>
      <c r="K5" s="17">
        <f>'REVENUE_ENGINE'!K6</f>
      </c>
      <c r="L5" s="17">
        <f>'REVENUE_ENGINE'!L6</f>
      </c>
      <c r="M5" s="17">
        <f>'REVENUE_ENGINE'!M6</f>
      </c>
      <c r="N5" s="17">
        <f>'REVENUE_ENGINE'!N6</f>
      </c>
      <c r="O5" s="17">
        <f>'REVENUE_ENGINE'!O6</f>
      </c>
      <c r="P5" s="17">
        <f>'REVENUE_ENGINE'!P6</f>
      </c>
      <c r="Q5" s="17">
        <f>'REVENUE_ENGINE'!Q6</f>
      </c>
      <c r="R5" s="17">
        <f>'REVENUE_ENGINE'!R6</f>
      </c>
      <c r="S5" s="17">
        <f>'REVENUE_ENGINE'!S6</f>
      </c>
      <c r="T5" s="17">
        <f>'REVENUE_ENGINE'!T6</f>
      </c>
      <c r="U5" s="17">
        <f>'REVENUE_ENGINE'!U6</f>
      </c>
      <c r="V5" s="17">
        <f>'REVENUE_ENGINE'!V6</f>
      </c>
      <c r="W5" s="17">
        <f>'REVENUE_ENGINE'!W6</f>
      </c>
      <c r="X5" s="17">
        <f>'REVENUE_ENGINE'!X6</f>
      </c>
      <c r="Y5" s="17">
        <f>'REVENUE_ENGINE'!Y6</f>
      </c>
      <c r="Z5" s="17">
        <f>'REVENUE_ENGINE'!Z6</f>
      </c>
      <c r="AA5" s="17">
        <f>'REVENUE_ENGINE'!AA6</f>
      </c>
      <c r="AB5" s="17">
        <f>'REVENUE_ENGINE'!AB6</f>
      </c>
      <c r="AC5" s="17">
        <f>'REVENUE_ENGINE'!AC6</f>
      </c>
      <c r="AD5" s="17">
        <f>'REVENUE_ENGINE'!AD6</f>
      </c>
      <c r="AE5" s="17">
        <f>'REVENUE_ENGINE'!AE6</f>
      </c>
      <c r="AF5" s="17">
        <f>'REVENUE_ENGINE'!AF6</f>
      </c>
      <c r="AG5" s="17">
        <f>'REVENUE_ENGINE'!AG6</f>
      </c>
      <c r="AH5" s="17">
        <f>'REVENUE_ENGINE'!AH6</f>
      </c>
      <c r="AI5" s="17">
        <f>'REVENUE_ENGINE'!AI6</f>
      </c>
      <c r="AJ5" s="17">
        <f>'REVENUE_ENGINE'!AJ6</f>
      </c>
      <c r="AK5" s="17">
        <f>'REVENUE_ENGINE'!AK6</f>
      </c>
      <c r="AL5" s="17">
        <f>'REVENUE_ENGINE'!AL6</f>
      </c>
      <c r="AM5" s="17">
        <f>'REVENUE_ENGINE'!AM6</f>
      </c>
      <c r="AN5" s="17">
        <f>'REVENUE_ENGINE'!AN6</f>
      </c>
      <c r="AO5" s="17">
        <f>'REVENUE_ENGINE'!AO6</f>
      </c>
      <c r="AP5" s="17">
        <f>'REVENUE_ENGINE'!AP6</f>
      </c>
      <c r="AQ5" s="17">
        <f>'REVENUE_ENGINE'!AQ6</f>
      </c>
      <c r="AR5" s="17">
        <f>'REVENUE_ENGINE'!AR6</f>
      </c>
      <c r="AS5" s="17">
        <f>'REVENUE_ENGINE'!AS6</f>
      </c>
      <c r="AT5" s="17">
        <f>'REVENUE_ENGINE'!AT6</f>
      </c>
      <c r="AU5" s="17">
        <f>'REVENUE_ENGINE'!AU6</f>
      </c>
      <c r="AV5" s="17">
        <f>'REVENUE_ENGINE'!AV6</f>
      </c>
      <c r="AW5" s="17">
        <f>'REVENUE_ENGINE'!AW6</f>
      </c>
      <c r="AX5" s="17">
        <f>'REVENUE_ENGINE'!AX6</f>
      </c>
      <c r="AY5" s="17">
        <f>'REVENUE_ENGINE'!AY6</f>
      </c>
      <c r="AZ5" s="17">
        <f>'REVENUE_ENGINE'!AZ6</f>
      </c>
      <c r="BA5" s="17">
        <f>'REVENUE_ENGINE'!BA6</f>
      </c>
      <c r="BB5" s="17">
        <f>'REVENUE_ENGINE'!BB6</f>
      </c>
      <c r="BC5" s="17">
        <f>'REVENUE_ENGINE'!BC6</f>
      </c>
      <c r="BD5" s="17">
        <f>'REVENUE_ENGINE'!BD6</f>
      </c>
      <c r="BE5" s="17">
        <f>'REVENUE_ENGINE'!BE6</f>
      </c>
      <c r="BF5" s="17">
        <f>'REVENUE_ENGINE'!BF6</f>
      </c>
      <c r="BG5" s="17">
        <f>'REVENUE_ENGINE'!BG6</f>
      </c>
      <c r="BH5" s="17">
        <f>'REVENUE_ENGINE'!BH6</f>
      </c>
      <c r="BI5" s="17">
        <f>'REVENUE_ENGINE'!BI6</f>
      </c>
      <c r="BJ5" s="17">
        <f>'REVENUE_ENGINE'!BJ6</f>
      </c>
    </row>
    <row r="6" spans="2:62" x14ac:dyDescent="0.25">
      <c r="B6" t="s">
        <v>123</v>
      </c>
      <c r="C6" s="17">
        <f>'COGS_ENGINE'!C7</f>
      </c>
      <c r="D6" s="17">
        <f>'COGS_ENGINE'!D7</f>
      </c>
      <c r="E6" s="17">
        <f>'COGS_ENGINE'!E7</f>
      </c>
      <c r="F6" s="17">
        <f>'COGS_ENGINE'!F7</f>
      </c>
      <c r="G6" s="17">
        <f>'COGS_ENGINE'!G7</f>
      </c>
      <c r="H6" s="17">
        <f>'COGS_ENGINE'!H7</f>
      </c>
      <c r="I6" s="17">
        <f>'COGS_ENGINE'!I7</f>
      </c>
      <c r="J6" s="17">
        <f>'COGS_ENGINE'!J7</f>
      </c>
      <c r="K6" s="17">
        <f>'COGS_ENGINE'!K7</f>
      </c>
      <c r="L6" s="17">
        <f>'COGS_ENGINE'!L7</f>
      </c>
      <c r="M6" s="17">
        <f>'COGS_ENGINE'!M7</f>
      </c>
      <c r="N6" s="17">
        <f>'COGS_ENGINE'!N7</f>
      </c>
      <c r="O6" s="17">
        <f>'COGS_ENGINE'!O7</f>
      </c>
      <c r="P6" s="17">
        <f>'COGS_ENGINE'!P7</f>
      </c>
      <c r="Q6" s="17">
        <f>'COGS_ENGINE'!Q7</f>
      </c>
      <c r="R6" s="17">
        <f>'COGS_ENGINE'!R7</f>
      </c>
      <c r="S6" s="17">
        <f>'COGS_ENGINE'!S7</f>
      </c>
      <c r="T6" s="17">
        <f>'COGS_ENGINE'!T7</f>
      </c>
      <c r="U6" s="17">
        <f>'COGS_ENGINE'!U7</f>
      </c>
      <c r="V6" s="17">
        <f>'COGS_ENGINE'!V7</f>
      </c>
      <c r="W6" s="17">
        <f>'COGS_ENGINE'!W7</f>
      </c>
      <c r="X6" s="17">
        <f>'COGS_ENGINE'!X7</f>
      </c>
      <c r="Y6" s="17">
        <f>'COGS_ENGINE'!Y7</f>
      </c>
      <c r="Z6" s="17">
        <f>'COGS_ENGINE'!Z7</f>
      </c>
      <c r="AA6" s="17">
        <f>'COGS_ENGINE'!AA7</f>
      </c>
      <c r="AB6" s="17">
        <f>'COGS_ENGINE'!AB7</f>
      </c>
      <c r="AC6" s="17">
        <f>'COGS_ENGINE'!AC7</f>
      </c>
      <c r="AD6" s="17">
        <f>'COGS_ENGINE'!AD7</f>
      </c>
      <c r="AE6" s="17">
        <f>'COGS_ENGINE'!AE7</f>
      </c>
      <c r="AF6" s="17">
        <f>'COGS_ENGINE'!AF7</f>
      </c>
      <c r="AG6" s="17">
        <f>'COGS_ENGINE'!AG7</f>
      </c>
      <c r="AH6" s="17">
        <f>'COGS_ENGINE'!AH7</f>
      </c>
      <c r="AI6" s="17">
        <f>'COGS_ENGINE'!AI7</f>
      </c>
      <c r="AJ6" s="17">
        <f>'COGS_ENGINE'!AJ7</f>
      </c>
      <c r="AK6" s="17">
        <f>'COGS_ENGINE'!AK7</f>
      </c>
      <c r="AL6" s="17">
        <f>'COGS_ENGINE'!AL7</f>
      </c>
      <c r="AM6" s="17">
        <f>'COGS_ENGINE'!AM7</f>
      </c>
      <c r="AN6" s="17">
        <f>'COGS_ENGINE'!AN7</f>
      </c>
      <c r="AO6" s="17">
        <f>'COGS_ENGINE'!AO7</f>
      </c>
      <c r="AP6" s="17">
        <f>'COGS_ENGINE'!AP7</f>
      </c>
      <c r="AQ6" s="17">
        <f>'COGS_ENGINE'!AQ7</f>
      </c>
      <c r="AR6" s="17">
        <f>'COGS_ENGINE'!AR7</f>
      </c>
      <c r="AS6" s="17">
        <f>'COGS_ENGINE'!AS7</f>
      </c>
      <c r="AT6" s="17">
        <f>'COGS_ENGINE'!AT7</f>
      </c>
      <c r="AU6" s="17">
        <f>'COGS_ENGINE'!AU7</f>
      </c>
      <c r="AV6" s="17">
        <f>'COGS_ENGINE'!AV7</f>
      </c>
      <c r="AW6" s="17">
        <f>'COGS_ENGINE'!AW7</f>
      </c>
      <c r="AX6" s="17">
        <f>'COGS_ENGINE'!AX7</f>
      </c>
      <c r="AY6" s="17">
        <f>'COGS_ENGINE'!AY7</f>
      </c>
      <c r="AZ6" s="17">
        <f>'COGS_ENGINE'!AZ7</f>
      </c>
      <c r="BA6" s="17">
        <f>'COGS_ENGINE'!BA7</f>
      </c>
      <c r="BB6" s="17">
        <f>'COGS_ENGINE'!BB7</f>
      </c>
      <c r="BC6" s="17">
        <f>'COGS_ENGINE'!BC7</f>
      </c>
      <c r="BD6" s="17">
        <f>'COGS_ENGINE'!BD7</f>
      </c>
      <c r="BE6" s="17">
        <f>'COGS_ENGINE'!BE7</f>
      </c>
      <c r="BF6" s="17">
        <f>'COGS_ENGINE'!BF7</f>
      </c>
      <c r="BG6" s="17">
        <f>'COGS_ENGINE'!BG7</f>
      </c>
      <c r="BH6" s="17">
        <f>'COGS_ENGINE'!BH7</f>
      </c>
      <c r="BI6" s="17">
        <f>'COGS_ENGINE'!BI7</f>
      </c>
      <c r="BJ6" s="17">
        <f>'COGS_ENGINE'!BJ7</f>
      </c>
    </row>
    <row r="7" spans="2:62" x14ac:dyDescent="0.25">
      <c r="B7" t="s">
        <v>124</v>
      </c>
      <c r="C7" s="17">
        <f>C5 - C6</f>
      </c>
      <c r="D7" s="17">
        <f>D5 - D6</f>
      </c>
      <c r="E7" s="17">
        <f>E5 - E6</f>
      </c>
      <c r="F7" s="17">
        <f>F5 - F6</f>
      </c>
      <c r="G7" s="17">
        <f>G5 - G6</f>
      </c>
      <c r="H7" s="17">
        <f>H5 - H6</f>
      </c>
      <c r="I7" s="17">
        <f>I5 - I6</f>
      </c>
      <c r="J7" s="17">
        <f>J5 - J6</f>
      </c>
      <c r="K7" s="17">
        <f>K5 - K6</f>
      </c>
      <c r="L7" s="17">
        <f>L5 - L6</f>
      </c>
      <c r="M7" s="17">
        <f>M5 - M6</f>
      </c>
      <c r="N7" s="17">
        <f>N5 - N6</f>
      </c>
      <c r="O7" s="17">
        <f>O5 - O6</f>
      </c>
      <c r="P7" s="17">
        <f>P5 - P6</f>
      </c>
      <c r="Q7" s="17">
        <f>Q5 - Q6</f>
      </c>
      <c r="R7" s="17">
        <f>R5 - R6</f>
      </c>
      <c r="S7" s="17">
        <f>S5 - S6</f>
      </c>
      <c r="T7" s="17">
        <f>T5 - T6</f>
      </c>
      <c r="U7" s="17">
        <f>U5 - U6</f>
      </c>
      <c r="V7" s="17">
        <f>V5 - V6</f>
      </c>
      <c r="W7" s="17">
        <f>W5 - W6</f>
      </c>
      <c r="X7" s="17">
        <f>X5 - X6</f>
      </c>
      <c r="Y7" s="17">
        <f>Y5 - Y6</f>
      </c>
      <c r="Z7" s="17">
        <f>Z5 - Z6</f>
      </c>
      <c r="AA7" s="17">
        <f>AA5 - AA6</f>
      </c>
      <c r="AB7" s="17">
        <f>AB5 - AB6</f>
      </c>
      <c r="AC7" s="17">
        <f>AC5 - AC6</f>
      </c>
      <c r="AD7" s="17">
        <f>AD5 - AD6</f>
      </c>
      <c r="AE7" s="17">
        <f>AE5 - AE6</f>
      </c>
      <c r="AF7" s="17">
        <f>AF5 - AF6</f>
      </c>
      <c r="AG7" s="17">
        <f>AG5 - AG6</f>
      </c>
      <c r="AH7" s="17">
        <f>AH5 - AH6</f>
      </c>
      <c r="AI7" s="17">
        <f>AI5 - AI6</f>
      </c>
      <c r="AJ7" s="17">
        <f>AJ5 - AJ6</f>
      </c>
      <c r="AK7" s="17">
        <f>AK5 - AK6</f>
      </c>
      <c r="AL7" s="17">
        <f>AL5 - AL6</f>
      </c>
      <c r="AM7" s="17">
        <f>AM5 - AM6</f>
      </c>
      <c r="AN7" s="17">
        <f>AN5 - AN6</f>
      </c>
      <c r="AO7" s="17">
        <f>AO5 - AO6</f>
      </c>
      <c r="AP7" s="17">
        <f>AP5 - AP6</f>
      </c>
      <c r="AQ7" s="17">
        <f>AQ5 - AQ6</f>
      </c>
      <c r="AR7" s="17">
        <f>AR5 - AR6</f>
      </c>
      <c r="AS7" s="17">
        <f>AS5 - AS6</f>
      </c>
      <c r="AT7" s="17">
        <f>AT5 - AT6</f>
      </c>
      <c r="AU7" s="17">
        <f>AU5 - AU6</f>
      </c>
      <c r="AV7" s="17">
        <f>AV5 - AV6</f>
      </c>
      <c r="AW7" s="17">
        <f>AW5 - AW6</f>
      </c>
      <c r="AX7" s="17">
        <f>AX5 - AX6</f>
      </c>
      <c r="AY7" s="17">
        <f>AY5 - AY6</f>
      </c>
      <c r="AZ7" s="17">
        <f>AZ5 - AZ6</f>
      </c>
      <c r="BA7" s="17">
        <f>BA5 - BA6</f>
      </c>
      <c r="BB7" s="17">
        <f>BB5 - BB6</f>
      </c>
      <c r="BC7" s="17">
        <f>BC5 - BC6</f>
      </c>
      <c r="BD7" s="17">
        <f>BD5 - BD6</f>
      </c>
      <c r="BE7" s="17">
        <f>BE5 - BE6</f>
      </c>
      <c r="BF7" s="17">
        <f>BF5 - BF6</f>
      </c>
      <c r="BG7" s="17">
        <f>BG5 - BG6</f>
      </c>
      <c r="BH7" s="17">
        <f>BH5 - BH6</f>
      </c>
      <c r="BI7" s="17">
        <f>BI5 - BI6</f>
      </c>
      <c r="BJ7" s="17">
        <f>BJ5 - BJ6</f>
      </c>
    </row>
    <row r="8" spans="2:62" x14ac:dyDescent="0.25">
      <c r="B8" t="s">
        <v>125</v>
      </c>
      <c r="C8" s="17">
        <f>'HR_AND_OPEX'!C10</f>
      </c>
      <c r="D8" s="17">
        <f>'HR_AND_OPEX'!D10</f>
      </c>
      <c r="E8" s="17">
        <f>'HR_AND_OPEX'!E10</f>
      </c>
      <c r="F8" s="17">
        <f>'HR_AND_OPEX'!F10</f>
      </c>
      <c r="G8" s="17">
        <f>'HR_AND_OPEX'!G10</f>
      </c>
      <c r="H8" s="17">
        <f>'HR_AND_OPEX'!H10</f>
      </c>
      <c r="I8" s="17">
        <f>'HR_AND_OPEX'!I10</f>
      </c>
      <c r="J8" s="17">
        <f>'HR_AND_OPEX'!J10</f>
      </c>
      <c r="K8" s="17">
        <f>'HR_AND_OPEX'!K10</f>
      </c>
      <c r="L8" s="17">
        <f>'HR_AND_OPEX'!L10</f>
      </c>
      <c r="M8" s="17">
        <f>'HR_AND_OPEX'!M10</f>
      </c>
      <c r="N8" s="17">
        <f>'HR_AND_OPEX'!N10</f>
      </c>
      <c r="O8" s="17">
        <f>'HR_AND_OPEX'!O10</f>
      </c>
      <c r="P8" s="17">
        <f>'HR_AND_OPEX'!P10</f>
      </c>
      <c r="Q8" s="17">
        <f>'HR_AND_OPEX'!Q10</f>
      </c>
      <c r="R8" s="17">
        <f>'HR_AND_OPEX'!R10</f>
      </c>
      <c r="S8" s="17">
        <f>'HR_AND_OPEX'!S10</f>
      </c>
      <c r="T8" s="17">
        <f>'HR_AND_OPEX'!T10</f>
      </c>
      <c r="U8" s="17">
        <f>'HR_AND_OPEX'!U10</f>
      </c>
      <c r="V8" s="17">
        <f>'HR_AND_OPEX'!V10</f>
      </c>
      <c r="W8" s="17">
        <f>'HR_AND_OPEX'!W10</f>
      </c>
      <c r="X8" s="17">
        <f>'HR_AND_OPEX'!X10</f>
      </c>
      <c r="Y8" s="17">
        <f>'HR_AND_OPEX'!Y10</f>
      </c>
      <c r="Z8" s="17">
        <f>'HR_AND_OPEX'!Z10</f>
      </c>
      <c r="AA8" s="17">
        <f>'HR_AND_OPEX'!AA10</f>
      </c>
      <c r="AB8" s="17">
        <f>'HR_AND_OPEX'!AB10</f>
      </c>
      <c r="AC8" s="17">
        <f>'HR_AND_OPEX'!AC10</f>
      </c>
      <c r="AD8" s="17">
        <f>'HR_AND_OPEX'!AD10</f>
      </c>
      <c r="AE8" s="17">
        <f>'HR_AND_OPEX'!AE10</f>
      </c>
      <c r="AF8" s="17">
        <f>'HR_AND_OPEX'!AF10</f>
      </c>
      <c r="AG8" s="17">
        <f>'HR_AND_OPEX'!AG10</f>
      </c>
      <c r="AH8" s="17">
        <f>'HR_AND_OPEX'!AH10</f>
      </c>
      <c r="AI8" s="17">
        <f>'HR_AND_OPEX'!AI10</f>
      </c>
      <c r="AJ8" s="17">
        <f>'HR_AND_OPEX'!AJ10</f>
      </c>
      <c r="AK8" s="17">
        <f>'HR_AND_OPEX'!AK10</f>
      </c>
      <c r="AL8" s="17">
        <f>'HR_AND_OPEX'!AL10</f>
      </c>
      <c r="AM8" s="17">
        <f>'HR_AND_OPEX'!AM10</f>
      </c>
      <c r="AN8" s="17">
        <f>'HR_AND_OPEX'!AN10</f>
      </c>
      <c r="AO8" s="17">
        <f>'HR_AND_OPEX'!AO10</f>
      </c>
      <c r="AP8" s="17">
        <f>'HR_AND_OPEX'!AP10</f>
      </c>
      <c r="AQ8" s="17">
        <f>'HR_AND_OPEX'!AQ10</f>
      </c>
      <c r="AR8" s="17">
        <f>'HR_AND_OPEX'!AR10</f>
      </c>
      <c r="AS8" s="17">
        <f>'HR_AND_OPEX'!AS10</f>
      </c>
      <c r="AT8" s="17">
        <f>'HR_AND_OPEX'!AT10</f>
      </c>
      <c r="AU8" s="17">
        <f>'HR_AND_OPEX'!AU10</f>
      </c>
      <c r="AV8" s="17">
        <f>'HR_AND_OPEX'!AV10</f>
      </c>
      <c r="AW8" s="17">
        <f>'HR_AND_OPEX'!AW10</f>
      </c>
      <c r="AX8" s="17">
        <f>'HR_AND_OPEX'!AX10</f>
      </c>
      <c r="AY8" s="17">
        <f>'HR_AND_OPEX'!AY10</f>
      </c>
      <c r="AZ8" s="17">
        <f>'HR_AND_OPEX'!AZ10</f>
      </c>
      <c r="BA8" s="17">
        <f>'HR_AND_OPEX'!BA10</f>
      </c>
      <c r="BB8" s="17">
        <f>'HR_AND_OPEX'!BB10</f>
      </c>
      <c r="BC8" s="17">
        <f>'HR_AND_OPEX'!BC10</f>
      </c>
      <c r="BD8" s="17">
        <f>'HR_AND_OPEX'!BD10</f>
      </c>
      <c r="BE8" s="17">
        <f>'HR_AND_OPEX'!BE10</f>
      </c>
      <c r="BF8" s="17">
        <f>'HR_AND_OPEX'!BF10</f>
      </c>
      <c r="BG8" s="17">
        <f>'HR_AND_OPEX'!BG10</f>
      </c>
      <c r="BH8" s="17">
        <f>'HR_AND_OPEX'!BH10</f>
      </c>
      <c r="BI8" s="17">
        <f>'HR_AND_OPEX'!BI10</f>
      </c>
      <c r="BJ8" s="17">
        <f>'HR_AND_OPEX'!BJ10</f>
      </c>
    </row>
    <row r="9" spans="2:62" x14ac:dyDescent="0.25">
      <c r="B9" t="s">
        <v>126</v>
      </c>
      <c r="C9" s="17">
        <f>C7 - C8</f>
      </c>
      <c r="D9" s="17">
        <f>D7 - D8</f>
      </c>
      <c r="E9" s="17">
        <f>E7 - E8</f>
      </c>
      <c r="F9" s="17">
        <f>F7 - F8</f>
      </c>
      <c r="G9" s="17">
        <f>G7 - G8</f>
      </c>
      <c r="H9" s="17">
        <f>H7 - H8</f>
      </c>
      <c r="I9" s="17">
        <f>I7 - I8</f>
      </c>
      <c r="J9" s="17">
        <f>J7 - J8</f>
      </c>
      <c r="K9" s="17">
        <f>K7 - K8</f>
      </c>
      <c r="L9" s="17">
        <f>L7 - L8</f>
      </c>
      <c r="M9" s="17">
        <f>M7 - M8</f>
      </c>
      <c r="N9" s="17">
        <f>N7 - N8</f>
      </c>
      <c r="O9" s="17">
        <f>O7 - O8</f>
      </c>
      <c r="P9" s="17">
        <f>P7 - P8</f>
      </c>
      <c r="Q9" s="17">
        <f>Q7 - Q8</f>
      </c>
      <c r="R9" s="17">
        <f>R7 - R8</f>
      </c>
      <c r="S9" s="17">
        <f>S7 - S8</f>
      </c>
      <c r="T9" s="17">
        <f>T7 - T8</f>
      </c>
      <c r="U9" s="17">
        <f>U7 - U8</f>
      </c>
      <c r="V9" s="17">
        <f>V7 - V8</f>
      </c>
      <c r="W9" s="17">
        <f>W7 - W8</f>
      </c>
      <c r="X9" s="17">
        <f>X7 - X8</f>
      </c>
      <c r="Y9" s="17">
        <f>Y7 - Y8</f>
      </c>
      <c r="Z9" s="17">
        <f>Z7 - Z8</f>
      </c>
      <c r="AA9" s="17">
        <f>AA7 - AA8</f>
      </c>
      <c r="AB9" s="17">
        <f>AB7 - AB8</f>
      </c>
      <c r="AC9" s="17">
        <f>AC7 - AC8</f>
      </c>
      <c r="AD9" s="17">
        <f>AD7 - AD8</f>
      </c>
      <c r="AE9" s="17">
        <f>AE7 - AE8</f>
      </c>
      <c r="AF9" s="17">
        <f>AF7 - AF8</f>
      </c>
      <c r="AG9" s="17">
        <f>AG7 - AG8</f>
      </c>
      <c r="AH9" s="17">
        <f>AH7 - AH8</f>
      </c>
      <c r="AI9" s="17">
        <f>AI7 - AI8</f>
      </c>
      <c r="AJ9" s="17">
        <f>AJ7 - AJ8</f>
      </c>
      <c r="AK9" s="17">
        <f>AK7 - AK8</f>
      </c>
      <c r="AL9" s="17">
        <f>AL7 - AL8</f>
      </c>
      <c r="AM9" s="17">
        <f>AM7 - AM8</f>
      </c>
      <c r="AN9" s="17">
        <f>AN7 - AN8</f>
      </c>
      <c r="AO9" s="17">
        <f>AO7 - AO8</f>
      </c>
      <c r="AP9" s="17">
        <f>AP7 - AP8</f>
      </c>
      <c r="AQ9" s="17">
        <f>AQ7 - AQ8</f>
      </c>
      <c r="AR9" s="17">
        <f>AR7 - AR8</f>
      </c>
      <c r="AS9" s="17">
        <f>AS7 - AS8</f>
      </c>
      <c r="AT9" s="17">
        <f>AT7 - AT8</f>
      </c>
      <c r="AU9" s="17">
        <f>AU7 - AU8</f>
      </c>
      <c r="AV9" s="17">
        <f>AV7 - AV8</f>
      </c>
      <c r="AW9" s="17">
        <f>AW7 - AW8</f>
      </c>
      <c r="AX9" s="17">
        <f>AX7 - AX8</f>
      </c>
      <c r="AY9" s="17">
        <f>AY7 - AY8</f>
      </c>
      <c r="AZ9" s="17">
        <f>AZ7 - AZ8</f>
      </c>
      <c r="BA9" s="17">
        <f>BA7 - BA8</f>
      </c>
      <c r="BB9" s="17">
        <f>BB7 - BB8</f>
      </c>
      <c r="BC9" s="17">
        <f>BC7 - BC8</f>
      </c>
      <c r="BD9" s="17">
        <f>BD7 - BD8</f>
      </c>
      <c r="BE9" s="17">
        <f>BE7 - BE8</f>
      </c>
      <c r="BF9" s="17">
        <f>BF7 - BF8</f>
      </c>
      <c r="BG9" s="17">
        <f>BG7 - BG8</f>
      </c>
      <c r="BH9" s="17">
        <f>BH7 - BH8</f>
      </c>
      <c r="BI9" s="17">
        <f>BI7 - BI8</f>
      </c>
      <c r="BJ9" s="17">
        <f>BJ7 - BJ8</f>
      </c>
    </row>
    <row r="10" spans="2:62" x14ac:dyDescent="0.25">
      <c r="B10" t="s">
        <v>127</v>
      </c>
      <c r="C10" s="17">
        <f>'CAPEX_AND_DEPRECIATION'!C7</f>
      </c>
      <c r="D10" s="17">
        <f>'CAPEX_AND_DEPRECIATION'!D7</f>
      </c>
      <c r="E10" s="17">
        <f>'CAPEX_AND_DEPRECIATION'!E7</f>
      </c>
      <c r="F10" s="17">
        <f>'CAPEX_AND_DEPRECIATION'!F7</f>
      </c>
      <c r="G10" s="17">
        <f>'CAPEX_AND_DEPRECIATION'!G7</f>
      </c>
      <c r="H10" s="17">
        <f>'CAPEX_AND_DEPRECIATION'!H7</f>
      </c>
      <c r="I10" s="17">
        <f>'CAPEX_AND_DEPRECIATION'!I7</f>
      </c>
      <c r="J10" s="17">
        <f>'CAPEX_AND_DEPRECIATION'!J7</f>
      </c>
      <c r="K10" s="17">
        <f>'CAPEX_AND_DEPRECIATION'!K7</f>
      </c>
      <c r="L10" s="17">
        <f>'CAPEX_AND_DEPRECIATION'!L7</f>
      </c>
      <c r="M10" s="17">
        <f>'CAPEX_AND_DEPRECIATION'!M7</f>
      </c>
      <c r="N10" s="17">
        <f>'CAPEX_AND_DEPRECIATION'!N7</f>
      </c>
      <c r="O10" s="17">
        <f>'CAPEX_AND_DEPRECIATION'!O7</f>
      </c>
      <c r="P10" s="17">
        <f>'CAPEX_AND_DEPRECIATION'!P7</f>
      </c>
      <c r="Q10" s="17">
        <f>'CAPEX_AND_DEPRECIATION'!Q7</f>
      </c>
      <c r="R10" s="17">
        <f>'CAPEX_AND_DEPRECIATION'!R7</f>
      </c>
      <c r="S10" s="17">
        <f>'CAPEX_AND_DEPRECIATION'!S7</f>
      </c>
      <c r="T10" s="17">
        <f>'CAPEX_AND_DEPRECIATION'!T7</f>
      </c>
      <c r="U10" s="17">
        <f>'CAPEX_AND_DEPRECIATION'!U7</f>
      </c>
      <c r="V10" s="17">
        <f>'CAPEX_AND_DEPRECIATION'!V7</f>
      </c>
      <c r="W10" s="17">
        <f>'CAPEX_AND_DEPRECIATION'!W7</f>
      </c>
      <c r="X10" s="17">
        <f>'CAPEX_AND_DEPRECIATION'!X7</f>
      </c>
      <c r="Y10" s="17">
        <f>'CAPEX_AND_DEPRECIATION'!Y7</f>
      </c>
      <c r="Z10" s="17">
        <f>'CAPEX_AND_DEPRECIATION'!Z7</f>
      </c>
      <c r="AA10" s="17">
        <f>'CAPEX_AND_DEPRECIATION'!AA7</f>
      </c>
      <c r="AB10" s="17">
        <f>'CAPEX_AND_DEPRECIATION'!AB7</f>
      </c>
      <c r="AC10" s="17">
        <f>'CAPEX_AND_DEPRECIATION'!AC7</f>
      </c>
      <c r="AD10" s="17">
        <f>'CAPEX_AND_DEPRECIATION'!AD7</f>
      </c>
      <c r="AE10" s="17">
        <f>'CAPEX_AND_DEPRECIATION'!AE7</f>
      </c>
      <c r="AF10" s="17">
        <f>'CAPEX_AND_DEPRECIATION'!AF7</f>
      </c>
      <c r="AG10" s="17">
        <f>'CAPEX_AND_DEPRECIATION'!AG7</f>
      </c>
      <c r="AH10" s="17">
        <f>'CAPEX_AND_DEPRECIATION'!AH7</f>
      </c>
      <c r="AI10" s="17">
        <f>'CAPEX_AND_DEPRECIATION'!AI7</f>
      </c>
      <c r="AJ10" s="17">
        <f>'CAPEX_AND_DEPRECIATION'!AJ7</f>
      </c>
      <c r="AK10" s="17">
        <f>'CAPEX_AND_DEPRECIATION'!AK7</f>
      </c>
      <c r="AL10" s="17">
        <f>'CAPEX_AND_DEPRECIATION'!AL7</f>
      </c>
      <c r="AM10" s="17">
        <f>'CAPEX_AND_DEPRECIATION'!AM7</f>
      </c>
      <c r="AN10" s="17">
        <f>'CAPEX_AND_DEPRECIATION'!AN7</f>
      </c>
      <c r="AO10" s="17">
        <f>'CAPEX_AND_DEPRECIATION'!AO7</f>
      </c>
      <c r="AP10" s="17">
        <f>'CAPEX_AND_DEPRECIATION'!AP7</f>
      </c>
      <c r="AQ10" s="17">
        <f>'CAPEX_AND_DEPRECIATION'!AQ7</f>
      </c>
      <c r="AR10" s="17">
        <f>'CAPEX_AND_DEPRECIATION'!AR7</f>
      </c>
      <c r="AS10" s="17">
        <f>'CAPEX_AND_DEPRECIATION'!AS7</f>
      </c>
      <c r="AT10" s="17">
        <f>'CAPEX_AND_DEPRECIATION'!AT7</f>
      </c>
      <c r="AU10" s="17">
        <f>'CAPEX_AND_DEPRECIATION'!AU7</f>
      </c>
      <c r="AV10" s="17">
        <f>'CAPEX_AND_DEPRECIATION'!AV7</f>
      </c>
      <c r="AW10" s="17">
        <f>'CAPEX_AND_DEPRECIATION'!AW7</f>
      </c>
      <c r="AX10" s="17">
        <f>'CAPEX_AND_DEPRECIATION'!AX7</f>
      </c>
      <c r="AY10" s="17">
        <f>'CAPEX_AND_DEPRECIATION'!AY7</f>
      </c>
      <c r="AZ10" s="17">
        <f>'CAPEX_AND_DEPRECIATION'!AZ7</f>
      </c>
      <c r="BA10" s="17">
        <f>'CAPEX_AND_DEPRECIATION'!BA7</f>
      </c>
      <c r="BB10" s="17">
        <f>'CAPEX_AND_DEPRECIATION'!BB7</f>
      </c>
      <c r="BC10" s="17">
        <f>'CAPEX_AND_DEPRECIATION'!BC7</f>
      </c>
      <c r="BD10" s="17">
        <f>'CAPEX_AND_DEPRECIATION'!BD7</f>
      </c>
      <c r="BE10" s="17">
        <f>'CAPEX_AND_DEPRECIATION'!BE7</f>
      </c>
      <c r="BF10" s="17">
        <f>'CAPEX_AND_DEPRECIATION'!BF7</f>
      </c>
      <c r="BG10" s="17">
        <f>'CAPEX_AND_DEPRECIATION'!BG7</f>
      </c>
      <c r="BH10" s="17">
        <f>'CAPEX_AND_DEPRECIATION'!BH7</f>
      </c>
      <c r="BI10" s="17">
        <f>'CAPEX_AND_DEPRECIATION'!BI7</f>
      </c>
      <c r="BJ10" s="17">
        <f>'CAPEX_AND_DEPRECIATION'!BJ7</f>
      </c>
    </row>
    <row r="11" spans="2:62" x14ac:dyDescent="0.25">
      <c r="B11" t="s">
        <v>128</v>
      </c>
      <c r="C11" s="17">
        <f>C9 - C10</f>
      </c>
      <c r="D11" s="17">
        <f>D9 - D10</f>
      </c>
      <c r="E11" s="17">
        <f>E9 - E10</f>
      </c>
      <c r="F11" s="17">
        <f>F9 - F10</f>
      </c>
      <c r="G11" s="17">
        <f>G9 - G10</f>
      </c>
      <c r="H11" s="17">
        <f>H9 - H10</f>
      </c>
      <c r="I11" s="17">
        <f>I9 - I10</f>
      </c>
      <c r="J11" s="17">
        <f>J9 - J10</f>
      </c>
      <c r="K11" s="17">
        <f>K9 - K10</f>
      </c>
      <c r="L11" s="17">
        <f>L9 - L10</f>
      </c>
      <c r="M11" s="17">
        <f>M9 - M10</f>
      </c>
      <c r="N11" s="17">
        <f>N9 - N10</f>
      </c>
      <c r="O11" s="17">
        <f>O9 - O10</f>
      </c>
      <c r="P11" s="17">
        <f>P9 - P10</f>
      </c>
      <c r="Q11" s="17">
        <f>Q9 - Q10</f>
      </c>
      <c r="R11" s="17">
        <f>R9 - R10</f>
      </c>
      <c r="S11" s="17">
        <f>S9 - S10</f>
      </c>
      <c r="T11" s="17">
        <f>T9 - T10</f>
      </c>
      <c r="U11" s="17">
        <f>U9 - U10</f>
      </c>
      <c r="V11" s="17">
        <f>V9 - V10</f>
      </c>
      <c r="W11" s="17">
        <f>W9 - W10</f>
      </c>
      <c r="X11" s="17">
        <f>X9 - X10</f>
      </c>
      <c r="Y11" s="17">
        <f>Y9 - Y10</f>
      </c>
      <c r="Z11" s="17">
        <f>Z9 - Z10</f>
      </c>
      <c r="AA11" s="17">
        <f>AA9 - AA10</f>
      </c>
      <c r="AB11" s="17">
        <f>AB9 - AB10</f>
      </c>
      <c r="AC11" s="17">
        <f>AC9 - AC10</f>
      </c>
      <c r="AD11" s="17">
        <f>AD9 - AD10</f>
      </c>
      <c r="AE11" s="17">
        <f>AE9 - AE10</f>
      </c>
      <c r="AF11" s="17">
        <f>AF9 - AF10</f>
      </c>
      <c r="AG11" s="17">
        <f>AG9 - AG10</f>
      </c>
      <c r="AH11" s="17">
        <f>AH9 - AH10</f>
      </c>
      <c r="AI11" s="17">
        <f>AI9 - AI10</f>
      </c>
      <c r="AJ11" s="17">
        <f>AJ9 - AJ10</f>
      </c>
      <c r="AK11" s="17">
        <f>AK9 - AK10</f>
      </c>
      <c r="AL11" s="17">
        <f>AL9 - AL10</f>
      </c>
      <c r="AM11" s="17">
        <f>AM9 - AM10</f>
      </c>
      <c r="AN11" s="17">
        <f>AN9 - AN10</f>
      </c>
      <c r="AO11" s="17">
        <f>AO9 - AO10</f>
      </c>
      <c r="AP11" s="17">
        <f>AP9 - AP10</f>
      </c>
      <c r="AQ11" s="17">
        <f>AQ9 - AQ10</f>
      </c>
      <c r="AR11" s="17">
        <f>AR9 - AR10</f>
      </c>
      <c r="AS11" s="17">
        <f>AS9 - AS10</f>
      </c>
      <c r="AT11" s="17">
        <f>AT9 - AT10</f>
      </c>
      <c r="AU11" s="17">
        <f>AU9 - AU10</f>
      </c>
      <c r="AV11" s="17">
        <f>AV9 - AV10</f>
      </c>
      <c r="AW11" s="17">
        <f>AW9 - AW10</f>
      </c>
      <c r="AX11" s="17">
        <f>AX9 - AX10</f>
      </c>
      <c r="AY11" s="17">
        <f>AY9 - AY10</f>
      </c>
      <c r="AZ11" s="17">
        <f>AZ9 - AZ10</f>
      </c>
      <c r="BA11" s="17">
        <f>BA9 - BA10</f>
      </c>
      <c r="BB11" s="17">
        <f>BB9 - BB10</f>
      </c>
      <c r="BC11" s="17">
        <f>BC9 - BC10</f>
      </c>
      <c r="BD11" s="17">
        <f>BD9 - BD10</f>
      </c>
      <c r="BE11" s="17">
        <f>BE9 - BE10</f>
      </c>
      <c r="BF11" s="17">
        <f>BF9 - BF10</f>
      </c>
      <c r="BG11" s="17">
        <f>BG9 - BG10</f>
      </c>
      <c r="BH11" s="17">
        <f>BH9 - BH10</f>
      </c>
      <c r="BI11" s="17">
        <f>BI9 - BI10</f>
      </c>
      <c r="BJ11" s="17">
        <f>BJ9 - BJ10</f>
      </c>
    </row>
    <row r="12" spans="2:62" x14ac:dyDescent="0.25">
      <c r="B12" t="s">
        <v>129</v>
      </c>
      <c r="C12" s="17">
        <f>(5000000 * 0.12) / 12</f>
      </c>
      <c r="D12" s="17">
        <f>(5000000 * 0.12) / 12</f>
      </c>
      <c r="E12" s="17">
        <f>(5000000 * 0.12) / 12</f>
      </c>
      <c r="F12" s="17">
        <f>(5000000 * 0.12) / 12</f>
      </c>
      <c r="G12" s="17">
        <f>(5000000 * 0.12) / 12</f>
      </c>
      <c r="H12" s="17">
        <f>(5000000 * 0.12) / 12</f>
      </c>
      <c r="I12" s="17">
        <f>(5000000 * 0.12) / 12</f>
      </c>
      <c r="J12" s="17">
        <f>(5000000 * 0.12) / 12</f>
      </c>
      <c r="K12" s="17">
        <f>(5000000 * 0.12) / 12</f>
      </c>
      <c r="L12" s="17">
        <f>(5000000 * 0.12) / 12</f>
      </c>
      <c r="M12" s="17">
        <f>(5000000 * 0.12) / 12</f>
      </c>
      <c r="N12" s="17">
        <f>(5000000 * 0.12) / 12</f>
      </c>
      <c r="O12" s="17">
        <f>(5000000 * 0.12) / 12</f>
      </c>
      <c r="P12" s="17">
        <f>(5000000 * 0.12) / 12</f>
      </c>
      <c r="Q12" s="17">
        <f>(5000000 * 0.12) / 12</f>
      </c>
      <c r="R12" s="17">
        <f>(5000000 * 0.12) / 12</f>
      </c>
      <c r="S12" s="17">
        <f>(5000000 * 0.12) / 12</f>
      </c>
      <c r="T12" s="17">
        <f>(5000000 * 0.12) / 12</f>
      </c>
      <c r="U12" s="17">
        <f>(5000000 * 0.12) / 12</f>
      </c>
      <c r="V12" s="17">
        <f>(5000000 * 0.12) / 12</f>
      </c>
      <c r="W12" s="17">
        <f>(5000000 * 0.12) / 12</f>
      </c>
      <c r="X12" s="17">
        <f>(5000000 * 0.12) / 12</f>
      </c>
      <c r="Y12" s="17">
        <f>(5000000 * 0.12) / 12</f>
      </c>
      <c r="Z12" s="17">
        <f>(5000000 * 0.12) / 12</f>
      </c>
      <c r="AA12" s="17">
        <f>(5000000 * 0.12) / 12</f>
      </c>
      <c r="AB12" s="17">
        <f>(5000000 * 0.12) / 12</f>
      </c>
      <c r="AC12" s="17">
        <f>(5000000 * 0.12) / 12</f>
      </c>
      <c r="AD12" s="17">
        <f>(5000000 * 0.12) / 12</f>
      </c>
      <c r="AE12" s="17">
        <f>(5000000 * 0.12) / 12</f>
      </c>
      <c r="AF12" s="17">
        <f>(5000000 * 0.12) / 12</f>
      </c>
      <c r="AG12" s="17">
        <f>(5000000 * 0.12) / 12</f>
      </c>
      <c r="AH12" s="17">
        <f>(5000000 * 0.12) / 12</f>
      </c>
      <c r="AI12" s="17">
        <f>(5000000 * 0.12) / 12</f>
      </c>
      <c r="AJ12" s="17">
        <f>(5000000 * 0.12) / 12</f>
      </c>
      <c r="AK12" s="17">
        <f>(5000000 * 0.12) / 12</f>
      </c>
      <c r="AL12" s="17">
        <f>(5000000 * 0.12) / 12</f>
      </c>
      <c r="AM12" s="17">
        <f>(5000000 * 0.12) / 12</f>
      </c>
      <c r="AN12" s="17">
        <f>(5000000 * 0.12) / 12</f>
      </c>
      <c r="AO12" s="17">
        <f>(5000000 * 0.12) / 12</f>
      </c>
      <c r="AP12" s="17">
        <f>(5000000 * 0.12) / 12</f>
      </c>
      <c r="AQ12" s="17">
        <f>(5000000 * 0.12) / 12</f>
      </c>
      <c r="AR12" s="17">
        <f>(5000000 * 0.12) / 12</f>
      </c>
      <c r="AS12" s="17">
        <f>(5000000 * 0.12) / 12</f>
      </c>
      <c r="AT12" s="17">
        <f>(5000000 * 0.12) / 12</f>
      </c>
      <c r="AU12" s="17">
        <f>(5000000 * 0.12) / 12</f>
      </c>
      <c r="AV12" s="17">
        <f>(5000000 * 0.12) / 12</f>
      </c>
      <c r="AW12" s="17">
        <f>(5000000 * 0.12) / 12</f>
      </c>
      <c r="AX12" s="17">
        <f>(5000000 * 0.12) / 12</f>
      </c>
      <c r="AY12" s="17">
        <f>(5000000 * 0.12) / 12</f>
      </c>
      <c r="AZ12" s="17">
        <f>(5000000 * 0.12) / 12</f>
      </c>
      <c r="BA12" s="17">
        <f>(5000000 * 0.12) / 12</f>
      </c>
      <c r="BB12" s="17">
        <f>(5000000 * 0.12) / 12</f>
      </c>
      <c r="BC12" s="17">
        <f>(5000000 * 0.12) / 12</f>
      </c>
      <c r="BD12" s="17">
        <f>(5000000 * 0.12) / 12</f>
      </c>
      <c r="BE12" s="17">
        <f>(5000000 * 0.12) / 12</f>
      </c>
      <c r="BF12" s="17">
        <f>(5000000 * 0.12) / 12</f>
      </c>
      <c r="BG12" s="17">
        <f>(5000000 * 0.12) / 12</f>
      </c>
      <c r="BH12" s="17">
        <f>(5000000 * 0.12) / 12</f>
      </c>
      <c r="BI12" s="17">
        <f>(5000000 * 0.12) / 12</f>
      </c>
      <c r="BJ12" s="17">
        <f>(5000000 * 0.12) / 12</f>
      </c>
    </row>
    <row r="13" spans="2:62" x14ac:dyDescent="0.25">
      <c r="B13" t="s">
        <v>130</v>
      </c>
      <c r="C13" s="17">
        <f>C11 - C12</f>
      </c>
      <c r="D13" s="17">
        <f>D11 - D12</f>
      </c>
      <c r="E13" s="17">
        <f>E11 - E12</f>
      </c>
      <c r="F13" s="17">
        <f>F11 - F12</f>
      </c>
      <c r="G13" s="17">
        <f>G11 - G12</f>
      </c>
      <c r="H13" s="17">
        <f>H11 - H12</f>
      </c>
      <c r="I13" s="17">
        <f>I11 - I12</f>
      </c>
      <c r="J13" s="17">
        <f>J11 - J12</f>
      </c>
      <c r="K13" s="17">
        <f>K11 - K12</f>
      </c>
      <c r="L13" s="17">
        <f>L11 - L12</f>
      </c>
      <c r="M13" s="17">
        <f>M11 - M12</f>
      </c>
      <c r="N13" s="17">
        <f>N11 - N12</f>
      </c>
      <c r="O13" s="17">
        <f>O11 - O12</f>
      </c>
      <c r="P13" s="17">
        <f>P11 - P12</f>
      </c>
      <c r="Q13" s="17">
        <f>Q11 - Q12</f>
      </c>
      <c r="R13" s="17">
        <f>R11 - R12</f>
      </c>
      <c r="S13" s="17">
        <f>S11 - S12</f>
      </c>
      <c r="T13" s="17">
        <f>T11 - T12</f>
      </c>
      <c r="U13" s="17">
        <f>U11 - U12</f>
      </c>
      <c r="V13" s="17">
        <f>V11 - V12</f>
      </c>
      <c r="W13" s="17">
        <f>W11 - W12</f>
      </c>
      <c r="X13" s="17">
        <f>X11 - X12</f>
      </c>
      <c r="Y13" s="17">
        <f>Y11 - Y12</f>
      </c>
      <c r="Z13" s="17">
        <f>Z11 - Z12</f>
      </c>
      <c r="AA13" s="17">
        <f>AA11 - AA12</f>
      </c>
      <c r="AB13" s="17">
        <f>AB11 - AB12</f>
      </c>
      <c r="AC13" s="17">
        <f>AC11 - AC12</f>
      </c>
      <c r="AD13" s="17">
        <f>AD11 - AD12</f>
      </c>
      <c r="AE13" s="17">
        <f>AE11 - AE12</f>
      </c>
      <c r="AF13" s="17">
        <f>AF11 - AF12</f>
      </c>
      <c r="AG13" s="17">
        <f>AG11 - AG12</f>
      </c>
      <c r="AH13" s="17">
        <f>AH11 - AH12</f>
      </c>
      <c r="AI13" s="17">
        <f>AI11 - AI12</f>
      </c>
      <c r="AJ13" s="17">
        <f>AJ11 - AJ12</f>
      </c>
      <c r="AK13" s="17">
        <f>AK11 - AK12</f>
      </c>
      <c r="AL13" s="17">
        <f>AL11 - AL12</f>
      </c>
      <c r="AM13" s="17">
        <f>AM11 - AM12</f>
      </c>
      <c r="AN13" s="17">
        <f>AN11 - AN12</f>
      </c>
      <c r="AO13" s="17">
        <f>AO11 - AO12</f>
      </c>
      <c r="AP13" s="17">
        <f>AP11 - AP12</f>
      </c>
      <c r="AQ13" s="17">
        <f>AQ11 - AQ12</f>
      </c>
      <c r="AR13" s="17">
        <f>AR11 - AR12</f>
      </c>
      <c r="AS13" s="17">
        <f>AS11 - AS12</f>
      </c>
      <c r="AT13" s="17">
        <f>AT11 - AT12</f>
      </c>
      <c r="AU13" s="17">
        <f>AU11 - AU12</f>
      </c>
      <c r="AV13" s="17">
        <f>AV11 - AV12</f>
      </c>
      <c r="AW13" s="17">
        <f>AW11 - AW12</f>
      </c>
      <c r="AX13" s="17">
        <f>AX11 - AX12</f>
      </c>
      <c r="AY13" s="17">
        <f>AY11 - AY12</f>
      </c>
      <c r="AZ13" s="17">
        <f>AZ11 - AZ12</f>
      </c>
      <c r="BA13" s="17">
        <f>BA11 - BA12</f>
      </c>
      <c r="BB13" s="17">
        <f>BB11 - BB12</f>
      </c>
      <c r="BC13" s="17">
        <f>BC11 - BC12</f>
      </c>
      <c r="BD13" s="17">
        <f>BD11 - BD12</f>
      </c>
      <c r="BE13" s="17">
        <f>BE11 - BE12</f>
      </c>
      <c r="BF13" s="17">
        <f>BF11 - BF12</f>
      </c>
      <c r="BG13" s="17">
        <f>BG11 - BG12</f>
      </c>
      <c r="BH13" s="17">
        <f>BH11 - BH12</f>
      </c>
      <c r="BI13" s="17">
        <f>BI11 - BI12</f>
      </c>
      <c r="BJ13" s="17">
        <f>BJ11 - BJ12</f>
      </c>
    </row>
    <row r="14" spans="2:62" x14ac:dyDescent="0.25">
      <c r="B14" t="s">
        <v>131</v>
      </c>
      <c r="C14" s="17">
        <f>IF(INDEX(ASSUMPTIONS!$C$7:$E$7, 1, MATCH(ASSUMPTIONS!$C$2, ASSUMPTIONS!$C$4:$E$4, 0))=1, 0, MAX(0, C13 * INDEX(ASSUMPTIONS!$C$6:$E$6, 1, MATCH(ASSUMPTIONS!$C$2, ASSUMPTIONS!$C$4:$E$4, 0))))</f>
      </c>
      <c r="D14" s="17">
        <f>IF(INDEX(ASSUMPTIONS!$C$7:$E$7, 1, MATCH(ASSUMPTIONS!$C$2, ASSUMPTIONS!$C$4:$E$4, 0))=1, 0, MAX(0, D13 * INDEX(ASSUMPTIONS!$C$6:$E$6, 1, MATCH(ASSUMPTIONS!$C$2, ASSUMPTIONS!$C$4:$E$4, 0))))</f>
      </c>
      <c r="E14" s="17">
        <f>IF(INDEX(ASSUMPTIONS!$C$7:$E$7, 1, MATCH(ASSUMPTIONS!$C$2, ASSUMPTIONS!$C$4:$E$4, 0))=1, 0, MAX(0, E13 * INDEX(ASSUMPTIONS!$C$6:$E$6, 1, MATCH(ASSUMPTIONS!$C$2, ASSUMPTIONS!$C$4:$E$4, 0))))</f>
      </c>
      <c r="F14" s="17">
        <f>IF(INDEX(ASSUMPTIONS!$C$7:$E$7, 1, MATCH(ASSUMPTIONS!$C$2, ASSUMPTIONS!$C$4:$E$4, 0))=1, 0, MAX(0, F13 * INDEX(ASSUMPTIONS!$C$6:$E$6, 1, MATCH(ASSUMPTIONS!$C$2, ASSUMPTIONS!$C$4:$E$4, 0))))</f>
      </c>
      <c r="G14" s="17">
        <f>IF(INDEX(ASSUMPTIONS!$C$7:$E$7, 1, MATCH(ASSUMPTIONS!$C$2, ASSUMPTIONS!$C$4:$E$4, 0))=1, 0, MAX(0, G13 * INDEX(ASSUMPTIONS!$C$6:$E$6, 1, MATCH(ASSUMPTIONS!$C$2, ASSUMPTIONS!$C$4:$E$4, 0))))</f>
      </c>
      <c r="H14" s="17">
        <f>IF(INDEX(ASSUMPTIONS!$C$7:$E$7, 1, MATCH(ASSUMPTIONS!$C$2, ASSUMPTIONS!$C$4:$E$4, 0))=1, 0, MAX(0, H13 * INDEX(ASSUMPTIONS!$C$6:$E$6, 1, MATCH(ASSUMPTIONS!$C$2, ASSUMPTIONS!$C$4:$E$4, 0))))</f>
      </c>
      <c r="I14" s="17">
        <f>IF(INDEX(ASSUMPTIONS!$C$7:$E$7, 1, MATCH(ASSUMPTIONS!$C$2, ASSUMPTIONS!$C$4:$E$4, 0))=1, 0, MAX(0, I13 * INDEX(ASSUMPTIONS!$C$6:$E$6, 1, MATCH(ASSUMPTIONS!$C$2, ASSUMPTIONS!$C$4:$E$4, 0))))</f>
      </c>
      <c r="J14" s="17">
        <f>IF(INDEX(ASSUMPTIONS!$C$7:$E$7, 1, MATCH(ASSUMPTIONS!$C$2, ASSUMPTIONS!$C$4:$E$4, 0))=1, 0, MAX(0, J13 * INDEX(ASSUMPTIONS!$C$6:$E$6, 1, MATCH(ASSUMPTIONS!$C$2, ASSUMPTIONS!$C$4:$E$4, 0))))</f>
      </c>
      <c r="K14" s="17">
        <f>IF(INDEX(ASSUMPTIONS!$C$7:$E$7, 1, MATCH(ASSUMPTIONS!$C$2, ASSUMPTIONS!$C$4:$E$4, 0))=1, 0, MAX(0, K13 * INDEX(ASSUMPTIONS!$C$6:$E$6, 1, MATCH(ASSUMPTIONS!$C$2, ASSUMPTIONS!$C$4:$E$4, 0))))</f>
      </c>
      <c r="L14" s="17">
        <f>IF(INDEX(ASSUMPTIONS!$C$7:$E$7, 1, MATCH(ASSUMPTIONS!$C$2, ASSUMPTIONS!$C$4:$E$4, 0))=1, 0, MAX(0, L13 * INDEX(ASSUMPTIONS!$C$6:$E$6, 1, MATCH(ASSUMPTIONS!$C$2, ASSUMPTIONS!$C$4:$E$4, 0))))</f>
      </c>
      <c r="M14" s="17">
        <f>IF(INDEX(ASSUMPTIONS!$C$7:$E$7, 1, MATCH(ASSUMPTIONS!$C$2, ASSUMPTIONS!$C$4:$E$4, 0))=1, 0, MAX(0, M13 * INDEX(ASSUMPTIONS!$C$6:$E$6, 1, MATCH(ASSUMPTIONS!$C$2, ASSUMPTIONS!$C$4:$E$4, 0))))</f>
      </c>
      <c r="N14" s="17">
        <f>IF(INDEX(ASSUMPTIONS!$C$7:$E$7, 1, MATCH(ASSUMPTIONS!$C$2, ASSUMPTIONS!$C$4:$E$4, 0))=1, 0, MAX(0, N13 * INDEX(ASSUMPTIONS!$C$6:$E$6, 1, MATCH(ASSUMPTIONS!$C$2, ASSUMPTIONS!$C$4:$E$4, 0))))</f>
      </c>
      <c r="O14" s="17">
        <f>IF(INDEX(ASSUMPTIONS!$C$7:$E$7, 1, MATCH(ASSUMPTIONS!$C$2, ASSUMPTIONS!$C$4:$E$4, 0))=1, 0, MAX(0, O13 * INDEX(ASSUMPTIONS!$C$6:$E$6, 1, MATCH(ASSUMPTIONS!$C$2, ASSUMPTIONS!$C$4:$E$4, 0))))</f>
      </c>
      <c r="P14" s="17">
        <f>IF(INDEX(ASSUMPTIONS!$C$7:$E$7, 1, MATCH(ASSUMPTIONS!$C$2, ASSUMPTIONS!$C$4:$E$4, 0))=1, 0, MAX(0, P13 * INDEX(ASSUMPTIONS!$C$6:$E$6, 1, MATCH(ASSUMPTIONS!$C$2, ASSUMPTIONS!$C$4:$E$4, 0))))</f>
      </c>
      <c r="Q14" s="17">
        <f>IF(INDEX(ASSUMPTIONS!$C$7:$E$7, 1, MATCH(ASSUMPTIONS!$C$2, ASSUMPTIONS!$C$4:$E$4, 0))=1, 0, MAX(0, Q13 * INDEX(ASSUMPTIONS!$C$6:$E$6, 1, MATCH(ASSUMPTIONS!$C$2, ASSUMPTIONS!$C$4:$E$4, 0))))</f>
      </c>
      <c r="R14" s="17">
        <f>IF(INDEX(ASSUMPTIONS!$C$7:$E$7, 1, MATCH(ASSUMPTIONS!$C$2, ASSUMPTIONS!$C$4:$E$4, 0))=1, 0, MAX(0, R13 * INDEX(ASSUMPTIONS!$C$6:$E$6, 1, MATCH(ASSUMPTIONS!$C$2, ASSUMPTIONS!$C$4:$E$4, 0))))</f>
      </c>
      <c r="S14" s="17">
        <f>IF(INDEX(ASSUMPTIONS!$C$7:$E$7, 1, MATCH(ASSUMPTIONS!$C$2, ASSUMPTIONS!$C$4:$E$4, 0))=1, 0, MAX(0, S13 * INDEX(ASSUMPTIONS!$C$6:$E$6, 1, MATCH(ASSUMPTIONS!$C$2, ASSUMPTIONS!$C$4:$E$4, 0))))</f>
      </c>
      <c r="T14" s="17">
        <f>IF(INDEX(ASSUMPTIONS!$C$7:$E$7, 1, MATCH(ASSUMPTIONS!$C$2, ASSUMPTIONS!$C$4:$E$4, 0))=1, 0, MAX(0, T13 * INDEX(ASSUMPTIONS!$C$6:$E$6, 1, MATCH(ASSUMPTIONS!$C$2, ASSUMPTIONS!$C$4:$E$4, 0))))</f>
      </c>
      <c r="U14" s="17">
        <f>IF(INDEX(ASSUMPTIONS!$C$7:$E$7, 1, MATCH(ASSUMPTIONS!$C$2, ASSUMPTIONS!$C$4:$E$4, 0))=1, 0, MAX(0, U13 * INDEX(ASSUMPTIONS!$C$6:$E$6, 1, MATCH(ASSUMPTIONS!$C$2, ASSUMPTIONS!$C$4:$E$4, 0))))</f>
      </c>
      <c r="V14" s="17">
        <f>IF(INDEX(ASSUMPTIONS!$C$7:$E$7, 1, MATCH(ASSUMPTIONS!$C$2, ASSUMPTIONS!$C$4:$E$4, 0))=1, 0, MAX(0, V13 * INDEX(ASSUMPTIONS!$C$6:$E$6, 1, MATCH(ASSUMPTIONS!$C$2, ASSUMPTIONS!$C$4:$E$4, 0))))</f>
      </c>
      <c r="W14" s="17">
        <f>IF(INDEX(ASSUMPTIONS!$C$7:$E$7, 1, MATCH(ASSUMPTIONS!$C$2, ASSUMPTIONS!$C$4:$E$4, 0))=1, 0, MAX(0, W13 * INDEX(ASSUMPTIONS!$C$6:$E$6, 1, MATCH(ASSUMPTIONS!$C$2, ASSUMPTIONS!$C$4:$E$4, 0))))</f>
      </c>
      <c r="X14" s="17">
        <f>IF(INDEX(ASSUMPTIONS!$C$7:$E$7, 1, MATCH(ASSUMPTIONS!$C$2, ASSUMPTIONS!$C$4:$E$4, 0))=1, 0, MAX(0, X13 * INDEX(ASSUMPTIONS!$C$6:$E$6, 1, MATCH(ASSUMPTIONS!$C$2, ASSUMPTIONS!$C$4:$E$4, 0))))</f>
      </c>
      <c r="Y14" s="17">
        <f>IF(INDEX(ASSUMPTIONS!$C$7:$E$7, 1, MATCH(ASSUMPTIONS!$C$2, ASSUMPTIONS!$C$4:$E$4, 0))=1, 0, MAX(0, Y13 * INDEX(ASSUMPTIONS!$C$6:$E$6, 1, MATCH(ASSUMPTIONS!$C$2, ASSUMPTIONS!$C$4:$E$4, 0))))</f>
      </c>
      <c r="Z14" s="17">
        <f>IF(INDEX(ASSUMPTIONS!$C$7:$E$7, 1, MATCH(ASSUMPTIONS!$C$2, ASSUMPTIONS!$C$4:$E$4, 0))=1, 0, MAX(0, Z13 * INDEX(ASSUMPTIONS!$C$6:$E$6, 1, MATCH(ASSUMPTIONS!$C$2, ASSUMPTIONS!$C$4:$E$4, 0))))</f>
      </c>
      <c r="AA14" s="17">
        <f>IF(INDEX(ASSUMPTIONS!$C$7:$E$7, 1, MATCH(ASSUMPTIONS!$C$2, ASSUMPTIONS!$C$4:$E$4, 0))=1, 0, MAX(0, AA13 * INDEX(ASSUMPTIONS!$C$6:$E$6, 1, MATCH(ASSUMPTIONS!$C$2, ASSUMPTIONS!$C$4:$E$4, 0))))</f>
      </c>
      <c r="AB14" s="17">
        <f>IF(INDEX(ASSUMPTIONS!$C$7:$E$7, 1, MATCH(ASSUMPTIONS!$C$2, ASSUMPTIONS!$C$4:$E$4, 0))=1, 0, MAX(0, AB13 * INDEX(ASSUMPTIONS!$C$6:$E$6, 1, MATCH(ASSUMPTIONS!$C$2, ASSUMPTIONS!$C$4:$E$4, 0))))</f>
      </c>
      <c r="AC14" s="17">
        <f>IF(INDEX(ASSUMPTIONS!$C$7:$E$7, 1, MATCH(ASSUMPTIONS!$C$2, ASSUMPTIONS!$C$4:$E$4, 0))=1, 0, MAX(0, AC13 * INDEX(ASSUMPTIONS!$C$6:$E$6, 1, MATCH(ASSUMPTIONS!$C$2, ASSUMPTIONS!$C$4:$E$4, 0))))</f>
      </c>
      <c r="AD14" s="17">
        <f>IF(INDEX(ASSUMPTIONS!$C$7:$E$7, 1, MATCH(ASSUMPTIONS!$C$2, ASSUMPTIONS!$C$4:$E$4, 0))=1, 0, MAX(0, AD13 * INDEX(ASSUMPTIONS!$C$6:$E$6, 1, MATCH(ASSUMPTIONS!$C$2, ASSUMPTIONS!$C$4:$E$4, 0))))</f>
      </c>
      <c r="AE14" s="17">
        <f>IF(INDEX(ASSUMPTIONS!$C$7:$E$7, 1, MATCH(ASSUMPTIONS!$C$2, ASSUMPTIONS!$C$4:$E$4, 0))=1, 0, MAX(0, AE13 * INDEX(ASSUMPTIONS!$C$6:$E$6, 1, MATCH(ASSUMPTIONS!$C$2, ASSUMPTIONS!$C$4:$E$4, 0))))</f>
      </c>
      <c r="AF14" s="17">
        <f>IF(INDEX(ASSUMPTIONS!$C$7:$E$7, 1, MATCH(ASSUMPTIONS!$C$2, ASSUMPTIONS!$C$4:$E$4, 0))=1, 0, MAX(0, AF13 * INDEX(ASSUMPTIONS!$C$6:$E$6, 1, MATCH(ASSUMPTIONS!$C$2, ASSUMPTIONS!$C$4:$E$4, 0))))</f>
      </c>
      <c r="AG14" s="17">
        <f>IF(INDEX(ASSUMPTIONS!$C$7:$E$7, 1, MATCH(ASSUMPTIONS!$C$2, ASSUMPTIONS!$C$4:$E$4, 0))=1, 0, MAX(0, AG13 * INDEX(ASSUMPTIONS!$C$6:$E$6, 1, MATCH(ASSUMPTIONS!$C$2, ASSUMPTIONS!$C$4:$E$4, 0))))</f>
      </c>
      <c r="AH14" s="17">
        <f>IF(INDEX(ASSUMPTIONS!$C$7:$E$7, 1, MATCH(ASSUMPTIONS!$C$2, ASSUMPTIONS!$C$4:$E$4, 0))=1, 0, MAX(0, AH13 * INDEX(ASSUMPTIONS!$C$6:$E$6, 1, MATCH(ASSUMPTIONS!$C$2, ASSUMPTIONS!$C$4:$E$4, 0))))</f>
      </c>
      <c r="AI14" s="17">
        <f>IF(INDEX(ASSUMPTIONS!$C$7:$E$7, 1, MATCH(ASSUMPTIONS!$C$2, ASSUMPTIONS!$C$4:$E$4, 0))=1, 0, MAX(0, AI13 * INDEX(ASSUMPTIONS!$C$6:$E$6, 1, MATCH(ASSUMPTIONS!$C$2, ASSUMPTIONS!$C$4:$E$4, 0))))</f>
      </c>
      <c r="AJ14" s="17">
        <f>IF(INDEX(ASSUMPTIONS!$C$7:$E$7, 1, MATCH(ASSUMPTIONS!$C$2, ASSUMPTIONS!$C$4:$E$4, 0))=1, 0, MAX(0, AJ13 * INDEX(ASSUMPTIONS!$C$6:$E$6, 1, MATCH(ASSUMPTIONS!$C$2, ASSUMPTIONS!$C$4:$E$4, 0))))</f>
      </c>
      <c r="AK14" s="17">
        <f>IF(INDEX(ASSUMPTIONS!$C$7:$E$7, 1, MATCH(ASSUMPTIONS!$C$2, ASSUMPTIONS!$C$4:$E$4, 0))=1, 0, MAX(0, AK13 * INDEX(ASSUMPTIONS!$C$6:$E$6, 1, MATCH(ASSUMPTIONS!$C$2, ASSUMPTIONS!$C$4:$E$4, 0))))</f>
      </c>
      <c r="AL14" s="17">
        <f>IF(INDEX(ASSUMPTIONS!$C$7:$E$7, 1, MATCH(ASSUMPTIONS!$C$2, ASSUMPTIONS!$C$4:$E$4, 0))=1, 0, MAX(0, AL13 * INDEX(ASSUMPTIONS!$C$6:$E$6, 1, MATCH(ASSUMPTIONS!$C$2, ASSUMPTIONS!$C$4:$E$4, 0))))</f>
      </c>
      <c r="AM14" s="17">
        <f>MAX(0, AM13 * INDEX(ASSUMPTIONS!$C$6:$E$6, 1, MATCH(ASSUMPTIONS!$C$2, ASSUMPTIONS!$C$4:$E$4, 0)))</f>
      </c>
      <c r="AN14" s="17">
        <f>MAX(0, AN13 * INDEX(ASSUMPTIONS!$C$6:$E$6, 1, MATCH(ASSUMPTIONS!$C$2, ASSUMPTIONS!$C$4:$E$4, 0)))</f>
      </c>
      <c r="AO14" s="17">
        <f>MAX(0, AO13 * INDEX(ASSUMPTIONS!$C$6:$E$6, 1, MATCH(ASSUMPTIONS!$C$2, ASSUMPTIONS!$C$4:$E$4, 0)))</f>
      </c>
      <c r="AP14" s="17">
        <f>MAX(0, AP13 * INDEX(ASSUMPTIONS!$C$6:$E$6, 1, MATCH(ASSUMPTIONS!$C$2, ASSUMPTIONS!$C$4:$E$4, 0)))</f>
      </c>
      <c r="AQ14" s="17">
        <f>MAX(0, AQ13 * INDEX(ASSUMPTIONS!$C$6:$E$6, 1, MATCH(ASSUMPTIONS!$C$2, ASSUMPTIONS!$C$4:$E$4, 0)))</f>
      </c>
      <c r="AR14" s="17">
        <f>MAX(0, AR13 * INDEX(ASSUMPTIONS!$C$6:$E$6, 1, MATCH(ASSUMPTIONS!$C$2, ASSUMPTIONS!$C$4:$E$4, 0)))</f>
      </c>
      <c r="AS14" s="17">
        <f>MAX(0, AS13 * INDEX(ASSUMPTIONS!$C$6:$E$6, 1, MATCH(ASSUMPTIONS!$C$2, ASSUMPTIONS!$C$4:$E$4, 0)))</f>
      </c>
      <c r="AT14" s="17">
        <f>MAX(0, AT13 * INDEX(ASSUMPTIONS!$C$6:$E$6, 1, MATCH(ASSUMPTIONS!$C$2, ASSUMPTIONS!$C$4:$E$4, 0)))</f>
      </c>
      <c r="AU14" s="17">
        <f>MAX(0, AU13 * INDEX(ASSUMPTIONS!$C$6:$E$6, 1, MATCH(ASSUMPTIONS!$C$2, ASSUMPTIONS!$C$4:$E$4, 0)))</f>
      </c>
      <c r="AV14" s="17">
        <f>MAX(0, AV13 * INDEX(ASSUMPTIONS!$C$6:$E$6, 1, MATCH(ASSUMPTIONS!$C$2, ASSUMPTIONS!$C$4:$E$4, 0)))</f>
      </c>
      <c r="AW14" s="17">
        <f>MAX(0, AW13 * INDEX(ASSUMPTIONS!$C$6:$E$6, 1, MATCH(ASSUMPTIONS!$C$2, ASSUMPTIONS!$C$4:$E$4, 0)))</f>
      </c>
      <c r="AX14" s="17">
        <f>MAX(0, AX13 * INDEX(ASSUMPTIONS!$C$6:$E$6, 1, MATCH(ASSUMPTIONS!$C$2, ASSUMPTIONS!$C$4:$E$4, 0)))</f>
      </c>
      <c r="AY14" s="17">
        <f>MAX(0, AY13 * INDEX(ASSUMPTIONS!$C$6:$E$6, 1, MATCH(ASSUMPTIONS!$C$2, ASSUMPTIONS!$C$4:$E$4, 0)))</f>
      </c>
      <c r="AZ14" s="17">
        <f>MAX(0, AZ13 * INDEX(ASSUMPTIONS!$C$6:$E$6, 1, MATCH(ASSUMPTIONS!$C$2, ASSUMPTIONS!$C$4:$E$4, 0)))</f>
      </c>
      <c r="BA14" s="17">
        <f>MAX(0, BA13 * INDEX(ASSUMPTIONS!$C$6:$E$6, 1, MATCH(ASSUMPTIONS!$C$2, ASSUMPTIONS!$C$4:$E$4, 0)))</f>
      </c>
      <c r="BB14" s="17">
        <f>MAX(0, BB13 * INDEX(ASSUMPTIONS!$C$6:$E$6, 1, MATCH(ASSUMPTIONS!$C$2, ASSUMPTIONS!$C$4:$E$4, 0)))</f>
      </c>
      <c r="BC14" s="17">
        <f>MAX(0, BC13 * INDEX(ASSUMPTIONS!$C$6:$E$6, 1, MATCH(ASSUMPTIONS!$C$2, ASSUMPTIONS!$C$4:$E$4, 0)))</f>
      </c>
      <c r="BD14" s="17">
        <f>MAX(0, BD13 * INDEX(ASSUMPTIONS!$C$6:$E$6, 1, MATCH(ASSUMPTIONS!$C$2, ASSUMPTIONS!$C$4:$E$4, 0)))</f>
      </c>
      <c r="BE14" s="17">
        <f>MAX(0, BE13 * INDEX(ASSUMPTIONS!$C$6:$E$6, 1, MATCH(ASSUMPTIONS!$C$2, ASSUMPTIONS!$C$4:$E$4, 0)))</f>
      </c>
      <c r="BF14" s="17">
        <f>MAX(0, BF13 * INDEX(ASSUMPTIONS!$C$6:$E$6, 1, MATCH(ASSUMPTIONS!$C$2, ASSUMPTIONS!$C$4:$E$4, 0)))</f>
      </c>
      <c r="BG14" s="17">
        <f>MAX(0, BG13 * INDEX(ASSUMPTIONS!$C$6:$E$6, 1, MATCH(ASSUMPTIONS!$C$2, ASSUMPTIONS!$C$4:$E$4, 0)))</f>
      </c>
      <c r="BH14" s="17">
        <f>MAX(0, BH13 * INDEX(ASSUMPTIONS!$C$6:$E$6, 1, MATCH(ASSUMPTIONS!$C$2, ASSUMPTIONS!$C$4:$E$4, 0)))</f>
      </c>
      <c r="BI14" s="17">
        <f>MAX(0, BI13 * INDEX(ASSUMPTIONS!$C$6:$E$6, 1, MATCH(ASSUMPTIONS!$C$2, ASSUMPTIONS!$C$4:$E$4, 0)))</f>
      </c>
      <c r="BJ14" s="17">
        <f>MAX(0, BJ13 * INDEX(ASSUMPTIONS!$C$6:$E$6, 1, MATCH(ASSUMPTIONS!$C$2, ASSUMPTIONS!$C$4:$E$4, 0)))</f>
      </c>
    </row>
    <row r="15" spans="2:62" x14ac:dyDescent="0.25">
      <c r="B15" s="16" t="s">
        <v>132</v>
      </c>
      <c r="C15" s="17">
        <f>C13 - C14</f>
      </c>
      <c r="D15" s="17">
        <f>D13 - D14</f>
      </c>
      <c r="E15" s="17">
        <f>E13 - E14</f>
      </c>
      <c r="F15" s="17">
        <f>F13 - F14</f>
      </c>
      <c r="G15" s="17">
        <f>G13 - G14</f>
      </c>
      <c r="H15" s="17">
        <f>H13 - H14</f>
      </c>
      <c r="I15" s="17">
        <f>I13 - I14</f>
      </c>
      <c r="J15" s="17">
        <f>J13 - J14</f>
      </c>
      <c r="K15" s="17">
        <f>K13 - K14</f>
      </c>
      <c r="L15" s="17">
        <f>L13 - L14</f>
      </c>
      <c r="M15" s="17">
        <f>M13 - M14</f>
      </c>
      <c r="N15" s="17">
        <f>N13 - N14</f>
      </c>
      <c r="O15" s="17">
        <f>O13 - O14</f>
      </c>
      <c r="P15" s="17">
        <f>P13 - P14</f>
      </c>
      <c r="Q15" s="17">
        <f>Q13 - Q14</f>
      </c>
      <c r="R15" s="17">
        <f>R13 - R14</f>
      </c>
      <c r="S15" s="17">
        <f>S13 - S14</f>
      </c>
      <c r="T15" s="17">
        <f>T13 - T14</f>
      </c>
      <c r="U15" s="17">
        <f>U13 - U14</f>
      </c>
      <c r="V15" s="17">
        <f>V13 - V14</f>
      </c>
      <c r="W15" s="17">
        <f>W13 - W14</f>
      </c>
      <c r="X15" s="17">
        <f>X13 - X14</f>
      </c>
      <c r="Y15" s="17">
        <f>Y13 - Y14</f>
      </c>
      <c r="Z15" s="17">
        <f>Z13 - Z14</f>
      </c>
      <c r="AA15" s="17">
        <f>AA13 - AA14</f>
      </c>
      <c r="AB15" s="17">
        <f>AB13 - AB14</f>
      </c>
      <c r="AC15" s="17">
        <f>AC13 - AC14</f>
      </c>
      <c r="AD15" s="17">
        <f>AD13 - AD14</f>
      </c>
      <c r="AE15" s="17">
        <f>AE13 - AE14</f>
      </c>
      <c r="AF15" s="17">
        <f>AF13 - AF14</f>
      </c>
      <c r="AG15" s="17">
        <f>AG13 - AG14</f>
      </c>
      <c r="AH15" s="17">
        <f>AH13 - AH14</f>
      </c>
      <c r="AI15" s="17">
        <f>AI13 - AI14</f>
      </c>
      <c r="AJ15" s="17">
        <f>AJ13 - AJ14</f>
      </c>
      <c r="AK15" s="17">
        <f>AK13 - AK14</f>
      </c>
      <c r="AL15" s="17">
        <f>AL13 - AL14</f>
      </c>
      <c r="AM15" s="17">
        <f>AM13 - AM14</f>
      </c>
      <c r="AN15" s="17">
        <f>AN13 - AN14</f>
      </c>
      <c r="AO15" s="17">
        <f>AO13 - AO14</f>
      </c>
      <c r="AP15" s="17">
        <f>AP13 - AP14</f>
      </c>
      <c r="AQ15" s="17">
        <f>AQ13 - AQ14</f>
      </c>
      <c r="AR15" s="17">
        <f>AR13 - AR14</f>
      </c>
      <c r="AS15" s="17">
        <f>AS13 - AS14</f>
      </c>
      <c r="AT15" s="17">
        <f>AT13 - AT14</f>
      </c>
      <c r="AU15" s="17">
        <f>AU13 - AU14</f>
      </c>
      <c r="AV15" s="17">
        <f>AV13 - AV14</f>
      </c>
      <c r="AW15" s="17">
        <f>AW13 - AW14</f>
      </c>
      <c r="AX15" s="17">
        <f>AX13 - AX14</f>
      </c>
      <c r="AY15" s="17">
        <f>AY13 - AY14</f>
      </c>
      <c r="AZ15" s="17">
        <f>AZ13 - AZ14</f>
      </c>
      <c r="BA15" s="17">
        <f>BA13 - BA14</f>
      </c>
      <c r="BB15" s="17">
        <f>BB13 - BB14</f>
      </c>
      <c r="BC15" s="17">
        <f>BC13 - BC14</f>
      </c>
      <c r="BD15" s="17">
        <f>BD13 - BD14</f>
      </c>
      <c r="BE15" s="17">
        <f>BE13 - BE14</f>
      </c>
      <c r="BF15" s="17">
        <f>BF13 - BF14</f>
      </c>
      <c r="BG15" s="17">
        <f>BG13 - BG14</f>
      </c>
      <c r="BH15" s="17">
        <f>BH13 - BH14</f>
      </c>
      <c r="BI15" s="17">
        <f>BI13 - BI14</f>
      </c>
      <c r="BJ15" s="17">
        <f>BJ13 - BJ14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133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134</v>
      </c>
      <c r="C5" s="17">
        <f>'MONTHLY_P_AND_L'!C15</f>
      </c>
      <c r="D5" s="17">
        <f>'MONTHLY_P_AND_L'!D15</f>
      </c>
      <c r="E5" s="17">
        <f>'MONTHLY_P_AND_L'!E15</f>
      </c>
      <c r="F5" s="17">
        <f>'MONTHLY_P_AND_L'!F15</f>
      </c>
      <c r="G5" s="17">
        <f>'MONTHLY_P_AND_L'!G15</f>
      </c>
      <c r="H5" s="17">
        <f>'MONTHLY_P_AND_L'!H15</f>
      </c>
      <c r="I5" s="17">
        <f>'MONTHLY_P_AND_L'!I15</f>
      </c>
      <c r="J5" s="17">
        <f>'MONTHLY_P_AND_L'!J15</f>
      </c>
      <c r="K5" s="17">
        <f>'MONTHLY_P_AND_L'!K15</f>
      </c>
      <c r="L5" s="17">
        <f>'MONTHLY_P_AND_L'!L15</f>
      </c>
      <c r="M5" s="17">
        <f>'MONTHLY_P_AND_L'!M15</f>
      </c>
      <c r="N5" s="17">
        <f>'MONTHLY_P_AND_L'!N15</f>
      </c>
      <c r="O5" s="17">
        <f>'MONTHLY_P_AND_L'!O15</f>
      </c>
      <c r="P5" s="17">
        <f>'MONTHLY_P_AND_L'!P15</f>
      </c>
      <c r="Q5" s="17">
        <f>'MONTHLY_P_AND_L'!Q15</f>
      </c>
      <c r="R5" s="17">
        <f>'MONTHLY_P_AND_L'!R15</f>
      </c>
      <c r="S5" s="17">
        <f>'MONTHLY_P_AND_L'!S15</f>
      </c>
      <c r="T5" s="17">
        <f>'MONTHLY_P_AND_L'!T15</f>
      </c>
      <c r="U5" s="17">
        <f>'MONTHLY_P_AND_L'!U15</f>
      </c>
      <c r="V5" s="17">
        <f>'MONTHLY_P_AND_L'!V15</f>
      </c>
      <c r="W5" s="17">
        <f>'MONTHLY_P_AND_L'!W15</f>
      </c>
      <c r="X5" s="17">
        <f>'MONTHLY_P_AND_L'!X15</f>
      </c>
      <c r="Y5" s="17">
        <f>'MONTHLY_P_AND_L'!Y15</f>
      </c>
      <c r="Z5" s="17">
        <f>'MONTHLY_P_AND_L'!Z15</f>
      </c>
      <c r="AA5" s="17">
        <f>'MONTHLY_P_AND_L'!AA15</f>
      </c>
      <c r="AB5" s="17">
        <f>'MONTHLY_P_AND_L'!AB15</f>
      </c>
      <c r="AC5" s="17">
        <f>'MONTHLY_P_AND_L'!AC15</f>
      </c>
      <c r="AD5" s="17">
        <f>'MONTHLY_P_AND_L'!AD15</f>
      </c>
      <c r="AE5" s="17">
        <f>'MONTHLY_P_AND_L'!AE15</f>
      </c>
      <c r="AF5" s="17">
        <f>'MONTHLY_P_AND_L'!AF15</f>
      </c>
      <c r="AG5" s="17">
        <f>'MONTHLY_P_AND_L'!AG15</f>
      </c>
      <c r="AH5" s="17">
        <f>'MONTHLY_P_AND_L'!AH15</f>
      </c>
      <c r="AI5" s="17">
        <f>'MONTHLY_P_AND_L'!AI15</f>
      </c>
      <c r="AJ5" s="17">
        <f>'MONTHLY_P_AND_L'!AJ15</f>
      </c>
      <c r="AK5" s="17">
        <f>'MONTHLY_P_AND_L'!AK15</f>
      </c>
      <c r="AL5" s="17">
        <f>'MONTHLY_P_AND_L'!AL15</f>
      </c>
      <c r="AM5" s="17">
        <f>'MONTHLY_P_AND_L'!AM15</f>
      </c>
      <c r="AN5" s="17">
        <f>'MONTHLY_P_AND_L'!AN15</f>
      </c>
      <c r="AO5" s="17">
        <f>'MONTHLY_P_AND_L'!AO15</f>
      </c>
      <c r="AP5" s="17">
        <f>'MONTHLY_P_AND_L'!AP15</f>
      </c>
      <c r="AQ5" s="17">
        <f>'MONTHLY_P_AND_L'!AQ15</f>
      </c>
      <c r="AR5" s="17">
        <f>'MONTHLY_P_AND_L'!AR15</f>
      </c>
      <c r="AS5" s="17">
        <f>'MONTHLY_P_AND_L'!AS15</f>
      </c>
      <c r="AT5" s="17">
        <f>'MONTHLY_P_AND_L'!AT15</f>
      </c>
      <c r="AU5" s="17">
        <f>'MONTHLY_P_AND_L'!AU15</f>
      </c>
      <c r="AV5" s="17">
        <f>'MONTHLY_P_AND_L'!AV15</f>
      </c>
      <c r="AW5" s="17">
        <f>'MONTHLY_P_AND_L'!AW15</f>
      </c>
      <c r="AX5" s="17">
        <f>'MONTHLY_P_AND_L'!AX15</f>
      </c>
      <c r="AY5" s="17">
        <f>'MONTHLY_P_AND_L'!AY15</f>
      </c>
      <c r="AZ5" s="17">
        <f>'MONTHLY_P_AND_L'!AZ15</f>
      </c>
      <c r="BA5" s="17">
        <f>'MONTHLY_P_AND_L'!BA15</f>
      </c>
      <c r="BB5" s="17">
        <f>'MONTHLY_P_AND_L'!BB15</f>
      </c>
      <c r="BC5" s="17">
        <f>'MONTHLY_P_AND_L'!BC15</f>
      </c>
      <c r="BD5" s="17">
        <f>'MONTHLY_P_AND_L'!BD15</f>
      </c>
      <c r="BE5" s="17">
        <f>'MONTHLY_P_AND_L'!BE15</f>
      </c>
      <c r="BF5" s="17">
        <f>'MONTHLY_P_AND_L'!BF15</f>
      </c>
      <c r="BG5" s="17">
        <f>'MONTHLY_P_AND_L'!BG15</f>
      </c>
      <c r="BH5" s="17">
        <f>'MONTHLY_P_AND_L'!BH15</f>
      </c>
      <c r="BI5" s="17">
        <f>'MONTHLY_P_AND_L'!BI15</f>
      </c>
      <c r="BJ5" s="17">
        <f>'MONTHLY_P_AND_L'!BJ15</f>
      </c>
    </row>
    <row r="6" spans="2:62" x14ac:dyDescent="0.25">
      <c r="B6" t="s">
        <v>135</v>
      </c>
      <c r="C6" s="17">
        <f>'CAPEX_AND_DEPRECIATION'!C7</f>
      </c>
      <c r="D6" s="17">
        <f>'CAPEX_AND_DEPRECIATION'!D7</f>
      </c>
      <c r="E6" s="17">
        <f>'CAPEX_AND_DEPRECIATION'!E7</f>
      </c>
      <c r="F6" s="17">
        <f>'CAPEX_AND_DEPRECIATION'!F7</f>
      </c>
      <c r="G6" s="17">
        <f>'CAPEX_AND_DEPRECIATION'!G7</f>
      </c>
      <c r="H6" s="17">
        <f>'CAPEX_AND_DEPRECIATION'!H7</f>
      </c>
      <c r="I6" s="17">
        <f>'CAPEX_AND_DEPRECIATION'!I7</f>
      </c>
      <c r="J6" s="17">
        <f>'CAPEX_AND_DEPRECIATION'!J7</f>
      </c>
      <c r="K6" s="17">
        <f>'CAPEX_AND_DEPRECIATION'!K7</f>
      </c>
      <c r="L6" s="17">
        <f>'CAPEX_AND_DEPRECIATION'!L7</f>
      </c>
      <c r="M6" s="17">
        <f>'CAPEX_AND_DEPRECIATION'!M7</f>
      </c>
      <c r="N6" s="17">
        <f>'CAPEX_AND_DEPRECIATION'!N7</f>
      </c>
      <c r="O6" s="17">
        <f>'CAPEX_AND_DEPRECIATION'!O7</f>
      </c>
      <c r="P6" s="17">
        <f>'CAPEX_AND_DEPRECIATION'!P7</f>
      </c>
      <c r="Q6" s="17">
        <f>'CAPEX_AND_DEPRECIATION'!Q7</f>
      </c>
      <c r="R6" s="17">
        <f>'CAPEX_AND_DEPRECIATION'!R7</f>
      </c>
      <c r="S6" s="17">
        <f>'CAPEX_AND_DEPRECIATION'!S7</f>
      </c>
      <c r="T6" s="17">
        <f>'CAPEX_AND_DEPRECIATION'!T7</f>
      </c>
      <c r="U6" s="17">
        <f>'CAPEX_AND_DEPRECIATION'!U7</f>
      </c>
      <c r="V6" s="17">
        <f>'CAPEX_AND_DEPRECIATION'!V7</f>
      </c>
      <c r="W6" s="17">
        <f>'CAPEX_AND_DEPRECIATION'!W7</f>
      </c>
      <c r="X6" s="17">
        <f>'CAPEX_AND_DEPRECIATION'!X7</f>
      </c>
      <c r="Y6" s="17">
        <f>'CAPEX_AND_DEPRECIATION'!Y7</f>
      </c>
      <c r="Z6" s="17">
        <f>'CAPEX_AND_DEPRECIATION'!Z7</f>
      </c>
      <c r="AA6" s="17">
        <f>'CAPEX_AND_DEPRECIATION'!AA7</f>
      </c>
      <c r="AB6" s="17">
        <f>'CAPEX_AND_DEPRECIATION'!AB7</f>
      </c>
      <c r="AC6" s="17">
        <f>'CAPEX_AND_DEPRECIATION'!AC7</f>
      </c>
      <c r="AD6" s="17">
        <f>'CAPEX_AND_DEPRECIATION'!AD7</f>
      </c>
      <c r="AE6" s="17">
        <f>'CAPEX_AND_DEPRECIATION'!AE7</f>
      </c>
      <c r="AF6" s="17">
        <f>'CAPEX_AND_DEPRECIATION'!AF7</f>
      </c>
      <c r="AG6" s="17">
        <f>'CAPEX_AND_DEPRECIATION'!AG7</f>
      </c>
      <c r="AH6" s="17">
        <f>'CAPEX_AND_DEPRECIATION'!AH7</f>
      </c>
      <c r="AI6" s="17">
        <f>'CAPEX_AND_DEPRECIATION'!AI7</f>
      </c>
      <c r="AJ6" s="17">
        <f>'CAPEX_AND_DEPRECIATION'!AJ7</f>
      </c>
      <c r="AK6" s="17">
        <f>'CAPEX_AND_DEPRECIATION'!AK7</f>
      </c>
      <c r="AL6" s="17">
        <f>'CAPEX_AND_DEPRECIATION'!AL7</f>
      </c>
      <c r="AM6" s="17">
        <f>'CAPEX_AND_DEPRECIATION'!AM7</f>
      </c>
      <c r="AN6" s="17">
        <f>'CAPEX_AND_DEPRECIATION'!AN7</f>
      </c>
      <c r="AO6" s="17">
        <f>'CAPEX_AND_DEPRECIATION'!AO7</f>
      </c>
      <c r="AP6" s="17">
        <f>'CAPEX_AND_DEPRECIATION'!AP7</f>
      </c>
      <c r="AQ6" s="17">
        <f>'CAPEX_AND_DEPRECIATION'!AQ7</f>
      </c>
      <c r="AR6" s="17">
        <f>'CAPEX_AND_DEPRECIATION'!AR7</f>
      </c>
      <c r="AS6" s="17">
        <f>'CAPEX_AND_DEPRECIATION'!AS7</f>
      </c>
      <c r="AT6" s="17">
        <f>'CAPEX_AND_DEPRECIATION'!AT7</f>
      </c>
      <c r="AU6" s="17">
        <f>'CAPEX_AND_DEPRECIATION'!AU7</f>
      </c>
      <c r="AV6" s="17">
        <f>'CAPEX_AND_DEPRECIATION'!AV7</f>
      </c>
      <c r="AW6" s="17">
        <f>'CAPEX_AND_DEPRECIATION'!AW7</f>
      </c>
      <c r="AX6" s="17">
        <f>'CAPEX_AND_DEPRECIATION'!AX7</f>
      </c>
      <c r="AY6" s="17">
        <f>'CAPEX_AND_DEPRECIATION'!AY7</f>
      </c>
      <c r="AZ6" s="17">
        <f>'CAPEX_AND_DEPRECIATION'!AZ7</f>
      </c>
      <c r="BA6" s="17">
        <f>'CAPEX_AND_DEPRECIATION'!BA7</f>
      </c>
      <c r="BB6" s="17">
        <f>'CAPEX_AND_DEPRECIATION'!BB7</f>
      </c>
      <c r="BC6" s="17">
        <f>'CAPEX_AND_DEPRECIATION'!BC7</f>
      </c>
      <c r="BD6" s="17">
        <f>'CAPEX_AND_DEPRECIATION'!BD7</f>
      </c>
      <c r="BE6" s="17">
        <f>'CAPEX_AND_DEPRECIATION'!BE7</f>
      </c>
      <c r="BF6" s="17">
        <f>'CAPEX_AND_DEPRECIATION'!BF7</f>
      </c>
      <c r="BG6" s="17">
        <f>'CAPEX_AND_DEPRECIATION'!BG7</f>
      </c>
      <c r="BH6" s="17">
        <f>'CAPEX_AND_DEPRECIATION'!BH7</f>
      </c>
      <c r="BI6" s="17">
        <f>'CAPEX_AND_DEPRECIATION'!BI7</f>
      </c>
      <c r="BJ6" s="17">
        <f>'CAPEX_AND_DEPRECIATION'!BJ7</f>
      </c>
    </row>
    <row r="7" spans="2:62" x14ac:dyDescent="0.25">
      <c r="B7" t="s">
        <v>136</v>
      </c>
      <c r="C7" s="17">
        <f>'WORKING_CAPITAL'!C8</f>
      </c>
      <c r="D7" s="17">
        <f>'WORKING_CAPITAL'!D8</f>
      </c>
      <c r="E7" s="17">
        <f>'WORKING_CAPITAL'!E8</f>
      </c>
      <c r="F7" s="17">
        <f>'WORKING_CAPITAL'!F8</f>
      </c>
      <c r="G7" s="17">
        <f>'WORKING_CAPITAL'!G8</f>
      </c>
      <c r="H7" s="17">
        <f>'WORKING_CAPITAL'!H8</f>
      </c>
      <c r="I7" s="17">
        <f>'WORKING_CAPITAL'!I8</f>
      </c>
      <c r="J7" s="17">
        <f>'WORKING_CAPITAL'!J8</f>
      </c>
      <c r="K7" s="17">
        <f>'WORKING_CAPITAL'!K8</f>
      </c>
      <c r="L7" s="17">
        <f>'WORKING_CAPITAL'!L8</f>
      </c>
      <c r="M7" s="17">
        <f>'WORKING_CAPITAL'!M8</f>
      </c>
      <c r="N7" s="17">
        <f>'WORKING_CAPITAL'!N8</f>
      </c>
      <c r="O7" s="17">
        <f>'WORKING_CAPITAL'!O8</f>
      </c>
      <c r="P7" s="17">
        <f>'WORKING_CAPITAL'!P8</f>
      </c>
      <c r="Q7" s="17">
        <f>'WORKING_CAPITAL'!Q8</f>
      </c>
      <c r="R7" s="17">
        <f>'WORKING_CAPITAL'!R8</f>
      </c>
      <c r="S7" s="17">
        <f>'WORKING_CAPITAL'!S8</f>
      </c>
      <c r="T7" s="17">
        <f>'WORKING_CAPITAL'!T8</f>
      </c>
      <c r="U7" s="17">
        <f>'WORKING_CAPITAL'!U8</f>
      </c>
      <c r="V7" s="17">
        <f>'WORKING_CAPITAL'!V8</f>
      </c>
      <c r="W7" s="17">
        <f>'WORKING_CAPITAL'!W8</f>
      </c>
      <c r="X7" s="17">
        <f>'WORKING_CAPITAL'!X8</f>
      </c>
      <c r="Y7" s="17">
        <f>'WORKING_CAPITAL'!Y8</f>
      </c>
      <c r="Z7" s="17">
        <f>'WORKING_CAPITAL'!Z8</f>
      </c>
      <c r="AA7" s="17">
        <f>'WORKING_CAPITAL'!AA8</f>
      </c>
      <c r="AB7" s="17">
        <f>'WORKING_CAPITAL'!AB8</f>
      </c>
      <c r="AC7" s="17">
        <f>'WORKING_CAPITAL'!AC8</f>
      </c>
      <c r="AD7" s="17">
        <f>'WORKING_CAPITAL'!AD8</f>
      </c>
      <c r="AE7" s="17">
        <f>'WORKING_CAPITAL'!AE8</f>
      </c>
      <c r="AF7" s="17">
        <f>'WORKING_CAPITAL'!AF8</f>
      </c>
      <c r="AG7" s="17">
        <f>'WORKING_CAPITAL'!AG8</f>
      </c>
      <c r="AH7" s="17">
        <f>'WORKING_CAPITAL'!AH8</f>
      </c>
      <c r="AI7" s="17">
        <f>'WORKING_CAPITAL'!AI8</f>
      </c>
      <c r="AJ7" s="17">
        <f>'WORKING_CAPITAL'!AJ8</f>
      </c>
      <c r="AK7" s="17">
        <f>'WORKING_CAPITAL'!AK8</f>
      </c>
      <c r="AL7" s="17">
        <f>'WORKING_CAPITAL'!AL8</f>
      </c>
      <c r="AM7" s="17">
        <f>'WORKING_CAPITAL'!AM8</f>
      </c>
      <c r="AN7" s="17">
        <f>'WORKING_CAPITAL'!AN8</f>
      </c>
      <c r="AO7" s="17">
        <f>'WORKING_CAPITAL'!AO8</f>
      </c>
      <c r="AP7" s="17">
        <f>'WORKING_CAPITAL'!AP8</f>
      </c>
      <c r="AQ7" s="17">
        <f>'WORKING_CAPITAL'!AQ8</f>
      </c>
      <c r="AR7" s="17">
        <f>'WORKING_CAPITAL'!AR8</f>
      </c>
      <c r="AS7" s="17">
        <f>'WORKING_CAPITAL'!AS8</f>
      </c>
      <c r="AT7" s="17">
        <f>'WORKING_CAPITAL'!AT8</f>
      </c>
      <c r="AU7" s="17">
        <f>'WORKING_CAPITAL'!AU8</f>
      </c>
      <c r="AV7" s="17">
        <f>'WORKING_CAPITAL'!AV8</f>
      </c>
      <c r="AW7" s="17">
        <f>'WORKING_CAPITAL'!AW8</f>
      </c>
      <c r="AX7" s="17">
        <f>'WORKING_CAPITAL'!AX8</f>
      </c>
      <c r="AY7" s="17">
        <f>'WORKING_CAPITAL'!AY8</f>
      </c>
      <c r="AZ7" s="17">
        <f>'WORKING_CAPITAL'!AZ8</f>
      </c>
      <c r="BA7" s="17">
        <f>'WORKING_CAPITAL'!BA8</f>
      </c>
      <c r="BB7" s="17">
        <f>'WORKING_CAPITAL'!BB8</f>
      </c>
      <c r="BC7" s="17">
        <f>'WORKING_CAPITAL'!BC8</f>
      </c>
      <c r="BD7" s="17">
        <f>'WORKING_CAPITAL'!BD8</f>
      </c>
      <c r="BE7" s="17">
        <f>'WORKING_CAPITAL'!BE8</f>
      </c>
      <c r="BF7" s="17">
        <f>'WORKING_CAPITAL'!BF8</f>
      </c>
      <c r="BG7" s="17">
        <f>'WORKING_CAPITAL'!BG8</f>
      </c>
      <c r="BH7" s="17">
        <f>'WORKING_CAPITAL'!BH8</f>
      </c>
      <c r="BI7" s="17">
        <f>'WORKING_CAPITAL'!BI8</f>
      </c>
      <c r="BJ7" s="17">
        <f>'WORKING_CAPITAL'!BJ8</f>
      </c>
    </row>
    <row r="8" spans="2:62" x14ac:dyDescent="0.25">
      <c r="B8" s="16" t="s">
        <v>137</v>
      </c>
      <c r="C8" s="17">
        <f>C5 + C6 - C7</f>
      </c>
      <c r="D8" s="17">
        <f>D5 + D6 - D7</f>
      </c>
      <c r="E8" s="17">
        <f>E5 + E6 - E7</f>
      </c>
      <c r="F8" s="17">
        <f>F5 + F6 - F7</f>
      </c>
      <c r="G8" s="17">
        <f>G5 + G6 - G7</f>
      </c>
      <c r="H8" s="17">
        <f>H5 + H6 - H7</f>
      </c>
      <c r="I8" s="17">
        <f>I5 + I6 - I7</f>
      </c>
      <c r="J8" s="17">
        <f>J5 + J6 - J7</f>
      </c>
      <c r="K8" s="17">
        <f>K5 + K6 - K7</f>
      </c>
      <c r="L8" s="17">
        <f>L5 + L6 - L7</f>
      </c>
      <c r="M8" s="17">
        <f>M5 + M6 - M7</f>
      </c>
      <c r="N8" s="17">
        <f>N5 + N6 - N7</f>
      </c>
      <c r="O8" s="17">
        <f>O5 + O6 - O7</f>
      </c>
      <c r="P8" s="17">
        <f>P5 + P6 - P7</f>
      </c>
      <c r="Q8" s="17">
        <f>Q5 + Q6 - Q7</f>
      </c>
      <c r="R8" s="17">
        <f>R5 + R6 - R7</f>
      </c>
      <c r="S8" s="17">
        <f>S5 + S6 - S7</f>
      </c>
      <c r="T8" s="17">
        <f>T5 + T6 - T7</f>
      </c>
      <c r="U8" s="17">
        <f>U5 + U6 - U7</f>
      </c>
      <c r="V8" s="17">
        <f>V5 + V6 - V7</f>
      </c>
      <c r="W8" s="17">
        <f>W5 + W6 - W7</f>
      </c>
      <c r="X8" s="17">
        <f>X5 + X6 - X7</f>
      </c>
      <c r="Y8" s="17">
        <f>Y5 + Y6 - Y7</f>
      </c>
      <c r="Z8" s="17">
        <f>Z5 + Z6 - Z7</f>
      </c>
      <c r="AA8" s="17">
        <f>AA5 + AA6 - AA7</f>
      </c>
      <c r="AB8" s="17">
        <f>AB5 + AB6 - AB7</f>
      </c>
      <c r="AC8" s="17">
        <f>AC5 + AC6 - AC7</f>
      </c>
      <c r="AD8" s="17">
        <f>AD5 + AD6 - AD7</f>
      </c>
      <c r="AE8" s="17">
        <f>AE5 + AE6 - AE7</f>
      </c>
      <c r="AF8" s="17">
        <f>AF5 + AF6 - AF7</f>
      </c>
      <c r="AG8" s="17">
        <f>AG5 + AG6 - AG7</f>
      </c>
      <c r="AH8" s="17">
        <f>AH5 + AH6 - AH7</f>
      </c>
      <c r="AI8" s="17">
        <f>AI5 + AI6 - AI7</f>
      </c>
      <c r="AJ8" s="17">
        <f>AJ5 + AJ6 - AJ7</f>
      </c>
      <c r="AK8" s="17">
        <f>AK5 + AK6 - AK7</f>
      </c>
      <c r="AL8" s="17">
        <f>AL5 + AL6 - AL7</f>
      </c>
      <c r="AM8" s="17">
        <f>AM5 + AM6 - AM7</f>
      </c>
      <c r="AN8" s="17">
        <f>AN5 + AN6 - AN7</f>
      </c>
      <c r="AO8" s="17">
        <f>AO5 + AO6 - AO7</f>
      </c>
      <c r="AP8" s="17">
        <f>AP5 + AP6 - AP7</f>
      </c>
      <c r="AQ8" s="17">
        <f>AQ5 + AQ6 - AQ7</f>
      </c>
      <c r="AR8" s="17">
        <f>AR5 + AR6 - AR7</f>
      </c>
      <c r="AS8" s="17">
        <f>AS5 + AS6 - AS7</f>
      </c>
      <c r="AT8" s="17">
        <f>AT5 + AT6 - AT7</f>
      </c>
      <c r="AU8" s="17">
        <f>AU5 + AU6 - AU7</f>
      </c>
      <c r="AV8" s="17">
        <f>AV5 + AV6 - AV7</f>
      </c>
      <c r="AW8" s="17">
        <f>AW5 + AW6 - AW7</f>
      </c>
      <c r="AX8" s="17">
        <f>AX5 + AX6 - AX7</f>
      </c>
      <c r="AY8" s="17">
        <f>AY5 + AY6 - AY7</f>
      </c>
      <c r="AZ8" s="17">
        <f>AZ5 + AZ6 - AZ7</f>
      </c>
      <c r="BA8" s="17">
        <f>BA5 + BA6 - BA7</f>
      </c>
      <c r="BB8" s="17">
        <f>BB5 + BB6 - BB7</f>
      </c>
      <c r="BC8" s="17">
        <f>BC5 + BC6 - BC7</f>
      </c>
      <c r="BD8" s="17">
        <f>BD5 + BD6 - BD7</f>
      </c>
      <c r="BE8" s="17">
        <f>BE5 + BE6 - BE7</f>
      </c>
      <c r="BF8" s="17">
        <f>BF5 + BF6 - BF7</f>
      </c>
      <c r="BG8" s="17">
        <f>BG5 + BG6 - BG7</f>
      </c>
      <c r="BH8" s="17">
        <f>BH5 + BH6 - BH7</f>
      </c>
      <c r="BI8" s="17">
        <f>BI5 + BI6 - BI7</f>
      </c>
      <c r="BJ8" s="17">
        <f>BJ5 + BJ6 - BJ7</f>
      </c>
    </row>
    <row r="9" spans="2:62" x14ac:dyDescent="0.25">
      <c r="B9" t="s">
        <v>138</v>
      </c>
      <c r="C9" s="17">
        <f>'CAPEX_AND_DEPRECIATION'!C6</f>
      </c>
      <c r="D9" s="17">
        <f>'CAPEX_AND_DEPRECIATION'!D6</f>
      </c>
      <c r="E9" s="17">
        <f>'CAPEX_AND_DEPRECIATION'!E6</f>
      </c>
      <c r="F9" s="17">
        <f>'CAPEX_AND_DEPRECIATION'!F6</f>
      </c>
      <c r="G9" s="17">
        <f>'CAPEX_AND_DEPRECIATION'!G6</f>
      </c>
      <c r="H9" s="17">
        <f>'CAPEX_AND_DEPRECIATION'!H6</f>
      </c>
      <c r="I9" s="17">
        <f>'CAPEX_AND_DEPRECIATION'!I6</f>
      </c>
      <c r="J9" s="17">
        <f>'CAPEX_AND_DEPRECIATION'!J6</f>
      </c>
      <c r="K9" s="17">
        <f>'CAPEX_AND_DEPRECIATION'!K6</f>
      </c>
      <c r="L9" s="17">
        <f>'CAPEX_AND_DEPRECIATION'!L6</f>
      </c>
      <c r="M9" s="17">
        <f>'CAPEX_AND_DEPRECIATION'!M6</f>
      </c>
      <c r="N9" s="17">
        <f>'CAPEX_AND_DEPRECIATION'!N6</f>
      </c>
      <c r="O9" s="17">
        <f>'CAPEX_AND_DEPRECIATION'!O6</f>
      </c>
      <c r="P9" s="17">
        <f>'CAPEX_AND_DEPRECIATION'!P6</f>
      </c>
      <c r="Q9" s="17">
        <f>'CAPEX_AND_DEPRECIATION'!Q6</f>
      </c>
      <c r="R9" s="17">
        <f>'CAPEX_AND_DEPRECIATION'!R6</f>
      </c>
      <c r="S9" s="17">
        <f>'CAPEX_AND_DEPRECIATION'!S6</f>
      </c>
      <c r="T9" s="17">
        <f>'CAPEX_AND_DEPRECIATION'!T6</f>
      </c>
      <c r="U9" s="17">
        <f>'CAPEX_AND_DEPRECIATION'!U6</f>
      </c>
      <c r="V9" s="17">
        <f>'CAPEX_AND_DEPRECIATION'!V6</f>
      </c>
      <c r="W9" s="17">
        <f>'CAPEX_AND_DEPRECIATION'!W6</f>
      </c>
      <c r="X9" s="17">
        <f>'CAPEX_AND_DEPRECIATION'!X6</f>
      </c>
      <c r="Y9" s="17">
        <f>'CAPEX_AND_DEPRECIATION'!Y6</f>
      </c>
      <c r="Z9" s="17">
        <f>'CAPEX_AND_DEPRECIATION'!Z6</f>
      </c>
      <c r="AA9" s="17">
        <f>'CAPEX_AND_DEPRECIATION'!AA6</f>
      </c>
      <c r="AB9" s="17">
        <f>'CAPEX_AND_DEPRECIATION'!AB6</f>
      </c>
      <c r="AC9" s="17">
        <f>'CAPEX_AND_DEPRECIATION'!AC6</f>
      </c>
      <c r="AD9" s="17">
        <f>'CAPEX_AND_DEPRECIATION'!AD6</f>
      </c>
      <c r="AE9" s="17">
        <f>'CAPEX_AND_DEPRECIATION'!AE6</f>
      </c>
      <c r="AF9" s="17">
        <f>'CAPEX_AND_DEPRECIATION'!AF6</f>
      </c>
      <c r="AG9" s="17">
        <f>'CAPEX_AND_DEPRECIATION'!AG6</f>
      </c>
      <c r="AH9" s="17">
        <f>'CAPEX_AND_DEPRECIATION'!AH6</f>
      </c>
      <c r="AI9" s="17">
        <f>'CAPEX_AND_DEPRECIATION'!AI6</f>
      </c>
      <c r="AJ9" s="17">
        <f>'CAPEX_AND_DEPRECIATION'!AJ6</f>
      </c>
      <c r="AK9" s="17">
        <f>'CAPEX_AND_DEPRECIATION'!AK6</f>
      </c>
      <c r="AL9" s="17">
        <f>'CAPEX_AND_DEPRECIATION'!AL6</f>
      </c>
      <c r="AM9" s="17">
        <f>'CAPEX_AND_DEPRECIATION'!AM6</f>
      </c>
      <c r="AN9" s="17">
        <f>'CAPEX_AND_DEPRECIATION'!AN6</f>
      </c>
      <c r="AO9" s="17">
        <f>'CAPEX_AND_DEPRECIATION'!AO6</f>
      </c>
      <c r="AP9" s="17">
        <f>'CAPEX_AND_DEPRECIATION'!AP6</f>
      </c>
      <c r="AQ9" s="17">
        <f>'CAPEX_AND_DEPRECIATION'!AQ6</f>
      </c>
      <c r="AR9" s="17">
        <f>'CAPEX_AND_DEPRECIATION'!AR6</f>
      </c>
      <c r="AS9" s="17">
        <f>'CAPEX_AND_DEPRECIATION'!AS6</f>
      </c>
      <c r="AT9" s="17">
        <f>'CAPEX_AND_DEPRECIATION'!AT6</f>
      </c>
      <c r="AU9" s="17">
        <f>'CAPEX_AND_DEPRECIATION'!AU6</f>
      </c>
      <c r="AV9" s="17">
        <f>'CAPEX_AND_DEPRECIATION'!AV6</f>
      </c>
      <c r="AW9" s="17">
        <f>'CAPEX_AND_DEPRECIATION'!AW6</f>
      </c>
      <c r="AX9" s="17">
        <f>'CAPEX_AND_DEPRECIATION'!AX6</f>
      </c>
      <c r="AY9" s="17">
        <f>'CAPEX_AND_DEPRECIATION'!AY6</f>
      </c>
      <c r="AZ9" s="17">
        <f>'CAPEX_AND_DEPRECIATION'!AZ6</f>
      </c>
      <c r="BA9" s="17">
        <f>'CAPEX_AND_DEPRECIATION'!BA6</f>
      </c>
      <c r="BB9" s="17">
        <f>'CAPEX_AND_DEPRECIATION'!BB6</f>
      </c>
      <c r="BC9" s="17">
        <f>'CAPEX_AND_DEPRECIATION'!BC6</f>
      </c>
      <c r="BD9" s="17">
        <f>'CAPEX_AND_DEPRECIATION'!BD6</f>
      </c>
      <c r="BE9" s="17">
        <f>'CAPEX_AND_DEPRECIATION'!BE6</f>
      </c>
      <c r="BF9" s="17">
        <f>'CAPEX_AND_DEPRECIATION'!BF6</f>
      </c>
      <c r="BG9" s="17">
        <f>'CAPEX_AND_DEPRECIATION'!BG6</f>
      </c>
      <c r="BH9" s="17">
        <f>'CAPEX_AND_DEPRECIATION'!BH6</f>
      </c>
      <c r="BI9" s="17">
        <f>'CAPEX_AND_DEPRECIATION'!BI6</f>
      </c>
      <c r="BJ9" s="17">
        <f>'CAPEX_AND_DEPRECIATION'!BJ6</f>
      </c>
    </row>
    <row r="10" spans="2:62" x14ac:dyDescent="0.25">
      <c r="B10" s="16" t="s">
        <v>139</v>
      </c>
      <c r="C10" s="17">
        <f>-C9</f>
      </c>
      <c r="D10" s="17">
        <f>-D9</f>
      </c>
      <c r="E10" s="17">
        <f>-E9</f>
      </c>
      <c r="F10" s="17">
        <f>-F9</f>
      </c>
      <c r="G10" s="17">
        <f>-G9</f>
      </c>
      <c r="H10" s="17">
        <f>-H9</f>
      </c>
      <c r="I10" s="17">
        <f>-I9</f>
      </c>
      <c r="J10" s="17">
        <f>-J9</f>
      </c>
      <c r="K10" s="17">
        <f>-K9</f>
      </c>
      <c r="L10" s="17">
        <f>-L9</f>
      </c>
      <c r="M10" s="17">
        <f>-M9</f>
      </c>
      <c r="N10" s="17">
        <f>-N9</f>
      </c>
      <c r="O10" s="17">
        <f>-O9</f>
      </c>
      <c r="P10" s="17">
        <f>-P9</f>
      </c>
      <c r="Q10" s="17">
        <f>-Q9</f>
      </c>
      <c r="R10" s="17">
        <f>-R9</f>
      </c>
      <c r="S10" s="17">
        <f>-S9</f>
      </c>
      <c r="T10" s="17">
        <f>-T9</f>
      </c>
      <c r="U10" s="17">
        <f>-U9</f>
      </c>
      <c r="V10" s="17">
        <f>-V9</f>
      </c>
      <c r="W10" s="17">
        <f>-W9</f>
      </c>
      <c r="X10" s="17">
        <f>-X9</f>
      </c>
      <c r="Y10" s="17">
        <f>-Y9</f>
      </c>
      <c r="Z10" s="17">
        <f>-Z9</f>
      </c>
      <c r="AA10" s="17">
        <f>-AA9</f>
      </c>
      <c r="AB10" s="17">
        <f>-AB9</f>
      </c>
      <c r="AC10" s="17">
        <f>-AC9</f>
      </c>
      <c r="AD10" s="17">
        <f>-AD9</f>
      </c>
      <c r="AE10" s="17">
        <f>-AE9</f>
      </c>
      <c r="AF10" s="17">
        <f>-AF9</f>
      </c>
      <c r="AG10" s="17">
        <f>-AG9</f>
      </c>
      <c r="AH10" s="17">
        <f>-AH9</f>
      </c>
      <c r="AI10" s="17">
        <f>-AI9</f>
      </c>
      <c r="AJ10" s="17">
        <f>-AJ9</f>
      </c>
      <c r="AK10" s="17">
        <f>-AK9</f>
      </c>
      <c r="AL10" s="17">
        <f>-AL9</f>
      </c>
      <c r="AM10" s="17">
        <f>-AM9</f>
      </c>
      <c r="AN10" s="17">
        <f>-AN9</f>
      </c>
      <c r="AO10" s="17">
        <f>-AO9</f>
      </c>
      <c r="AP10" s="17">
        <f>-AP9</f>
      </c>
      <c r="AQ10" s="17">
        <f>-AQ9</f>
      </c>
      <c r="AR10" s="17">
        <f>-AR9</f>
      </c>
      <c r="AS10" s="17">
        <f>-AS9</f>
      </c>
      <c r="AT10" s="17">
        <f>-AT9</f>
      </c>
      <c r="AU10" s="17">
        <f>-AU9</f>
      </c>
      <c r="AV10" s="17">
        <f>-AV9</f>
      </c>
      <c r="AW10" s="17">
        <f>-AW9</f>
      </c>
      <c r="AX10" s="17">
        <f>-AX9</f>
      </c>
      <c r="AY10" s="17">
        <f>-AY9</f>
      </c>
      <c r="AZ10" s="17">
        <f>-AZ9</f>
      </c>
      <c r="BA10" s="17">
        <f>-BA9</f>
      </c>
      <c r="BB10" s="17">
        <f>-BB9</f>
      </c>
      <c r="BC10" s="17">
        <f>-BC9</f>
      </c>
      <c r="BD10" s="17">
        <f>-BD9</f>
      </c>
      <c r="BE10" s="17">
        <f>-BE9</f>
      </c>
      <c r="BF10" s="17">
        <f>-BF9</f>
      </c>
      <c r="BG10" s="17">
        <f>-BG9</f>
      </c>
      <c r="BH10" s="17">
        <f>-BH9</f>
      </c>
      <c r="BI10" s="17">
        <f>-BI9</f>
      </c>
      <c r="BJ10" s="17">
        <f>-BJ9</f>
      </c>
    </row>
    <row r="11" spans="2:62" x14ac:dyDescent="0.25">
      <c r="B11" t="s">
        <v>140</v>
      </c>
      <c r="C11" s="17">
        <f>'FUNDING_REQUIREMENT'!$C$9</f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</row>
    <row r="12" spans="2:62" x14ac:dyDescent="0.25">
      <c r="B12" s="16" t="s">
        <v>141</v>
      </c>
      <c r="C12" s="17">
        <f>C11</f>
      </c>
      <c r="D12" s="17">
        <f>D11</f>
      </c>
      <c r="E12" s="17">
        <f>E11</f>
      </c>
      <c r="F12" s="17">
        <f>F11</f>
      </c>
      <c r="G12" s="17">
        <f>G11</f>
      </c>
      <c r="H12" s="17">
        <f>H11</f>
      </c>
      <c r="I12" s="17">
        <f>I11</f>
      </c>
      <c r="J12" s="17">
        <f>J11</f>
      </c>
      <c r="K12" s="17">
        <f>K11</f>
      </c>
      <c r="L12" s="17">
        <f>L11</f>
      </c>
      <c r="M12" s="17">
        <f>M11</f>
      </c>
      <c r="N12" s="17">
        <f>N11</f>
      </c>
      <c r="O12" s="17">
        <f>O11</f>
      </c>
      <c r="P12" s="17">
        <f>P11</f>
      </c>
      <c r="Q12" s="17">
        <f>Q11</f>
      </c>
      <c r="R12" s="17">
        <f>R11</f>
      </c>
      <c r="S12" s="17">
        <f>S11</f>
      </c>
      <c r="T12" s="17">
        <f>T11</f>
      </c>
      <c r="U12" s="17">
        <f>U11</f>
      </c>
      <c r="V12" s="17">
        <f>V11</f>
      </c>
      <c r="W12" s="17">
        <f>W11</f>
      </c>
      <c r="X12" s="17">
        <f>X11</f>
      </c>
      <c r="Y12" s="17">
        <f>Y11</f>
      </c>
      <c r="Z12" s="17">
        <f>Z11</f>
      </c>
      <c r="AA12" s="17">
        <f>AA11</f>
      </c>
      <c r="AB12" s="17">
        <f>AB11</f>
      </c>
      <c r="AC12" s="17">
        <f>AC11</f>
      </c>
      <c r="AD12" s="17">
        <f>AD11</f>
      </c>
      <c r="AE12" s="17">
        <f>AE11</f>
      </c>
      <c r="AF12" s="17">
        <f>AF11</f>
      </c>
      <c r="AG12" s="17">
        <f>AG11</f>
      </c>
      <c r="AH12" s="17">
        <f>AH11</f>
      </c>
      <c r="AI12" s="17">
        <f>AI11</f>
      </c>
      <c r="AJ12" s="17">
        <f>AJ11</f>
      </c>
      <c r="AK12" s="17">
        <f>AK11</f>
      </c>
      <c r="AL12" s="17">
        <f>AL11</f>
      </c>
      <c r="AM12" s="17">
        <f>AM11</f>
      </c>
      <c r="AN12" s="17">
        <f>AN11</f>
      </c>
      <c r="AO12" s="17">
        <f>AO11</f>
      </c>
      <c r="AP12" s="17">
        <f>AP11</f>
      </c>
      <c r="AQ12" s="17">
        <f>AQ11</f>
      </c>
      <c r="AR12" s="17">
        <f>AR11</f>
      </c>
      <c r="AS12" s="17">
        <f>AS11</f>
      </c>
      <c r="AT12" s="17">
        <f>AT11</f>
      </c>
      <c r="AU12" s="17">
        <f>AU11</f>
      </c>
      <c r="AV12" s="17">
        <f>AV11</f>
      </c>
      <c r="AW12" s="17">
        <f>AW11</f>
      </c>
      <c r="AX12" s="17">
        <f>AX11</f>
      </c>
      <c r="AY12" s="17">
        <f>AY11</f>
      </c>
      <c r="AZ12" s="17">
        <f>AZ11</f>
      </c>
      <c r="BA12" s="17">
        <f>BA11</f>
      </c>
      <c r="BB12" s="17">
        <f>BB11</f>
      </c>
      <c r="BC12" s="17">
        <f>BC11</f>
      </c>
      <c r="BD12" s="17">
        <f>BD11</f>
      </c>
      <c r="BE12" s="17">
        <f>BE11</f>
      </c>
      <c r="BF12" s="17">
        <f>BF11</f>
      </c>
      <c r="BG12" s="17">
        <f>BG11</f>
      </c>
      <c r="BH12" s="17">
        <f>BH11</f>
      </c>
      <c r="BI12" s="17">
        <f>BI11</f>
      </c>
      <c r="BJ12" s="17">
        <f>BJ11</f>
      </c>
    </row>
    <row r="13" spans="2:62" x14ac:dyDescent="0.25">
      <c r="B13" s="16" t="s">
        <v>142</v>
      </c>
      <c r="C13" s="17">
        <f>C8 + C10 + C12</f>
      </c>
      <c r="D13" s="17">
        <f>D8 + D10 + D12</f>
      </c>
      <c r="E13" s="17">
        <f>E8 + E10 + E12</f>
      </c>
      <c r="F13" s="17">
        <f>F8 + F10 + F12</f>
      </c>
      <c r="G13" s="17">
        <f>G8 + G10 + G12</f>
      </c>
      <c r="H13" s="17">
        <f>H8 + H10 + H12</f>
      </c>
      <c r="I13" s="17">
        <f>I8 + I10 + I12</f>
      </c>
      <c r="J13" s="17">
        <f>J8 + J10 + J12</f>
      </c>
      <c r="K13" s="17">
        <f>K8 + K10 + K12</f>
      </c>
      <c r="L13" s="17">
        <f>L8 + L10 + L12</f>
      </c>
      <c r="M13" s="17">
        <f>M8 + M10 + M12</f>
      </c>
      <c r="N13" s="17">
        <f>N8 + N10 + N12</f>
      </c>
      <c r="O13" s="17">
        <f>O8 + O10 + O12</f>
      </c>
      <c r="P13" s="17">
        <f>P8 + P10 + P12</f>
      </c>
      <c r="Q13" s="17">
        <f>Q8 + Q10 + Q12</f>
      </c>
      <c r="R13" s="17">
        <f>R8 + R10 + R12</f>
      </c>
      <c r="S13" s="17">
        <f>S8 + S10 + S12</f>
      </c>
      <c r="T13" s="17">
        <f>T8 + T10 + T12</f>
      </c>
      <c r="U13" s="17">
        <f>U8 + U10 + U12</f>
      </c>
      <c r="V13" s="17">
        <f>V8 + V10 + V12</f>
      </c>
      <c r="W13" s="17">
        <f>W8 + W10 + W12</f>
      </c>
      <c r="X13" s="17">
        <f>X8 + X10 + X12</f>
      </c>
      <c r="Y13" s="17">
        <f>Y8 + Y10 + Y12</f>
      </c>
      <c r="Z13" s="17">
        <f>Z8 + Z10 + Z12</f>
      </c>
      <c r="AA13" s="17">
        <f>AA8 + AA10 + AA12</f>
      </c>
      <c r="AB13" s="17">
        <f>AB8 + AB10 + AB12</f>
      </c>
      <c r="AC13" s="17">
        <f>AC8 + AC10 + AC12</f>
      </c>
      <c r="AD13" s="17">
        <f>AD8 + AD10 + AD12</f>
      </c>
      <c r="AE13" s="17">
        <f>AE8 + AE10 + AE12</f>
      </c>
      <c r="AF13" s="17">
        <f>AF8 + AF10 + AF12</f>
      </c>
      <c r="AG13" s="17">
        <f>AG8 + AG10 + AG12</f>
      </c>
      <c r="AH13" s="17">
        <f>AH8 + AH10 + AH12</f>
      </c>
      <c r="AI13" s="17">
        <f>AI8 + AI10 + AI12</f>
      </c>
      <c r="AJ13" s="17">
        <f>AJ8 + AJ10 + AJ12</f>
      </c>
      <c r="AK13" s="17">
        <f>AK8 + AK10 + AK12</f>
      </c>
      <c r="AL13" s="17">
        <f>AL8 + AL10 + AL12</f>
      </c>
      <c r="AM13" s="17">
        <f>AM8 + AM10 + AM12</f>
      </c>
      <c r="AN13" s="17">
        <f>AN8 + AN10 + AN12</f>
      </c>
      <c r="AO13" s="17">
        <f>AO8 + AO10 + AO12</f>
      </c>
      <c r="AP13" s="17">
        <f>AP8 + AP10 + AP12</f>
      </c>
      <c r="AQ13" s="17">
        <f>AQ8 + AQ10 + AQ12</f>
      </c>
      <c r="AR13" s="17">
        <f>AR8 + AR10 + AR12</f>
      </c>
      <c r="AS13" s="17">
        <f>AS8 + AS10 + AS12</f>
      </c>
      <c r="AT13" s="17">
        <f>AT8 + AT10 + AT12</f>
      </c>
      <c r="AU13" s="17">
        <f>AU8 + AU10 + AU12</f>
      </c>
      <c r="AV13" s="17">
        <f>AV8 + AV10 + AV12</f>
      </c>
      <c r="AW13" s="17">
        <f>AW8 + AW10 + AW12</f>
      </c>
      <c r="AX13" s="17">
        <f>AX8 + AX10 + AX12</f>
      </c>
      <c r="AY13" s="17">
        <f>AY8 + AY10 + AY12</f>
      </c>
      <c r="AZ13" s="17">
        <f>AZ8 + AZ10 + AZ12</f>
      </c>
      <c r="BA13" s="17">
        <f>BA8 + BA10 + BA12</f>
      </c>
      <c r="BB13" s="17">
        <f>BB8 + BB10 + BB12</f>
      </c>
      <c r="BC13" s="17">
        <f>BC8 + BC10 + BC12</f>
      </c>
      <c r="BD13" s="17">
        <f>BD8 + BD10 + BD12</f>
      </c>
      <c r="BE13" s="17">
        <f>BE8 + BE10 + BE12</f>
      </c>
      <c r="BF13" s="17">
        <f>BF8 + BF10 + BF12</f>
      </c>
      <c r="BG13" s="17">
        <f>BG8 + BG10 + BG12</f>
      </c>
      <c r="BH13" s="17">
        <f>BH8 + BH10 + BH12</f>
      </c>
      <c r="BI13" s="17">
        <f>BI8 + BI10 + BI12</f>
      </c>
      <c r="BJ13" s="17">
        <f>BJ8 + BJ10 + BJ12</f>
      </c>
    </row>
    <row r="14" spans="2:62" x14ac:dyDescent="0.25">
      <c r="B14" s="16" t="s">
        <v>143</v>
      </c>
      <c r="C14" s="17">
        <f>C13</f>
      </c>
      <c r="D14" s="17">
        <f>C14 + D13</f>
      </c>
      <c r="E14" s="17">
        <f>D14 + E13</f>
      </c>
      <c r="F14" s="17">
        <f>E14 + F13</f>
      </c>
      <c r="G14" s="17">
        <f>F14 + G13</f>
      </c>
      <c r="H14" s="17">
        <f>G14 + H13</f>
      </c>
      <c r="I14" s="17">
        <f>H14 + I13</f>
      </c>
      <c r="J14" s="17">
        <f>I14 + J13</f>
      </c>
      <c r="K14" s="17">
        <f>J14 + K13</f>
      </c>
      <c r="L14" s="17">
        <f>K14 + L13</f>
      </c>
      <c r="M14" s="17">
        <f>L14 + M13</f>
      </c>
      <c r="N14" s="17">
        <f>M14 + N13</f>
      </c>
      <c r="O14" s="17">
        <f>N14 + O13</f>
      </c>
      <c r="P14" s="17">
        <f>O14 + P13</f>
      </c>
      <c r="Q14" s="17">
        <f>P14 + Q13</f>
      </c>
      <c r="R14" s="17">
        <f>Q14 + R13</f>
      </c>
      <c r="S14" s="17">
        <f>R14 + S13</f>
      </c>
      <c r="T14" s="17">
        <f>S14 + T13</f>
      </c>
      <c r="U14" s="17">
        <f>T14 + U13</f>
      </c>
      <c r="V14" s="17">
        <f>U14 + V13</f>
      </c>
      <c r="W14" s="17">
        <f>V14 + W13</f>
      </c>
      <c r="X14" s="17">
        <f>W14 + X13</f>
      </c>
      <c r="Y14" s="17">
        <f>X14 + Y13</f>
      </c>
      <c r="Z14" s="17">
        <f>Y14 + Z13</f>
      </c>
      <c r="AA14" s="17">
        <f>Z14 + AA13</f>
      </c>
      <c r="AB14" s="17">
        <f>AA14 + AB13</f>
      </c>
      <c r="AC14" s="17">
        <f>AB14 + AC13</f>
      </c>
      <c r="AD14" s="17">
        <f>AC14 + AD13</f>
      </c>
      <c r="AE14" s="17">
        <f>AD14 + AE13</f>
      </c>
      <c r="AF14" s="17">
        <f>AE14 + AF13</f>
      </c>
      <c r="AG14" s="17">
        <f>AF14 + AG13</f>
      </c>
      <c r="AH14" s="17">
        <f>AG14 + AH13</f>
      </c>
      <c r="AI14" s="17">
        <f>AH14 + AI13</f>
      </c>
      <c r="AJ14" s="17">
        <f>AI14 + AJ13</f>
      </c>
      <c r="AK14" s="17">
        <f>AJ14 + AK13</f>
      </c>
      <c r="AL14" s="17">
        <f>AK14 + AL13</f>
      </c>
      <c r="AM14" s="17">
        <f>AL14 + AM13</f>
      </c>
      <c r="AN14" s="17">
        <f>AM14 + AN13</f>
      </c>
      <c r="AO14" s="17">
        <f>AN14 + AO13</f>
      </c>
      <c r="AP14" s="17">
        <f>AO14 + AP13</f>
      </c>
      <c r="AQ14" s="17">
        <f>AP14 + AQ13</f>
      </c>
      <c r="AR14" s="17">
        <f>AQ14 + AR13</f>
      </c>
      <c r="AS14" s="17">
        <f>AR14 + AS13</f>
      </c>
      <c r="AT14" s="17">
        <f>AS14 + AT13</f>
      </c>
      <c r="AU14" s="17">
        <f>AT14 + AU13</f>
      </c>
      <c r="AV14" s="17">
        <f>AU14 + AV13</f>
      </c>
      <c r="AW14" s="17">
        <f>AV14 + AW13</f>
      </c>
      <c r="AX14" s="17">
        <f>AW14 + AX13</f>
      </c>
      <c r="AY14" s="17">
        <f>AX14 + AY13</f>
      </c>
      <c r="AZ14" s="17">
        <f>AY14 + AZ13</f>
      </c>
      <c r="BA14" s="17">
        <f>AZ14 + BA13</f>
      </c>
      <c r="BB14" s="17">
        <f>BA14 + BB13</f>
      </c>
      <c r="BC14" s="17">
        <f>BB14 + BC13</f>
      </c>
      <c r="BD14" s="17">
        <f>BC14 + BD13</f>
      </c>
      <c r="BE14" s="17">
        <f>BD14 + BE13</f>
      </c>
      <c r="BF14" s="17">
        <f>BE14 + BF13</f>
      </c>
      <c r="BG14" s="17">
        <f>BF14 + BG13</f>
      </c>
      <c r="BH14" s="17">
        <f>BG14 + BH13</f>
      </c>
      <c r="BI14" s="17">
        <f>BH14 + BI13</f>
      </c>
      <c r="BJ14" s="17">
        <f>BI14 + BJ13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22" width="18" customWidth="1"/>
  </cols>
  <sheetData>
    <row r="2" spans="2:2" x14ac:dyDescent="0.25">
      <c r="B2" s="18" t="s">
        <v>144</v>
      </c>
    </row>
    <row r="4" spans="2:22" x14ac:dyDescent="0.25">
      <c r="B4" s="6" t="s">
        <v>145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5" t="s">
        <v>4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  <c r="H5" s="5" t="s">
        <v>151</v>
      </c>
      <c r="I5" s="5" t="s">
        <v>152</v>
      </c>
      <c r="J5" s="5" t="s">
        <v>153</v>
      </c>
      <c r="K5" s="5" t="s">
        <v>154</v>
      </c>
      <c r="L5" s="5" t="s">
        <v>155</v>
      </c>
      <c r="M5" s="5" t="s">
        <v>156</v>
      </c>
      <c r="N5" s="5" t="s">
        <v>157</v>
      </c>
      <c r="O5" s="5" t="s">
        <v>158</v>
      </c>
      <c r="P5" s="5" t="s">
        <v>159</v>
      </c>
      <c r="Q5" s="5" t="s">
        <v>160</v>
      </c>
      <c r="R5" s="5" t="s">
        <v>161</v>
      </c>
      <c r="S5" s="5" t="s">
        <v>162</v>
      </c>
      <c r="T5" s="5" t="s">
        <v>163</v>
      </c>
      <c r="U5" s="5" t="s">
        <v>164</v>
      </c>
      <c r="V5" s="5" t="s">
        <v>165</v>
      </c>
    </row>
    <row r="6" spans="2:22" x14ac:dyDescent="0.25">
      <c r="B6" s="7" t="s">
        <v>166</v>
      </c>
      <c r="C6" s="17">
        <v>262500</v>
      </c>
      <c r="D6" s="17">
        <v>275625</v>
      </c>
      <c r="E6" s="17">
        <v>289406.25000000006</v>
      </c>
      <c r="F6" s="17">
        <v>303876.56250000006</v>
      </c>
      <c r="G6" s="17">
        <v>319070.3906250001</v>
      </c>
      <c r="H6" s="17">
        <v>335023.9101562501</v>
      </c>
      <c r="I6" s="17">
        <v>351775.1056640626</v>
      </c>
      <c r="J6" s="17">
        <v>369363.86094726576</v>
      </c>
      <c r="K6" s="17">
        <v>387832.05399462907</v>
      </c>
      <c r="L6" s="17">
        <v>407223.6566943605</v>
      </c>
      <c r="M6" s="17">
        <v>427584.83952907857</v>
      </c>
      <c r="N6" s="17">
        <v>448964.0815055325</v>
      </c>
      <c r="O6" s="17">
        <v>471412.28558080917</v>
      </c>
      <c r="P6" s="17">
        <v>494982.89985984965</v>
      </c>
      <c r="Q6" s="17">
        <v>519732.04485284217</v>
      </c>
      <c r="R6" s="17">
        <v>545718.6470954842</v>
      </c>
      <c r="S6" s="17">
        <v>573004.5794502585</v>
      </c>
      <c r="T6" s="17">
        <v>601654.8084227714</v>
      </c>
      <c r="U6" s="17">
        <v>631737.5488439101</v>
      </c>
      <c r="V6" s="17">
        <v>663324.4262861055</v>
      </c>
    </row>
    <row r="7" spans="2:22" x14ac:dyDescent="0.25">
      <c r="B7" s="7" t="s">
        <v>167</v>
      </c>
      <c r="C7" s="17">
        <v>78750</v>
      </c>
      <c r="D7" s="17">
        <v>82687.5</v>
      </c>
      <c r="E7" s="17">
        <v>86821.87500000001</v>
      </c>
      <c r="F7" s="17">
        <v>91162.96875000001</v>
      </c>
      <c r="G7" s="17">
        <v>95721.11718750003</v>
      </c>
      <c r="H7" s="17">
        <v>100507.17304687503</v>
      </c>
      <c r="I7" s="17">
        <v>105532.53169921877</v>
      </c>
      <c r="J7" s="17">
        <v>110809.15828417972</v>
      </c>
      <c r="K7" s="17">
        <v>116349.61619838871</v>
      </c>
      <c r="L7" s="17">
        <v>122167.09700830813</v>
      </c>
      <c r="M7" s="17">
        <v>128275.45185872357</v>
      </c>
      <c r="N7" s="17">
        <v>134689.22445165974</v>
      </c>
      <c r="O7" s="17">
        <v>141423.68567424273</v>
      </c>
      <c r="P7" s="17">
        <v>148494.86995795488</v>
      </c>
      <c r="Q7" s="17">
        <v>155919.61345585264</v>
      </c>
      <c r="R7" s="17">
        <v>163715.59412864526</v>
      </c>
      <c r="S7" s="17">
        <v>171901.37383507754</v>
      </c>
      <c r="T7" s="17">
        <v>180496.4425268314</v>
      </c>
      <c r="U7" s="17">
        <v>189521.264653173</v>
      </c>
      <c r="V7" s="17">
        <v>198997.32788583165</v>
      </c>
    </row>
    <row r="8" spans="2:22" x14ac:dyDescent="0.25">
      <c r="B8" s="13" t="s">
        <v>168</v>
      </c>
      <c r="C8" s="19">
        <f>C6-C7</f>
      </c>
      <c r="D8" s="19">
        <f>D6-D7</f>
      </c>
      <c r="E8" s="19">
        <f>E6-E7</f>
      </c>
      <c r="F8" s="19">
        <f>F6-F7</f>
      </c>
      <c r="G8" s="19">
        <f>G6-G7</f>
      </c>
      <c r="H8" s="19">
        <f>H6-H7</f>
      </c>
      <c r="I8" s="19">
        <f>I6-I7</f>
      </c>
      <c r="J8" s="19">
        <f>J6-J7</f>
      </c>
      <c r="K8" s="19">
        <f>K6-K7</f>
      </c>
      <c r="L8" s="19">
        <f>L6-L7</f>
      </c>
      <c r="M8" s="19">
        <f>M6-M7</f>
      </c>
      <c r="N8" s="19">
        <f>N6-N7</f>
      </c>
      <c r="O8" s="19">
        <f>O6-O7</f>
      </c>
      <c r="P8" s="19">
        <f>P6-P7</f>
      </c>
      <c r="Q8" s="19">
        <f>Q6-Q7</f>
      </c>
      <c r="R8" s="19">
        <f>R6-R7</f>
      </c>
      <c r="S8" s="19">
        <f>S6-S7</f>
      </c>
      <c r="T8" s="19">
        <f>T6-T7</f>
      </c>
      <c r="U8" s="19">
        <f>U6-U7</f>
      </c>
      <c r="V8" s="19">
        <f>V6-V7</f>
      </c>
    </row>
    <row r="9" spans="2:22" x14ac:dyDescent="0.25">
      <c r="B9" s="7" t="s">
        <v>169</v>
      </c>
      <c r="C9" s="20">
        <f>IF(C6&gt;0, C8/C6, 0)</f>
      </c>
      <c r="D9" s="20">
        <f>IF(D6&gt;0, D8/D6, 0)</f>
      </c>
      <c r="E9" s="20">
        <f>IF(E6&gt;0, E8/E6, 0)</f>
      </c>
      <c r="F9" s="20">
        <f>IF(F6&gt;0, F8/F6, 0)</f>
      </c>
      <c r="G9" s="20">
        <f>IF(G6&gt;0, G8/G6, 0)</f>
      </c>
      <c r="H9" s="20">
        <f>IF(H6&gt;0, H8/H6, 0)</f>
      </c>
      <c r="I9" s="20">
        <f>IF(I6&gt;0, I8/I6, 0)</f>
      </c>
      <c r="J9" s="20">
        <f>IF(J6&gt;0, J8/J6, 0)</f>
      </c>
      <c r="K9" s="20">
        <f>IF(K6&gt;0, K8/K6, 0)</f>
      </c>
      <c r="L9" s="20">
        <f>IF(L6&gt;0, L8/L6, 0)</f>
      </c>
      <c r="M9" s="20">
        <f>IF(M6&gt;0, M8/M6, 0)</f>
      </c>
      <c r="N9" s="20">
        <f>IF(N6&gt;0, N8/N6, 0)</f>
      </c>
      <c r="O9" s="20">
        <f>IF(O6&gt;0, O8/O6, 0)</f>
      </c>
      <c r="P9" s="20">
        <f>IF(P6&gt;0, P8/P6, 0)</f>
      </c>
      <c r="Q9" s="20">
        <f>IF(Q6&gt;0, Q8/Q6, 0)</f>
      </c>
      <c r="R9" s="20">
        <f>IF(R6&gt;0, R8/R6, 0)</f>
      </c>
      <c r="S9" s="20">
        <f>IF(S6&gt;0, S8/S6, 0)</f>
      </c>
      <c r="T9" s="20">
        <f>IF(T6&gt;0, T8/T6, 0)</f>
      </c>
      <c r="U9" s="20">
        <f>IF(U6&gt;0, U8/U6, 0)</f>
      </c>
      <c r="V9" s="20">
        <f>IF(V6&gt;0, V8/V6, 0)</f>
      </c>
    </row>
    <row r="10" spans="2:22" x14ac:dyDescent="0.25">
      <c r="B10" s="7" t="s">
        <v>170</v>
      </c>
      <c r="C10" s="17">
        <v>26250</v>
      </c>
      <c r="D10" s="17">
        <v>27562.5</v>
      </c>
      <c r="E10" s="17">
        <v>28940.625000000007</v>
      </c>
      <c r="F10" s="17">
        <v>30387.656250000007</v>
      </c>
      <c r="G10" s="17">
        <v>31907.039062500015</v>
      </c>
      <c r="H10" s="17">
        <v>33502.39101562501</v>
      </c>
      <c r="I10" s="17">
        <v>35177.510566406265</v>
      </c>
      <c r="J10" s="17">
        <v>36936.38609472658</v>
      </c>
      <c r="K10" s="17">
        <v>38783.20539946291</v>
      </c>
      <c r="L10" s="17">
        <v>40722.365669436054</v>
      </c>
      <c r="M10" s="17">
        <v>42758.48395290786</v>
      </c>
      <c r="N10" s="17">
        <v>44896.40815055325</v>
      </c>
      <c r="O10" s="17">
        <v>47141.22855808092</v>
      </c>
      <c r="P10" s="17">
        <v>49498.28998598497</v>
      </c>
      <c r="Q10" s="17">
        <v>51973.20448528422</v>
      </c>
      <c r="R10" s="17">
        <v>54571.86470954842</v>
      </c>
      <c r="S10" s="17">
        <v>57300.45794502585</v>
      </c>
      <c r="T10" s="17">
        <v>60165.480842277146</v>
      </c>
      <c r="U10" s="17">
        <v>63173.75488439101</v>
      </c>
      <c r="V10" s="17">
        <v>66332.44262861056</v>
      </c>
    </row>
    <row r="11" spans="2:22" x14ac:dyDescent="0.25">
      <c r="B11" s="13" t="s">
        <v>171</v>
      </c>
      <c r="C11" s="19">
        <f>C8-C10</f>
      </c>
      <c r="D11" s="19">
        <f>D8-D10</f>
      </c>
      <c r="E11" s="19">
        <f>E8-E10</f>
      </c>
      <c r="F11" s="19">
        <f>F8-F10</f>
      </c>
      <c r="G11" s="19">
        <f>G8-G10</f>
      </c>
      <c r="H11" s="19">
        <f>H8-H10</f>
      </c>
      <c r="I11" s="19">
        <f>I8-I10</f>
      </c>
      <c r="J11" s="19">
        <f>J8-J10</f>
      </c>
      <c r="K11" s="19">
        <f>K8-K10</f>
      </c>
      <c r="L11" s="19">
        <f>L8-L10</f>
      </c>
      <c r="M11" s="19">
        <f>M8-M10</f>
      </c>
      <c r="N11" s="19">
        <f>N8-N10</f>
      </c>
      <c r="O11" s="19">
        <f>O8-O10</f>
      </c>
      <c r="P11" s="19">
        <f>P8-P10</f>
      </c>
      <c r="Q11" s="19">
        <f>Q8-Q10</f>
      </c>
      <c r="R11" s="19">
        <f>R8-R10</f>
      </c>
      <c r="S11" s="19">
        <f>S8-S10</f>
      </c>
      <c r="T11" s="19">
        <f>T8-T10</f>
      </c>
      <c r="U11" s="19">
        <f>U8-U10</f>
      </c>
      <c r="V11" s="19">
        <f>V8-V10</f>
      </c>
    </row>
    <row r="12" spans="2:22" x14ac:dyDescent="0.25">
      <c r="B12" s="7" t="s">
        <v>172</v>
      </c>
      <c r="C12" s="20">
        <f>IF(C6&gt;0, C11/C6, 0)</f>
      </c>
      <c r="D12" s="20">
        <f>IF(D6&gt;0, D11/D6, 0)</f>
      </c>
      <c r="E12" s="20">
        <f>IF(E6&gt;0, E11/E6, 0)</f>
      </c>
      <c r="F12" s="20">
        <f>IF(F6&gt;0, F11/F6, 0)</f>
      </c>
      <c r="G12" s="20">
        <f>IF(G6&gt;0, G11/G6, 0)</f>
      </c>
      <c r="H12" s="20">
        <f>IF(H6&gt;0, H11/H6, 0)</f>
      </c>
      <c r="I12" s="20">
        <f>IF(I6&gt;0, I11/I6, 0)</f>
      </c>
      <c r="J12" s="20">
        <f>IF(J6&gt;0, J11/J6, 0)</f>
      </c>
      <c r="K12" s="20">
        <f>IF(K6&gt;0, K11/K6, 0)</f>
      </c>
      <c r="L12" s="20">
        <f>IF(L6&gt;0, L11/L6, 0)</f>
      </c>
      <c r="M12" s="20">
        <f>IF(M6&gt;0, M11/M6, 0)</f>
      </c>
      <c r="N12" s="20">
        <f>IF(N6&gt;0, N11/N6, 0)</f>
      </c>
      <c r="O12" s="20">
        <f>IF(O6&gt;0, O11/O6, 0)</f>
      </c>
      <c r="P12" s="20">
        <f>IF(P6&gt;0, P11/P6, 0)</f>
      </c>
      <c r="Q12" s="20">
        <f>IF(Q6&gt;0, Q11/Q6, 0)</f>
      </c>
      <c r="R12" s="20">
        <f>IF(R6&gt;0, R11/R6, 0)</f>
      </c>
      <c r="S12" s="20">
        <f>IF(S6&gt;0, S11/S6, 0)</f>
      </c>
      <c r="T12" s="20">
        <f>IF(T6&gt;0, T11/T6, 0)</f>
      </c>
      <c r="U12" s="20">
        <f>IF(U6&gt;0, U11/U6, 0)</f>
      </c>
      <c r="V12" s="20">
        <f>IF(V6&gt;0, V11/V6, 0)</f>
      </c>
    </row>
    <row r="13" spans="2:22" x14ac:dyDescent="0.25">
      <c r="B13" s="7" t="s">
        <v>173</v>
      </c>
      <c r="C13" s="17">
        <v>125000</v>
      </c>
      <c r="D13" s="17">
        <v>125000</v>
      </c>
      <c r="E13" s="17">
        <v>125000</v>
      </c>
      <c r="F13" s="17">
        <v>125000</v>
      </c>
      <c r="G13" s="17">
        <v>125000</v>
      </c>
      <c r="H13" s="17">
        <v>125000</v>
      </c>
      <c r="I13" s="17">
        <v>125000</v>
      </c>
      <c r="J13" s="17">
        <v>125000</v>
      </c>
      <c r="K13" s="17">
        <v>125000</v>
      </c>
      <c r="L13" s="17">
        <v>125000</v>
      </c>
      <c r="M13" s="17">
        <v>125000</v>
      </c>
      <c r="N13" s="17">
        <v>125000</v>
      </c>
      <c r="O13" s="17">
        <v>125000</v>
      </c>
      <c r="P13" s="17">
        <v>125000</v>
      </c>
      <c r="Q13" s="17">
        <v>125000</v>
      </c>
      <c r="R13" s="17">
        <v>125000</v>
      </c>
      <c r="S13" s="17">
        <v>125000</v>
      </c>
      <c r="T13" s="17">
        <v>125000</v>
      </c>
      <c r="U13" s="17">
        <v>125000</v>
      </c>
      <c r="V13" s="17">
        <v>125000</v>
      </c>
    </row>
    <row r="14" spans="2:22" x14ac:dyDescent="0.25">
      <c r="B14" s="13" t="s">
        <v>174</v>
      </c>
      <c r="C14" s="19">
        <f>C11-C13</f>
      </c>
      <c r="D14" s="19">
        <f>D11-D13</f>
      </c>
      <c r="E14" s="19">
        <f>E11-E13</f>
      </c>
      <c r="F14" s="19">
        <f>F11-F13</f>
      </c>
      <c r="G14" s="19">
        <f>G11-G13</f>
      </c>
      <c r="H14" s="19">
        <f>H11-H13</f>
      </c>
      <c r="I14" s="19">
        <f>I11-I13</f>
      </c>
      <c r="J14" s="19">
        <f>J11-J13</f>
      </c>
      <c r="K14" s="19">
        <f>K11-K13</f>
      </c>
      <c r="L14" s="19">
        <f>L11-L13</f>
      </c>
      <c r="M14" s="19">
        <f>M11-M13</f>
      </c>
      <c r="N14" s="19">
        <f>N11-N13</f>
      </c>
      <c r="O14" s="19">
        <f>O11-O13</f>
      </c>
      <c r="P14" s="19">
        <f>P11-P13</f>
      </c>
      <c r="Q14" s="19">
        <f>Q11-Q13</f>
      </c>
      <c r="R14" s="19">
        <f>R11-R13</f>
      </c>
      <c r="S14" s="19">
        <f>S11-S13</f>
      </c>
      <c r="T14" s="19">
        <f>T11-T13</f>
      </c>
      <c r="U14" s="19">
        <f>U11-U13</f>
      </c>
      <c r="V14" s="19">
        <f>V11-V13</f>
      </c>
    </row>
    <row r="15" spans="2:22" x14ac:dyDescent="0.25">
      <c r="B15" s="7" t="s">
        <v>175</v>
      </c>
      <c r="C15" s="17">
        <v>15000</v>
      </c>
      <c r="D15" s="17">
        <v>15000</v>
      </c>
      <c r="E15" s="17">
        <v>15000</v>
      </c>
      <c r="F15" s="17">
        <v>15000</v>
      </c>
      <c r="G15" s="17">
        <v>15000</v>
      </c>
      <c r="H15" s="17">
        <v>15000</v>
      </c>
      <c r="I15" s="17">
        <v>15000</v>
      </c>
      <c r="J15" s="17">
        <v>15000</v>
      </c>
      <c r="K15" s="17">
        <v>15000</v>
      </c>
      <c r="L15" s="17">
        <v>15000</v>
      </c>
      <c r="M15" s="17">
        <v>15000</v>
      </c>
      <c r="N15" s="17">
        <v>15000</v>
      </c>
      <c r="O15" s="17">
        <v>15000</v>
      </c>
      <c r="P15" s="17">
        <v>15000</v>
      </c>
      <c r="Q15" s="17">
        <v>15000</v>
      </c>
      <c r="R15" s="17">
        <v>15000</v>
      </c>
      <c r="S15" s="17">
        <v>15000</v>
      </c>
      <c r="T15" s="17">
        <v>15000</v>
      </c>
      <c r="U15" s="17">
        <v>15000</v>
      </c>
      <c r="V15" s="17">
        <v>15000</v>
      </c>
    </row>
    <row r="16" spans="2:22" x14ac:dyDescent="0.25">
      <c r="B16" s="7" t="s">
        <v>176</v>
      </c>
      <c r="C16" s="19">
        <f>C14-C15</f>
      </c>
      <c r="D16" s="19">
        <f>D14-D15</f>
      </c>
      <c r="E16" s="19">
        <f>E14-E15</f>
      </c>
      <c r="F16" s="19">
        <f>F14-F15</f>
      </c>
      <c r="G16" s="19">
        <f>G14-G15</f>
      </c>
      <c r="H16" s="19">
        <f>H14-H15</f>
      </c>
      <c r="I16" s="19">
        <f>I14-I15</f>
      </c>
      <c r="J16" s="19">
        <f>J14-J15</f>
      </c>
      <c r="K16" s="19">
        <f>K14-K15</f>
      </c>
      <c r="L16" s="19">
        <f>L14-L15</f>
      </c>
      <c r="M16" s="19">
        <f>M14-M15</f>
      </c>
      <c r="N16" s="19">
        <f>N14-N15</f>
      </c>
      <c r="O16" s="19">
        <f>O14-O15</f>
      </c>
      <c r="P16" s="19">
        <f>P14-P15</f>
      </c>
      <c r="Q16" s="19">
        <f>Q14-Q15</f>
      </c>
      <c r="R16" s="19">
        <f>R14-R15</f>
      </c>
      <c r="S16" s="19">
        <f>S14-S15</f>
      </c>
      <c r="T16" s="19">
        <f>T14-T15</f>
      </c>
      <c r="U16" s="19">
        <f>U14-U15</f>
      </c>
      <c r="V16" s="19">
        <f>V14-V15</f>
      </c>
    </row>
    <row r="17" spans="2:22" x14ac:dyDescent="0.25">
      <c r="B17" s="7" t="s">
        <v>177</v>
      </c>
      <c r="C17" s="17">
        <f>IF(INDEX(ASSUMPTIONS!$C$7:$E$7, 1, MATCH(ASSUMPTIONS!$C$2, ASSUMPTIONS!$C$4:$E$4, 0))=1, 0, MAX(0, C16 * INDEX(ASSUMPTIONS!$C$6:$E$6, 1, MATCH(ASSUMPTIONS!$C$2, ASSUMPTIONS!$C$4:$E$4, 0))))</f>
      </c>
      <c r="D17" s="17">
        <f>IF(INDEX(ASSUMPTIONS!$C$7:$E$7, 1, MATCH(ASSUMPTIONS!$C$2, ASSUMPTIONS!$C$4:$E$4, 0))=1, 0, MAX(0, D16 * INDEX(ASSUMPTIONS!$C$6:$E$6, 1, MATCH(ASSUMPTIONS!$C$2, ASSUMPTIONS!$C$4:$E$4, 0))))</f>
      </c>
      <c r="E17" s="17">
        <f>IF(INDEX(ASSUMPTIONS!$C$7:$E$7, 1, MATCH(ASSUMPTIONS!$C$2, ASSUMPTIONS!$C$4:$E$4, 0))=1, 0, MAX(0, E16 * INDEX(ASSUMPTIONS!$C$6:$E$6, 1, MATCH(ASSUMPTIONS!$C$2, ASSUMPTIONS!$C$4:$E$4, 0))))</f>
      </c>
      <c r="F17" s="17">
        <f>IF(INDEX(ASSUMPTIONS!$C$7:$E$7, 1, MATCH(ASSUMPTIONS!$C$2, ASSUMPTIONS!$C$4:$E$4, 0))=1, 0, MAX(0, F16 * INDEX(ASSUMPTIONS!$C$6:$E$6, 1, MATCH(ASSUMPTIONS!$C$2, ASSUMPTIONS!$C$4:$E$4, 0))))</f>
      </c>
      <c r="G17" s="17">
        <f>IF(INDEX(ASSUMPTIONS!$C$7:$E$7, 1, MATCH(ASSUMPTIONS!$C$2, ASSUMPTIONS!$C$4:$E$4, 0))=1, 0, MAX(0, G16 * INDEX(ASSUMPTIONS!$C$6:$E$6, 1, MATCH(ASSUMPTIONS!$C$2, ASSUMPTIONS!$C$4:$E$4, 0))))</f>
      </c>
      <c r="H17" s="17">
        <f>IF(INDEX(ASSUMPTIONS!$C$7:$E$7, 1, MATCH(ASSUMPTIONS!$C$2, ASSUMPTIONS!$C$4:$E$4, 0))=1, 0, MAX(0, H16 * INDEX(ASSUMPTIONS!$C$6:$E$6, 1, MATCH(ASSUMPTIONS!$C$2, ASSUMPTIONS!$C$4:$E$4, 0))))</f>
      </c>
      <c r="I17" s="17">
        <f>IF(INDEX(ASSUMPTIONS!$C$7:$E$7, 1, MATCH(ASSUMPTIONS!$C$2, ASSUMPTIONS!$C$4:$E$4, 0))=1, 0, MAX(0, I16 * INDEX(ASSUMPTIONS!$C$6:$E$6, 1, MATCH(ASSUMPTIONS!$C$2, ASSUMPTIONS!$C$4:$E$4, 0))))</f>
      </c>
      <c r="J17" s="17">
        <f>IF(INDEX(ASSUMPTIONS!$C$7:$E$7, 1, MATCH(ASSUMPTIONS!$C$2, ASSUMPTIONS!$C$4:$E$4, 0))=1, 0, MAX(0, J16 * INDEX(ASSUMPTIONS!$C$6:$E$6, 1, MATCH(ASSUMPTIONS!$C$2, ASSUMPTIONS!$C$4:$E$4, 0))))</f>
      </c>
      <c r="K17" s="17">
        <f>IF(INDEX(ASSUMPTIONS!$C$7:$E$7, 1, MATCH(ASSUMPTIONS!$C$2, ASSUMPTIONS!$C$4:$E$4, 0))=1, 0, MAX(0, K16 * INDEX(ASSUMPTIONS!$C$6:$E$6, 1, MATCH(ASSUMPTIONS!$C$2, ASSUMPTIONS!$C$4:$E$4, 0))))</f>
      </c>
      <c r="L17" s="17">
        <f>IF(INDEX(ASSUMPTIONS!$C$7:$E$7, 1, MATCH(ASSUMPTIONS!$C$2, ASSUMPTIONS!$C$4:$E$4, 0))=1, 0, MAX(0, L16 * INDEX(ASSUMPTIONS!$C$6:$E$6, 1, MATCH(ASSUMPTIONS!$C$2, ASSUMPTIONS!$C$4:$E$4, 0))))</f>
      </c>
      <c r="M17" s="17">
        <f>IF(INDEX(ASSUMPTIONS!$C$7:$E$7, 1, MATCH(ASSUMPTIONS!$C$2, ASSUMPTIONS!$C$4:$E$4, 0))=1, 0, MAX(0, M16 * INDEX(ASSUMPTIONS!$C$6:$E$6, 1, MATCH(ASSUMPTIONS!$C$2, ASSUMPTIONS!$C$4:$E$4, 0))))</f>
      </c>
      <c r="N17" s="17">
        <f>IF(INDEX(ASSUMPTIONS!$C$7:$E$7, 1, MATCH(ASSUMPTIONS!$C$2, ASSUMPTIONS!$C$4:$E$4, 0))=1, 0, MAX(0, N16 * INDEX(ASSUMPTIONS!$C$6:$E$6, 1, MATCH(ASSUMPTIONS!$C$2, ASSUMPTIONS!$C$4:$E$4, 0))))</f>
      </c>
      <c r="O17" s="17">
        <f>MAX(0, O16 * INDEX(ASSUMPTIONS!$C$6:$E$6, 1, MATCH(ASSUMPTIONS!$C$2, ASSUMPTIONS!$C$4:$E$4, 0)))</f>
      </c>
      <c r="P17" s="17">
        <f>MAX(0, P16 * INDEX(ASSUMPTIONS!$C$6:$E$6, 1, MATCH(ASSUMPTIONS!$C$2, ASSUMPTIONS!$C$4:$E$4, 0)))</f>
      </c>
      <c r="Q17" s="17">
        <f>MAX(0, Q16 * INDEX(ASSUMPTIONS!$C$6:$E$6, 1, MATCH(ASSUMPTIONS!$C$2, ASSUMPTIONS!$C$4:$E$4, 0)))</f>
      </c>
      <c r="R17" s="17">
        <f>MAX(0, R16 * INDEX(ASSUMPTIONS!$C$6:$E$6, 1, MATCH(ASSUMPTIONS!$C$2, ASSUMPTIONS!$C$4:$E$4, 0)))</f>
      </c>
      <c r="S17" s="17">
        <f>MAX(0, S16 * INDEX(ASSUMPTIONS!$C$6:$E$6, 1, MATCH(ASSUMPTIONS!$C$2, ASSUMPTIONS!$C$4:$E$4, 0)))</f>
      </c>
      <c r="T17" s="17">
        <f>MAX(0, T16 * INDEX(ASSUMPTIONS!$C$6:$E$6, 1, MATCH(ASSUMPTIONS!$C$2, ASSUMPTIONS!$C$4:$E$4, 0)))</f>
      </c>
      <c r="U17" s="17">
        <f>MAX(0, U16 * INDEX(ASSUMPTIONS!$C$6:$E$6, 1, MATCH(ASSUMPTIONS!$C$2, ASSUMPTIONS!$C$4:$E$4, 0)))</f>
      </c>
      <c r="V17" s="17">
        <f>MAX(0, V16 * INDEX(ASSUMPTIONS!$C$6:$E$6, 1, MATCH(ASSUMPTIONS!$C$2, ASSUMPTIONS!$C$4:$E$4, 0)))</f>
      </c>
    </row>
    <row r="18" spans="2:22" x14ac:dyDescent="0.25">
      <c r="B18" s="13" t="s">
        <v>178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  <c r="H18" s="14">
        <f>H16-H17</f>
      </c>
      <c r="I18" s="14">
        <f>I16-I17</f>
      </c>
      <c r="J18" s="14">
        <f>J16-J17</f>
      </c>
      <c r="K18" s="14">
        <f>K16-K17</f>
      </c>
      <c r="L18" s="14">
        <f>L16-L17</f>
      </c>
      <c r="M18" s="14">
        <f>M16-M17</f>
      </c>
      <c r="N18" s="14">
        <f>N16-N17</f>
      </c>
      <c r="O18" s="14">
        <f>O16-O17</f>
      </c>
      <c r="P18" s="14">
        <f>P16-P17</f>
      </c>
      <c r="Q18" s="14">
        <f>Q16-Q17</f>
      </c>
      <c r="R18" s="14">
        <f>R16-R17</f>
      </c>
      <c r="S18" s="14">
        <f>S16-S17</f>
      </c>
      <c r="T18" s="14">
        <f>T16-T17</f>
      </c>
      <c r="U18" s="14">
        <f>U16-U17</f>
      </c>
      <c r="V18" s="14">
        <f>V16-V17</f>
      </c>
    </row>
    <row r="19" spans="2:22" x14ac:dyDescent="0.25">
      <c r="B19" s="13" t="s">
        <v>179</v>
      </c>
      <c r="C19" s="21">
        <f>IF(C6&gt;0, C18/C6, 0)</f>
      </c>
      <c r="D19" s="21">
        <f>IF(D6&gt;0, D18/D6, 0)</f>
      </c>
      <c r="E19" s="21">
        <f>IF(E6&gt;0, E18/E6, 0)</f>
      </c>
      <c r="F19" s="21">
        <f>IF(F6&gt;0, F18/F6, 0)</f>
      </c>
      <c r="G19" s="21">
        <f>IF(G6&gt;0, G18/G6, 0)</f>
      </c>
      <c r="H19" s="21">
        <f>IF(H6&gt;0, H18/H6, 0)</f>
      </c>
      <c r="I19" s="21">
        <f>IF(I6&gt;0, I18/I6, 0)</f>
      </c>
      <c r="J19" s="21">
        <f>IF(J6&gt;0, J18/J6, 0)</f>
      </c>
      <c r="K19" s="21">
        <f>IF(K6&gt;0, K18/K6, 0)</f>
      </c>
      <c r="L19" s="21">
        <f>IF(L6&gt;0, L18/L6, 0)</f>
      </c>
      <c r="M19" s="21">
        <f>IF(M6&gt;0, M18/M6, 0)</f>
      </c>
      <c r="N19" s="21">
        <f>IF(N6&gt;0, N18/N6, 0)</f>
      </c>
      <c r="O19" s="21">
        <f>IF(O6&gt;0, O18/O6, 0)</f>
      </c>
      <c r="P19" s="21">
        <f>IF(P6&gt;0, P18/P6, 0)</f>
      </c>
      <c r="Q19" s="21">
        <f>IF(Q6&gt;0, Q18/Q6, 0)</f>
      </c>
      <c r="R19" s="21">
        <f>IF(R6&gt;0, R18/R6, 0)</f>
      </c>
      <c r="S19" s="21">
        <f>IF(S6&gt;0, S18/S6, 0)</f>
      </c>
      <c r="T19" s="21">
        <f>IF(T6&gt;0, T18/T6, 0)</f>
      </c>
      <c r="U19" s="21">
        <f>IF(U6&gt;0, U18/U6, 0)</f>
      </c>
      <c r="V19" s="21">
        <f>IF(V6&gt;0, V18/V6, 0)</f>
      </c>
    </row>
    <row r="21" spans="2:22" x14ac:dyDescent="0.25">
      <c r="B21" s="6" t="s">
        <v>180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x14ac:dyDescent="0.25">
      <c r="B22" s="5" t="s">
        <v>4</v>
      </c>
      <c r="C22" s="5" t="s">
        <v>146</v>
      </c>
      <c r="D22" s="5" t="s">
        <v>147</v>
      </c>
      <c r="E22" s="5" t="s">
        <v>148</v>
      </c>
      <c r="F22" s="5" t="s">
        <v>149</v>
      </c>
      <c r="G22" s="5" t="s">
        <v>150</v>
      </c>
      <c r="H22" s="5" t="s">
        <v>151</v>
      </c>
      <c r="I22" s="5" t="s">
        <v>152</v>
      </c>
      <c r="J22" s="5" t="s">
        <v>153</v>
      </c>
      <c r="K22" s="5" t="s">
        <v>154</v>
      </c>
      <c r="L22" s="5" t="s">
        <v>155</v>
      </c>
      <c r="M22" s="5" t="s">
        <v>156</v>
      </c>
      <c r="N22" s="5" t="s">
        <v>157</v>
      </c>
      <c r="O22" s="5" t="s">
        <v>158</v>
      </c>
      <c r="P22" s="5" t="s">
        <v>159</v>
      </c>
      <c r="Q22" s="5" t="s">
        <v>160</v>
      </c>
      <c r="R22" s="5" t="s">
        <v>161</v>
      </c>
      <c r="S22" s="5" t="s">
        <v>162</v>
      </c>
      <c r="T22" s="5" t="s">
        <v>163</v>
      </c>
      <c r="U22" s="5" t="s">
        <v>164</v>
      </c>
      <c r="V22" s="5" t="s">
        <v>165</v>
      </c>
    </row>
    <row r="23" spans="2:22" x14ac:dyDescent="0.25">
      <c r="B23" s="7" t="s">
        <v>166</v>
      </c>
      <c r="C23" s="17">
        <v>393750</v>
      </c>
      <c r="D23" s="17">
        <v>413437.5</v>
      </c>
      <c r="E23" s="17">
        <v>434109.3750000001</v>
      </c>
      <c r="F23" s="17">
        <v>455814.8437500001</v>
      </c>
      <c r="G23" s="17">
        <v>478605.5859375002</v>
      </c>
      <c r="H23" s="17">
        <v>502535.8652343752</v>
      </c>
      <c r="I23" s="17">
        <v>527662.6584960939</v>
      </c>
      <c r="J23" s="17">
        <v>554045.7914208986</v>
      </c>
      <c r="K23" s="17">
        <v>581748.0809919436</v>
      </c>
      <c r="L23" s="17">
        <v>610835.4850415407</v>
      </c>
      <c r="M23" s="17">
        <v>641377.2592936179</v>
      </c>
      <c r="N23" s="17">
        <v>673446.1222582988</v>
      </c>
      <c r="O23" s="17">
        <v>707118.4283712137</v>
      </c>
      <c r="P23" s="17">
        <v>742474.3497897745</v>
      </c>
      <c r="Q23" s="17">
        <v>779598.0672792633</v>
      </c>
      <c r="R23" s="17">
        <v>818577.9706432263</v>
      </c>
      <c r="S23" s="17">
        <v>859506.8691753878</v>
      </c>
      <c r="T23" s="17">
        <v>902482.2126341572</v>
      </c>
      <c r="U23" s="17">
        <v>947606.3232658652</v>
      </c>
      <c r="V23" s="17">
        <v>994986.6394291583</v>
      </c>
    </row>
    <row r="24" spans="2:22" x14ac:dyDescent="0.25">
      <c r="B24" s="7" t="s">
        <v>167</v>
      </c>
      <c r="C24" s="17">
        <v>118125</v>
      </c>
      <c r="D24" s="17">
        <v>124031.25</v>
      </c>
      <c r="E24" s="17">
        <v>130232.81250000003</v>
      </c>
      <c r="F24" s="17">
        <v>136744.45312500003</v>
      </c>
      <c r="G24" s="17">
        <v>143581.67578125006</v>
      </c>
      <c r="H24" s="17">
        <v>150760.75957031254</v>
      </c>
      <c r="I24" s="17">
        <v>158298.79754882815</v>
      </c>
      <c r="J24" s="17">
        <v>166213.73742626957</v>
      </c>
      <c r="K24" s="17">
        <v>174524.42429758306</v>
      </c>
      <c r="L24" s="17">
        <v>183250.6455124622</v>
      </c>
      <c r="M24" s="17">
        <v>192413.17778808536</v>
      </c>
      <c r="N24" s="17">
        <v>202033.83667748963</v>
      </c>
      <c r="O24" s="17">
        <v>212135.5285113641</v>
      </c>
      <c r="P24" s="17">
        <v>222742.30493693234</v>
      </c>
      <c r="Q24" s="17">
        <v>233879.42018377897</v>
      </c>
      <c r="R24" s="17">
        <v>245573.3911929679</v>
      </c>
      <c r="S24" s="17">
        <v>257852.06075261632</v>
      </c>
      <c r="T24" s="17">
        <v>270744.6637902471</v>
      </c>
      <c r="U24" s="17">
        <v>284281.8969797595</v>
      </c>
      <c r="V24" s="17">
        <v>298495.99182874744</v>
      </c>
    </row>
    <row r="25" spans="2:22" x14ac:dyDescent="0.25">
      <c r="B25" s="13" t="s">
        <v>168</v>
      </c>
      <c r="C25" s="19">
        <f>C23-C24</f>
      </c>
      <c r="D25" s="19">
        <f>D23-D24</f>
      </c>
      <c r="E25" s="19">
        <f>E23-E24</f>
      </c>
      <c r="F25" s="19">
        <f>F23-F24</f>
      </c>
      <c r="G25" s="19">
        <f>G23-G24</f>
      </c>
      <c r="H25" s="19">
        <f>H23-H24</f>
      </c>
      <c r="I25" s="19">
        <f>I23-I24</f>
      </c>
      <c r="J25" s="19">
        <f>J23-J24</f>
      </c>
      <c r="K25" s="19">
        <f>K23-K24</f>
      </c>
      <c r="L25" s="19">
        <f>L23-L24</f>
      </c>
      <c r="M25" s="19">
        <f>M23-M24</f>
      </c>
      <c r="N25" s="19">
        <f>N23-N24</f>
      </c>
      <c r="O25" s="19">
        <f>O23-O24</f>
      </c>
      <c r="P25" s="19">
        <f>P23-P24</f>
      </c>
      <c r="Q25" s="19">
        <f>Q23-Q24</f>
      </c>
      <c r="R25" s="19">
        <f>R23-R24</f>
      </c>
      <c r="S25" s="19">
        <f>S23-S24</f>
      </c>
      <c r="T25" s="19">
        <f>T23-T24</f>
      </c>
      <c r="U25" s="19">
        <f>U23-U24</f>
      </c>
      <c r="V25" s="19">
        <f>V23-V24</f>
      </c>
    </row>
    <row r="26" spans="2:22" x14ac:dyDescent="0.25">
      <c r="B26" s="7" t="s">
        <v>169</v>
      </c>
      <c r="C26" s="20">
        <f>IF(C23&gt;0, C25/C23, 0)</f>
      </c>
      <c r="D26" s="20">
        <f>IF(D23&gt;0, D25/D23, 0)</f>
      </c>
      <c r="E26" s="20">
        <f>IF(E23&gt;0, E25/E23, 0)</f>
      </c>
      <c r="F26" s="20">
        <f>IF(F23&gt;0, F25/F23, 0)</f>
      </c>
      <c r="G26" s="20">
        <f>IF(G23&gt;0, G25/G23, 0)</f>
      </c>
      <c r="H26" s="20">
        <f>IF(H23&gt;0, H25/H23, 0)</f>
      </c>
      <c r="I26" s="20">
        <f>IF(I23&gt;0, I25/I23, 0)</f>
      </c>
      <c r="J26" s="20">
        <f>IF(J23&gt;0, J25/J23, 0)</f>
      </c>
      <c r="K26" s="20">
        <f>IF(K23&gt;0, K25/K23, 0)</f>
      </c>
      <c r="L26" s="20">
        <f>IF(L23&gt;0, L25/L23, 0)</f>
      </c>
      <c r="M26" s="20">
        <f>IF(M23&gt;0, M25/M23, 0)</f>
      </c>
      <c r="N26" s="20">
        <f>IF(N23&gt;0, N25/N23, 0)</f>
      </c>
      <c r="O26" s="20">
        <f>IF(O23&gt;0, O25/O23, 0)</f>
      </c>
      <c r="P26" s="20">
        <f>IF(P23&gt;0, P25/P23, 0)</f>
      </c>
      <c r="Q26" s="20">
        <f>IF(Q23&gt;0, Q25/Q23, 0)</f>
      </c>
      <c r="R26" s="20">
        <f>IF(R23&gt;0, R25/R23, 0)</f>
      </c>
      <c r="S26" s="20">
        <f>IF(S23&gt;0, S25/S23, 0)</f>
      </c>
      <c r="T26" s="20">
        <f>IF(T23&gt;0, T25/T23, 0)</f>
      </c>
      <c r="U26" s="20">
        <f>IF(U23&gt;0, U25/U23, 0)</f>
      </c>
      <c r="V26" s="20">
        <f>IF(V23&gt;0, V25/V23, 0)</f>
      </c>
    </row>
    <row r="27" spans="2:22" x14ac:dyDescent="0.25">
      <c r="B27" s="7" t="s">
        <v>170</v>
      </c>
      <c r="C27" s="17">
        <v>39375</v>
      </c>
      <c r="D27" s="17">
        <v>41343.75</v>
      </c>
      <c r="E27" s="17">
        <v>43410.937500000015</v>
      </c>
      <c r="F27" s="17">
        <v>45581.484375000015</v>
      </c>
      <c r="G27" s="17">
        <v>47860.55859375002</v>
      </c>
      <c r="H27" s="17">
        <v>50253.58652343752</v>
      </c>
      <c r="I27" s="17">
        <v>52766.26584960939</v>
      </c>
      <c r="J27" s="17">
        <v>55404.57914208987</v>
      </c>
      <c r="K27" s="17">
        <v>58174.808099194364</v>
      </c>
      <c r="L27" s="17">
        <v>61083.54850415408</v>
      </c>
      <c r="M27" s="17">
        <v>64137.72592936179</v>
      </c>
      <c r="N27" s="17">
        <v>67344.61222582989</v>
      </c>
      <c r="O27" s="17">
        <v>70711.84283712138</v>
      </c>
      <c r="P27" s="17">
        <v>74247.43497897746</v>
      </c>
      <c r="Q27" s="17">
        <v>77959.80672792633</v>
      </c>
      <c r="R27" s="17">
        <v>81857.79706432263</v>
      </c>
      <c r="S27" s="17">
        <v>85950.68691753878</v>
      </c>
      <c r="T27" s="17">
        <v>90248.22126341572</v>
      </c>
      <c r="U27" s="17">
        <v>94760.63232658652</v>
      </c>
      <c r="V27" s="17">
        <v>99498.66394291584</v>
      </c>
    </row>
    <row r="28" spans="2:22" x14ac:dyDescent="0.25">
      <c r="B28" s="13" t="s">
        <v>171</v>
      </c>
      <c r="C28" s="19">
        <f>C25-C27</f>
      </c>
      <c r="D28" s="19">
        <f>D25-D27</f>
      </c>
      <c r="E28" s="19">
        <f>E25-E27</f>
      </c>
      <c r="F28" s="19">
        <f>F25-F27</f>
      </c>
      <c r="G28" s="19">
        <f>G25-G27</f>
      </c>
      <c r="H28" s="19">
        <f>H25-H27</f>
      </c>
      <c r="I28" s="19">
        <f>I25-I27</f>
      </c>
      <c r="J28" s="19">
        <f>J25-J27</f>
      </c>
      <c r="K28" s="19">
        <f>K25-K27</f>
      </c>
      <c r="L28" s="19">
        <f>L25-L27</f>
      </c>
      <c r="M28" s="19">
        <f>M25-M27</f>
      </c>
      <c r="N28" s="19">
        <f>N25-N27</f>
      </c>
      <c r="O28" s="19">
        <f>O25-O27</f>
      </c>
      <c r="P28" s="19">
        <f>P25-P27</f>
      </c>
      <c r="Q28" s="19">
        <f>Q25-Q27</f>
      </c>
      <c r="R28" s="19">
        <f>R25-R27</f>
      </c>
      <c r="S28" s="19">
        <f>S25-S27</f>
      </c>
      <c r="T28" s="19">
        <f>T25-T27</f>
      </c>
      <c r="U28" s="19">
        <f>U25-U27</f>
      </c>
      <c r="V28" s="19">
        <f>V25-V27</f>
      </c>
    </row>
    <row r="29" spans="2:22" x14ac:dyDescent="0.25">
      <c r="B29" s="7" t="s">
        <v>172</v>
      </c>
      <c r="C29" s="20">
        <f>IF(C23&gt;0, C28/C23, 0)</f>
      </c>
      <c r="D29" s="20">
        <f>IF(D23&gt;0, D28/D23, 0)</f>
      </c>
      <c r="E29" s="20">
        <f>IF(E23&gt;0, E28/E23, 0)</f>
      </c>
      <c r="F29" s="20">
        <f>IF(F23&gt;0, F28/F23, 0)</f>
      </c>
      <c r="G29" s="20">
        <f>IF(G23&gt;0, G28/G23, 0)</f>
      </c>
      <c r="H29" s="20">
        <f>IF(H23&gt;0, H28/H23, 0)</f>
      </c>
      <c r="I29" s="20">
        <f>IF(I23&gt;0, I28/I23, 0)</f>
      </c>
      <c r="J29" s="20">
        <f>IF(J23&gt;0, J28/J23, 0)</f>
      </c>
      <c r="K29" s="20">
        <f>IF(K23&gt;0, K28/K23, 0)</f>
      </c>
      <c r="L29" s="20">
        <f>IF(L23&gt;0, L28/L23, 0)</f>
      </c>
      <c r="M29" s="20">
        <f>IF(M23&gt;0, M28/M23, 0)</f>
      </c>
      <c r="N29" s="20">
        <f>IF(N23&gt;0, N28/N23, 0)</f>
      </c>
      <c r="O29" s="20">
        <f>IF(O23&gt;0, O28/O23, 0)</f>
      </c>
      <c r="P29" s="20">
        <f>IF(P23&gt;0, P28/P23, 0)</f>
      </c>
      <c r="Q29" s="20">
        <f>IF(Q23&gt;0, Q28/Q23, 0)</f>
      </c>
      <c r="R29" s="20">
        <f>IF(R23&gt;0, R28/R23, 0)</f>
      </c>
      <c r="S29" s="20">
        <f>IF(S23&gt;0, S28/S23, 0)</f>
      </c>
      <c r="T29" s="20">
        <f>IF(T23&gt;0, T28/T23, 0)</f>
      </c>
      <c r="U29" s="20">
        <f>IF(U23&gt;0, U28/U23, 0)</f>
      </c>
      <c r="V29" s="20">
        <f>IF(V23&gt;0, V28/V23, 0)</f>
      </c>
    </row>
    <row r="30" spans="2:22" x14ac:dyDescent="0.25">
      <c r="B30" s="7" t="s">
        <v>173</v>
      </c>
      <c r="C30" s="17">
        <v>125000</v>
      </c>
      <c r="D30" s="17">
        <v>125000</v>
      </c>
      <c r="E30" s="17">
        <v>125000</v>
      </c>
      <c r="F30" s="17">
        <v>125000</v>
      </c>
      <c r="G30" s="17">
        <v>125000</v>
      </c>
      <c r="H30" s="17">
        <v>125000</v>
      </c>
      <c r="I30" s="17">
        <v>125000</v>
      </c>
      <c r="J30" s="17">
        <v>125000</v>
      </c>
      <c r="K30" s="17">
        <v>125000</v>
      </c>
      <c r="L30" s="17">
        <v>125000</v>
      </c>
      <c r="M30" s="17">
        <v>125000</v>
      </c>
      <c r="N30" s="17">
        <v>125000</v>
      </c>
      <c r="O30" s="17">
        <v>125000</v>
      </c>
      <c r="P30" s="17">
        <v>125000</v>
      </c>
      <c r="Q30" s="17">
        <v>125000</v>
      </c>
      <c r="R30" s="17">
        <v>125000</v>
      </c>
      <c r="S30" s="17">
        <v>125000</v>
      </c>
      <c r="T30" s="17">
        <v>125000</v>
      </c>
      <c r="U30" s="17">
        <v>125000</v>
      </c>
      <c r="V30" s="17">
        <v>125000</v>
      </c>
    </row>
    <row r="31" spans="2:22" x14ac:dyDescent="0.25">
      <c r="B31" s="13" t="s">
        <v>174</v>
      </c>
      <c r="C31" s="19">
        <f>C28-C30</f>
      </c>
      <c r="D31" s="19">
        <f>D28-D30</f>
      </c>
      <c r="E31" s="19">
        <f>E28-E30</f>
      </c>
      <c r="F31" s="19">
        <f>F28-F30</f>
      </c>
      <c r="G31" s="19">
        <f>G28-G30</f>
      </c>
      <c r="H31" s="19">
        <f>H28-H30</f>
      </c>
      <c r="I31" s="19">
        <f>I28-I30</f>
      </c>
      <c r="J31" s="19">
        <f>J28-J30</f>
      </c>
      <c r="K31" s="19">
        <f>K28-K30</f>
      </c>
      <c r="L31" s="19">
        <f>L28-L30</f>
      </c>
      <c r="M31" s="19">
        <f>M28-M30</f>
      </c>
      <c r="N31" s="19">
        <f>N28-N30</f>
      </c>
      <c r="O31" s="19">
        <f>O28-O30</f>
      </c>
      <c r="P31" s="19">
        <f>P28-P30</f>
      </c>
      <c r="Q31" s="19">
        <f>Q28-Q30</f>
      </c>
      <c r="R31" s="19">
        <f>R28-R30</f>
      </c>
      <c r="S31" s="19">
        <f>S28-S30</f>
      </c>
      <c r="T31" s="19">
        <f>T28-T30</f>
      </c>
      <c r="U31" s="19">
        <f>U28-U30</f>
      </c>
      <c r="V31" s="19">
        <f>V28-V30</f>
      </c>
    </row>
    <row r="32" spans="2:22" x14ac:dyDescent="0.25">
      <c r="B32" s="7" t="s">
        <v>175</v>
      </c>
      <c r="C32" s="17">
        <v>15000</v>
      </c>
      <c r="D32" s="17">
        <v>15000</v>
      </c>
      <c r="E32" s="17">
        <v>15000</v>
      </c>
      <c r="F32" s="17">
        <v>15000</v>
      </c>
      <c r="G32" s="17">
        <v>15000</v>
      </c>
      <c r="H32" s="17">
        <v>15000</v>
      </c>
      <c r="I32" s="17">
        <v>15000</v>
      </c>
      <c r="J32" s="17">
        <v>15000</v>
      </c>
      <c r="K32" s="17">
        <v>15000</v>
      </c>
      <c r="L32" s="17">
        <v>15000</v>
      </c>
      <c r="M32" s="17">
        <v>15000</v>
      </c>
      <c r="N32" s="17">
        <v>15000</v>
      </c>
      <c r="O32" s="17">
        <v>15000</v>
      </c>
      <c r="P32" s="17">
        <v>15000</v>
      </c>
      <c r="Q32" s="17">
        <v>15000</v>
      </c>
      <c r="R32" s="17">
        <v>15000</v>
      </c>
      <c r="S32" s="17">
        <v>15000</v>
      </c>
      <c r="T32" s="17">
        <v>15000</v>
      </c>
      <c r="U32" s="17">
        <v>15000</v>
      </c>
      <c r="V32" s="17">
        <v>15000</v>
      </c>
    </row>
    <row r="33" spans="2:22" x14ac:dyDescent="0.25">
      <c r="B33" s="7" t="s">
        <v>176</v>
      </c>
      <c r="C33" s="19">
        <f>C31-C32</f>
      </c>
      <c r="D33" s="19">
        <f>D31-D32</f>
      </c>
      <c r="E33" s="19">
        <f>E31-E32</f>
      </c>
      <c r="F33" s="19">
        <f>F31-F32</f>
      </c>
      <c r="G33" s="19">
        <f>G31-G32</f>
      </c>
      <c r="H33" s="19">
        <f>H31-H32</f>
      </c>
      <c r="I33" s="19">
        <f>I31-I32</f>
      </c>
      <c r="J33" s="19">
        <f>J31-J32</f>
      </c>
      <c r="K33" s="19">
        <f>K31-K32</f>
      </c>
      <c r="L33" s="19">
        <f>L31-L32</f>
      </c>
      <c r="M33" s="19">
        <f>M31-M32</f>
      </c>
      <c r="N33" s="19">
        <f>N31-N32</f>
      </c>
      <c r="O33" s="19">
        <f>O31-O32</f>
      </c>
      <c r="P33" s="19">
        <f>P31-P32</f>
      </c>
      <c r="Q33" s="19">
        <f>Q31-Q32</f>
      </c>
      <c r="R33" s="19">
        <f>R31-R32</f>
      </c>
      <c r="S33" s="19">
        <f>S31-S32</f>
      </c>
      <c r="T33" s="19">
        <f>T31-T32</f>
      </c>
      <c r="U33" s="19">
        <f>U31-U32</f>
      </c>
      <c r="V33" s="19">
        <f>V31-V32</f>
      </c>
    </row>
    <row r="34" spans="2:22" x14ac:dyDescent="0.25">
      <c r="B34" s="7" t="s">
        <v>177</v>
      </c>
      <c r="C34" s="17">
        <f>IF(INDEX(ASSUMPTIONS!$C$7:$E$7, 1, MATCH(ASSUMPTIONS!$C$2, ASSUMPTIONS!$C$4:$E$4, 0))=1, 0, MAX(0, C33 * INDEX(ASSUMPTIONS!$C$6:$E$6, 1, MATCH(ASSUMPTIONS!$C$2, ASSUMPTIONS!$C$4:$E$4, 0))))</f>
      </c>
      <c r="D34" s="17">
        <f>IF(INDEX(ASSUMPTIONS!$C$7:$E$7, 1, MATCH(ASSUMPTIONS!$C$2, ASSUMPTIONS!$C$4:$E$4, 0))=1, 0, MAX(0, D33 * INDEX(ASSUMPTIONS!$C$6:$E$6, 1, MATCH(ASSUMPTIONS!$C$2, ASSUMPTIONS!$C$4:$E$4, 0))))</f>
      </c>
      <c r="E34" s="17">
        <f>IF(INDEX(ASSUMPTIONS!$C$7:$E$7, 1, MATCH(ASSUMPTIONS!$C$2, ASSUMPTIONS!$C$4:$E$4, 0))=1, 0, MAX(0, E33 * INDEX(ASSUMPTIONS!$C$6:$E$6, 1, MATCH(ASSUMPTIONS!$C$2, ASSUMPTIONS!$C$4:$E$4, 0))))</f>
      </c>
      <c r="F34" s="17">
        <f>IF(INDEX(ASSUMPTIONS!$C$7:$E$7, 1, MATCH(ASSUMPTIONS!$C$2, ASSUMPTIONS!$C$4:$E$4, 0))=1, 0, MAX(0, F33 * INDEX(ASSUMPTIONS!$C$6:$E$6, 1, MATCH(ASSUMPTIONS!$C$2, ASSUMPTIONS!$C$4:$E$4, 0))))</f>
      </c>
      <c r="G34" s="17">
        <f>IF(INDEX(ASSUMPTIONS!$C$7:$E$7, 1, MATCH(ASSUMPTIONS!$C$2, ASSUMPTIONS!$C$4:$E$4, 0))=1, 0, MAX(0, G33 * INDEX(ASSUMPTIONS!$C$6:$E$6, 1, MATCH(ASSUMPTIONS!$C$2, ASSUMPTIONS!$C$4:$E$4, 0))))</f>
      </c>
      <c r="H34" s="17">
        <f>IF(INDEX(ASSUMPTIONS!$C$7:$E$7, 1, MATCH(ASSUMPTIONS!$C$2, ASSUMPTIONS!$C$4:$E$4, 0))=1, 0, MAX(0, H33 * INDEX(ASSUMPTIONS!$C$6:$E$6, 1, MATCH(ASSUMPTIONS!$C$2, ASSUMPTIONS!$C$4:$E$4, 0))))</f>
      </c>
      <c r="I34" s="17">
        <f>IF(INDEX(ASSUMPTIONS!$C$7:$E$7, 1, MATCH(ASSUMPTIONS!$C$2, ASSUMPTIONS!$C$4:$E$4, 0))=1, 0, MAX(0, I33 * INDEX(ASSUMPTIONS!$C$6:$E$6, 1, MATCH(ASSUMPTIONS!$C$2, ASSUMPTIONS!$C$4:$E$4, 0))))</f>
      </c>
      <c r="J34" s="17">
        <f>IF(INDEX(ASSUMPTIONS!$C$7:$E$7, 1, MATCH(ASSUMPTIONS!$C$2, ASSUMPTIONS!$C$4:$E$4, 0))=1, 0, MAX(0, J33 * INDEX(ASSUMPTIONS!$C$6:$E$6, 1, MATCH(ASSUMPTIONS!$C$2, ASSUMPTIONS!$C$4:$E$4, 0))))</f>
      </c>
      <c r="K34" s="17">
        <f>IF(INDEX(ASSUMPTIONS!$C$7:$E$7, 1, MATCH(ASSUMPTIONS!$C$2, ASSUMPTIONS!$C$4:$E$4, 0))=1, 0, MAX(0, K33 * INDEX(ASSUMPTIONS!$C$6:$E$6, 1, MATCH(ASSUMPTIONS!$C$2, ASSUMPTIONS!$C$4:$E$4, 0))))</f>
      </c>
      <c r="L34" s="17">
        <f>IF(INDEX(ASSUMPTIONS!$C$7:$E$7, 1, MATCH(ASSUMPTIONS!$C$2, ASSUMPTIONS!$C$4:$E$4, 0))=1, 0, MAX(0, L33 * INDEX(ASSUMPTIONS!$C$6:$E$6, 1, MATCH(ASSUMPTIONS!$C$2, ASSUMPTIONS!$C$4:$E$4, 0))))</f>
      </c>
      <c r="M34" s="17">
        <f>IF(INDEX(ASSUMPTIONS!$C$7:$E$7, 1, MATCH(ASSUMPTIONS!$C$2, ASSUMPTIONS!$C$4:$E$4, 0))=1, 0, MAX(0, M33 * INDEX(ASSUMPTIONS!$C$6:$E$6, 1, MATCH(ASSUMPTIONS!$C$2, ASSUMPTIONS!$C$4:$E$4, 0))))</f>
      </c>
      <c r="N34" s="17">
        <f>IF(INDEX(ASSUMPTIONS!$C$7:$E$7, 1, MATCH(ASSUMPTIONS!$C$2, ASSUMPTIONS!$C$4:$E$4, 0))=1, 0, MAX(0, N33 * INDEX(ASSUMPTIONS!$C$6:$E$6, 1, MATCH(ASSUMPTIONS!$C$2, ASSUMPTIONS!$C$4:$E$4, 0))))</f>
      </c>
      <c r="O34" s="17">
        <f>MAX(0, O33 * INDEX(ASSUMPTIONS!$C$6:$E$6, 1, MATCH(ASSUMPTIONS!$C$2, ASSUMPTIONS!$C$4:$E$4, 0)))</f>
      </c>
      <c r="P34" s="17">
        <f>MAX(0, P33 * INDEX(ASSUMPTIONS!$C$6:$E$6, 1, MATCH(ASSUMPTIONS!$C$2, ASSUMPTIONS!$C$4:$E$4, 0)))</f>
      </c>
      <c r="Q34" s="17">
        <f>MAX(0, Q33 * INDEX(ASSUMPTIONS!$C$6:$E$6, 1, MATCH(ASSUMPTIONS!$C$2, ASSUMPTIONS!$C$4:$E$4, 0)))</f>
      </c>
      <c r="R34" s="17">
        <f>MAX(0, R33 * INDEX(ASSUMPTIONS!$C$6:$E$6, 1, MATCH(ASSUMPTIONS!$C$2, ASSUMPTIONS!$C$4:$E$4, 0)))</f>
      </c>
      <c r="S34" s="17">
        <f>MAX(0, S33 * INDEX(ASSUMPTIONS!$C$6:$E$6, 1, MATCH(ASSUMPTIONS!$C$2, ASSUMPTIONS!$C$4:$E$4, 0)))</f>
      </c>
      <c r="T34" s="17">
        <f>MAX(0, T33 * INDEX(ASSUMPTIONS!$C$6:$E$6, 1, MATCH(ASSUMPTIONS!$C$2, ASSUMPTIONS!$C$4:$E$4, 0)))</f>
      </c>
      <c r="U34" s="17">
        <f>MAX(0, U33 * INDEX(ASSUMPTIONS!$C$6:$E$6, 1, MATCH(ASSUMPTIONS!$C$2, ASSUMPTIONS!$C$4:$E$4, 0)))</f>
      </c>
      <c r="V34" s="17">
        <f>MAX(0, V33 * INDEX(ASSUMPTIONS!$C$6:$E$6, 1, MATCH(ASSUMPTIONS!$C$2, ASSUMPTIONS!$C$4:$E$4, 0)))</f>
      </c>
    </row>
    <row r="35" spans="2:22" x14ac:dyDescent="0.25">
      <c r="B35" s="13" t="s">
        <v>178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  <c r="H35" s="14">
        <f>H33-H34</f>
      </c>
      <c r="I35" s="14">
        <f>I33-I34</f>
      </c>
      <c r="J35" s="14">
        <f>J33-J34</f>
      </c>
      <c r="K35" s="14">
        <f>K33-K34</f>
      </c>
      <c r="L35" s="14">
        <f>L33-L34</f>
      </c>
      <c r="M35" s="14">
        <f>M33-M34</f>
      </c>
      <c r="N35" s="14">
        <f>N33-N34</f>
      </c>
      <c r="O35" s="14">
        <f>O33-O34</f>
      </c>
      <c r="P35" s="14">
        <f>P33-P34</f>
      </c>
      <c r="Q35" s="14">
        <f>Q33-Q34</f>
      </c>
      <c r="R35" s="14">
        <f>R33-R34</f>
      </c>
      <c r="S35" s="14">
        <f>S33-S34</f>
      </c>
      <c r="T35" s="14">
        <f>T33-T34</f>
      </c>
      <c r="U35" s="14">
        <f>U33-U34</f>
      </c>
      <c r="V35" s="14">
        <f>V33-V34</f>
      </c>
    </row>
    <row r="36" spans="2:22" x14ac:dyDescent="0.25">
      <c r="B36" s="13" t="s">
        <v>179</v>
      </c>
      <c r="C36" s="21">
        <f>IF(C23&gt;0, C35/C23, 0)</f>
      </c>
      <c r="D36" s="21">
        <f>IF(D23&gt;0, D35/D23, 0)</f>
      </c>
      <c r="E36" s="21">
        <f>IF(E23&gt;0, E35/E23, 0)</f>
      </c>
      <c r="F36" s="21">
        <f>IF(F23&gt;0, F35/F23, 0)</f>
      </c>
      <c r="G36" s="21">
        <f>IF(G23&gt;0, G35/G23, 0)</f>
      </c>
      <c r="H36" s="21">
        <f>IF(H23&gt;0, H35/H23, 0)</f>
      </c>
      <c r="I36" s="21">
        <f>IF(I23&gt;0, I35/I23, 0)</f>
      </c>
      <c r="J36" s="21">
        <f>IF(J23&gt;0, J35/J23, 0)</f>
      </c>
      <c r="K36" s="21">
        <f>IF(K23&gt;0, K35/K23, 0)</f>
      </c>
      <c r="L36" s="21">
        <f>IF(L23&gt;0, L35/L23, 0)</f>
      </c>
      <c r="M36" s="21">
        <f>IF(M23&gt;0, M35/M23, 0)</f>
      </c>
      <c r="N36" s="21">
        <f>IF(N23&gt;0, N35/N23, 0)</f>
      </c>
      <c r="O36" s="21">
        <f>IF(O23&gt;0, O35/O23, 0)</f>
      </c>
      <c r="P36" s="21">
        <f>IF(P23&gt;0, P35/P23, 0)</f>
      </c>
      <c r="Q36" s="21">
        <f>IF(Q23&gt;0, Q35/Q23, 0)</f>
      </c>
      <c r="R36" s="21">
        <f>IF(R23&gt;0, R35/R23, 0)</f>
      </c>
      <c r="S36" s="21">
        <f>IF(S23&gt;0, S35/S23, 0)</f>
      </c>
      <c r="T36" s="21">
        <f>IF(T23&gt;0, T35/T23, 0)</f>
      </c>
      <c r="U36" s="21">
        <f>IF(U23&gt;0, U35/U23, 0)</f>
      </c>
      <c r="V36" s="21">
        <f>IF(V23&gt;0, V35/V23, 0)</f>
      </c>
    </row>
    <row r="38" spans="2:22" x14ac:dyDescent="0.25">
      <c r="B38" s="6" t="s">
        <v>181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x14ac:dyDescent="0.25">
      <c r="B39" s="5" t="s">
        <v>4</v>
      </c>
      <c r="C39" s="5" t="s">
        <v>146</v>
      </c>
      <c r="D39" s="5" t="s">
        <v>147</v>
      </c>
      <c r="E39" s="5" t="s">
        <v>148</v>
      </c>
      <c r="F39" s="5" t="s">
        <v>149</v>
      </c>
      <c r="G39" s="5" t="s">
        <v>150</v>
      </c>
      <c r="H39" s="5" t="s">
        <v>151</v>
      </c>
      <c r="I39" s="5" t="s">
        <v>152</v>
      </c>
      <c r="J39" s="5" t="s">
        <v>153</v>
      </c>
      <c r="K39" s="5" t="s">
        <v>154</v>
      </c>
      <c r="L39" s="5" t="s">
        <v>155</v>
      </c>
      <c r="M39" s="5" t="s">
        <v>156</v>
      </c>
      <c r="N39" s="5" t="s">
        <v>157</v>
      </c>
      <c r="O39" s="5" t="s">
        <v>158</v>
      </c>
      <c r="P39" s="5" t="s">
        <v>159</v>
      </c>
      <c r="Q39" s="5" t="s">
        <v>160</v>
      </c>
      <c r="R39" s="5" t="s">
        <v>161</v>
      </c>
      <c r="S39" s="5" t="s">
        <v>162</v>
      </c>
      <c r="T39" s="5" t="s">
        <v>163</v>
      </c>
      <c r="U39" s="5" t="s">
        <v>164</v>
      </c>
      <c r="V39" s="5" t="s">
        <v>165</v>
      </c>
    </row>
    <row r="40" spans="2:22" x14ac:dyDescent="0.25">
      <c r="B40" s="7" t="s">
        <v>166</v>
      </c>
      <c r="C40" s="17">
        <v>157500</v>
      </c>
      <c r="D40" s="17">
        <v>165375</v>
      </c>
      <c r="E40" s="17">
        <v>173643.75000000003</v>
      </c>
      <c r="F40" s="17">
        <v>182325.93750000003</v>
      </c>
      <c r="G40" s="17">
        <v>191442.23437500006</v>
      </c>
      <c r="H40" s="17">
        <v>201014.34609375006</v>
      </c>
      <c r="I40" s="17">
        <v>211065.06339843755</v>
      </c>
      <c r="J40" s="17">
        <v>221618.31656835944</v>
      </c>
      <c r="K40" s="17">
        <v>232699.23239677743</v>
      </c>
      <c r="L40" s="17">
        <v>244334.19401661627</v>
      </c>
      <c r="M40" s="17">
        <v>256550.90371744713</v>
      </c>
      <c r="N40" s="17">
        <v>269378.4489033195</v>
      </c>
      <c r="O40" s="17">
        <v>282847.37134848547</v>
      </c>
      <c r="P40" s="17">
        <v>296989.73991590977</v>
      </c>
      <c r="Q40" s="17">
        <v>311839.2269117053</v>
      </c>
      <c r="R40" s="17">
        <v>327431.1882572905</v>
      </c>
      <c r="S40" s="17">
        <v>343802.7476701551</v>
      </c>
      <c r="T40" s="17">
        <v>360992.8850536628</v>
      </c>
      <c r="U40" s="17">
        <v>379042.529306346</v>
      </c>
      <c r="V40" s="17">
        <v>397994.6557716633</v>
      </c>
    </row>
    <row r="41" spans="2:22" x14ac:dyDescent="0.25">
      <c r="B41" s="7" t="s">
        <v>167</v>
      </c>
      <c r="C41" s="17">
        <v>47250</v>
      </c>
      <c r="D41" s="17">
        <v>49612.5</v>
      </c>
      <c r="E41" s="17">
        <v>52093.12500000001</v>
      </c>
      <c r="F41" s="17">
        <v>54697.78125000001</v>
      </c>
      <c r="G41" s="17">
        <v>57432.67031250001</v>
      </c>
      <c r="H41" s="17">
        <v>60304.30382812502</v>
      </c>
      <c r="I41" s="17">
        <v>63319.51901953126</v>
      </c>
      <c r="J41" s="17">
        <v>66485.49497050783</v>
      </c>
      <c r="K41" s="17">
        <v>69809.76971903323</v>
      </c>
      <c r="L41" s="17">
        <v>73300.25820498487</v>
      </c>
      <c r="M41" s="17">
        <v>76965.27111523414</v>
      </c>
      <c r="N41" s="17">
        <v>80813.53467099584</v>
      </c>
      <c r="O41" s="17">
        <v>84854.21140454564</v>
      </c>
      <c r="P41" s="17">
        <v>89096.92197477292</v>
      </c>
      <c r="Q41" s="17">
        <v>93551.76807351159</v>
      </c>
      <c r="R41" s="17">
        <v>98229.35647718715</v>
      </c>
      <c r="S41" s="17">
        <v>103140.82430104652</v>
      </c>
      <c r="T41" s="17">
        <v>108297.86551609884</v>
      </c>
      <c r="U41" s="17">
        <v>113712.7587919038</v>
      </c>
      <c r="V41" s="17">
        <v>119398.39673149899</v>
      </c>
    </row>
    <row r="42" spans="2:22" x14ac:dyDescent="0.25">
      <c r="B42" s="13" t="s">
        <v>168</v>
      </c>
      <c r="C42" s="19">
        <f>C40-C41</f>
      </c>
      <c r="D42" s="19">
        <f>D40-D41</f>
      </c>
      <c r="E42" s="19">
        <f>E40-E41</f>
      </c>
      <c r="F42" s="19">
        <f>F40-F41</f>
      </c>
      <c r="G42" s="19">
        <f>G40-G41</f>
      </c>
      <c r="H42" s="19">
        <f>H40-H41</f>
      </c>
      <c r="I42" s="19">
        <f>I40-I41</f>
      </c>
      <c r="J42" s="19">
        <f>J40-J41</f>
      </c>
      <c r="K42" s="19">
        <f>K40-K41</f>
      </c>
      <c r="L42" s="19">
        <f>L40-L41</f>
      </c>
      <c r="M42" s="19">
        <f>M40-M41</f>
      </c>
      <c r="N42" s="19">
        <f>N40-N41</f>
      </c>
      <c r="O42" s="19">
        <f>O40-O41</f>
      </c>
      <c r="P42" s="19">
        <f>P40-P41</f>
      </c>
      <c r="Q42" s="19">
        <f>Q40-Q41</f>
      </c>
      <c r="R42" s="19">
        <f>R40-R41</f>
      </c>
      <c r="S42" s="19">
        <f>S40-S41</f>
      </c>
      <c r="T42" s="19">
        <f>T40-T41</f>
      </c>
      <c r="U42" s="19">
        <f>U40-U41</f>
      </c>
      <c r="V42" s="19">
        <f>V40-V41</f>
      </c>
    </row>
    <row r="43" spans="2:22" x14ac:dyDescent="0.25">
      <c r="B43" s="7" t="s">
        <v>169</v>
      </c>
      <c r="C43" s="20">
        <f>IF(C40&gt;0, C42/C40, 0)</f>
      </c>
      <c r="D43" s="20">
        <f>IF(D40&gt;0, D42/D40, 0)</f>
      </c>
      <c r="E43" s="20">
        <f>IF(E40&gt;0, E42/E40, 0)</f>
      </c>
      <c r="F43" s="20">
        <f>IF(F40&gt;0, F42/F40, 0)</f>
      </c>
      <c r="G43" s="20">
        <f>IF(G40&gt;0, G42/G40, 0)</f>
      </c>
      <c r="H43" s="20">
        <f>IF(H40&gt;0, H42/H40, 0)</f>
      </c>
      <c r="I43" s="20">
        <f>IF(I40&gt;0, I42/I40, 0)</f>
      </c>
      <c r="J43" s="20">
        <f>IF(J40&gt;0, J42/J40, 0)</f>
      </c>
      <c r="K43" s="20">
        <f>IF(K40&gt;0, K42/K40, 0)</f>
      </c>
      <c r="L43" s="20">
        <f>IF(L40&gt;0, L42/L40, 0)</f>
      </c>
      <c r="M43" s="20">
        <f>IF(M40&gt;0, M42/M40, 0)</f>
      </c>
      <c r="N43" s="20">
        <f>IF(N40&gt;0, N42/N40, 0)</f>
      </c>
      <c r="O43" s="20">
        <f>IF(O40&gt;0, O42/O40, 0)</f>
      </c>
      <c r="P43" s="20">
        <f>IF(P40&gt;0, P42/P40, 0)</f>
      </c>
      <c r="Q43" s="20">
        <f>IF(Q40&gt;0, Q42/Q40, 0)</f>
      </c>
      <c r="R43" s="20">
        <f>IF(R40&gt;0, R42/R40, 0)</f>
      </c>
      <c r="S43" s="20">
        <f>IF(S40&gt;0, S42/S40, 0)</f>
      </c>
      <c r="T43" s="20">
        <f>IF(T40&gt;0, T42/T40, 0)</f>
      </c>
      <c r="U43" s="20">
        <f>IF(U40&gt;0, U42/U40, 0)</f>
      </c>
      <c r="V43" s="20">
        <f>IF(V40&gt;0, V42/V40, 0)</f>
      </c>
    </row>
    <row r="44" spans="2:22" x14ac:dyDescent="0.25">
      <c r="B44" s="7" t="s">
        <v>170</v>
      </c>
      <c r="C44" s="17">
        <v>15750</v>
      </c>
      <c r="D44" s="17">
        <v>16537.5</v>
      </c>
      <c r="E44" s="17">
        <v>17364.375000000004</v>
      </c>
      <c r="F44" s="17">
        <v>18232.593750000004</v>
      </c>
      <c r="G44" s="17">
        <v>19144.223437500008</v>
      </c>
      <c r="H44" s="17">
        <v>20101.434609375006</v>
      </c>
      <c r="I44" s="17">
        <v>21106.50633984376</v>
      </c>
      <c r="J44" s="17">
        <v>22161.831656835948</v>
      </c>
      <c r="K44" s="17">
        <v>23269.923239677744</v>
      </c>
      <c r="L44" s="17">
        <v>24433.41940166163</v>
      </c>
      <c r="M44" s="17">
        <v>25655.090371744715</v>
      </c>
      <c r="N44" s="17">
        <v>26937.84489033195</v>
      </c>
      <c r="O44" s="17">
        <v>28284.73713484855</v>
      </c>
      <c r="P44" s="17">
        <v>29698.97399159098</v>
      </c>
      <c r="Q44" s="17">
        <v>31183.922691170534</v>
      </c>
      <c r="R44" s="17">
        <v>32743.11882572905</v>
      </c>
      <c r="S44" s="17">
        <v>34380.27476701551</v>
      </c>
      <c r="T44" s="17">
        <v>36099.28850536628</v>
      </c>
      <c r="U44" s="17">
        <v>37904.252930634604</v>
      </c>
      <c r="V44" s="17">
        <v>39799.46557716633</v>
      </c>
    </row>
    <row r="45" spans="2:22" x14ac:dyDescent="0.25">
      <c r="B45" s="13" t="s">
        <v>171</v>
      </c>
      <c r="C45" s="19">
        <f>C42-C44</f>
      </c>
      <c r="D45" s="19">
        <f>D42-D44</f>
      </c>
      <c r="E45" s="19">
        <f>E42-E44</f>
      </c>
      <c r="F45" s="19">
        <f>F42-F44</f>
      </c>
      <c r="G45" s="19">
        <f>G42-G44</f>
      </c>
      <c r="H45" s="19">
        <f>H42-H44</f>
      </c>
      <c r="I45" s="19">
        <f>I42-I44</f>
      </c>
      <c r="J45" s="19">
        <f>J42-J44</f>
      </c>
      <c r="K45" s="19">
        <f>K42-K44</f>
      </c>
      <c r="L45" s="19">
        <f>L42-L44</f>
      </c>
      <c r="M45" s="19">
        <f>M42-M44</f>
      </c>
      <c r="N45" s="19">
        <f>N42-N44</f>
      </c>
      <c r="O45" s="19">
        <f>O42-O44</f>
      </c>
      <c r="P45" s="19">
        <f>P42-P44</f>
      </c>
      <c r="Q45" s="19">
        <f>Q42-Q44</f>
      </c>
      <c r="R45" s="19">
        <f>R42-R44</f>
      </c>
      <c r="S45" s="19">
        <f>S42-S44</f>
      </c>
      <c r="T45" s="19">
        <f>T42-T44</f>
      </c>
      <c r="U45" s="19">
        <f>U42-U44</f>
      </c>
      <c r="V45" s="19">
        <f>V42-V44</f>
      </c>
    </row>
    <row r="46" spans="2:22" x14ac:dyDescent="0.25">
      <c r="B46" s="7" t="s">
        <v>172</v>
      </c>
      <c r="C46" s="20">
        <f>IF(C40&gt;0, C45/C40, 0)</f>
      </c>
      <c r="D46" s="20">
        <f>IF(D40&gt;0, D45/D40, 0)</f>
      </c>
      <c r="E46" s="20">
        <f>IF(E40&gt;0, E45/E40, 0)</f>
      </c>
      <c r="F46" s="20">
        <f>IF(F40&gt;0, F45/F40, 0)</f>
      </c>
      <c r="G46" s="20">
        <f>IF(G40&gt;0, G45/G40, 0)</f>
      </c>
      <c r="H46" s="20">
        <f>IF(H40&gt;0, H45/H40, 0)</f>
      </c>
      <c r="I46" s="20">
        <f>IF(I40&gt;0, I45/I40, 0)</f>
      </c>
      <c r="J46" s="20">
        <f>IF(J40&gt;0, J45/J40, 0)</f>
      </c>
      <c r="K46" s="20">
        <f>IF(K40&gt;0, K45/K40, 0)</f>
      </c>
      <c r="L46" s="20">
        <f>IF(L40&gt;0, L45/L40, 0)</f>
      </c>
      <c r="M46" s="20">
        <f>IF(M40&gt;0, M45/M40, 0)</f>
      </c>
      <c r="N46" s="20">
        <f>IF(N40&gt;0, N45/N40, 0)</f>
      </c>
      <c r="O46" s="20">
        <f>IF(O40&gt;0, O45/O40, 0)</f>
      </c>
      <c r="P46" s="20">
        <f>IF(P40&gt;0, P45/P40, 0)</f>
      </c>
      <c r="Q46" s="20">
        <f>IF(Q40&gt;0, Q45/Q40, 0)</f>
      </c>
      <c r="R46" s="20">
        <f>IF(R40&gt;0, R45/R40, 0)</f>
      </c>
      <c r="S46" s="20">
        <f>IF(S40&gt;0, S45/S40, 0)</f>
      </c>
      <c r="T46" s="20">
        <f>IF(T40&gt;0, T45/T40, 0)</f>
      </c>
      <c r="U46" s="20">
        <f>IF(U40&gt;0, U45/U40, 0)</f>
      </c>
      <c r="V46" s="20">
        <f>IF(V40&gt;0, V45/V40, 0)</f>
      </c>
    </row>
    <row r="47" spans="2:22" x14ac:dyDescent="0.25">
      <c r="B47" s="7" t="s">
        <v>173</v>
      </c>
      <c r="C47" s="17">
        <v>125000</v>
      </c>
      <c r="D47" s="17">
        <v>125000</v>
      </c>
      <c r="E47" s="17">
        <v>125000</v>
      </c>
      <c r="F47" s="17">
        <v>125000</v>
      </c>
      <c r="G47" s="17">
        <v>125000</v>
      </c>
      <c r="H47" s="17">
        <v>125000</v>
      </c>
      <c r="I47" s="17">
        <v>125000</v>
      </c>
      <c r="J47" s="17">
        <v>125000</v>
      </c>
      <c r="K47" s="17">
        <v>125000</v>
      </c>
      <c r="L47" s="17">
        <v>125000</v>
      </c>
      <c r="M47" s="17">
        <v>125000</v>
      </c>
      <c r="N47" s="17">
        <v>125000</v>
      </c>
      <c r="O47" s="17">
        <v>125000</v>
      </c>
      <c r="P47" s="17">
        <v>125000</v>
      </c>
      <c r="Q47" s="17">
        <v>125000</v>
      </c>
      <c r="R47" s="17">
        <v>125000</v>
      </c>
      <c r="S47" s="17">
        <v>125000</v>
      </c>
      <c r="T47" s="17">
        <v>125000</v>
      </c>
      <c r="U47" s="17">
        <v>125000</v>
      </c>
      <c r="V47" s="17">
        <v>125000</v>
      </c>
    </row>
    <row r="48" spans="2:22" x14ac:dyDescent="0.25">
      <c r="B48" s="13" t="s">
        <v>174</v>
      </c>
      <c r="C48" s="19">
        <f>C45-C47</f>
      </c>
      <c r="D48" s="19">
        <f>D45-D47</f>
      </c>
      <c r="E48" s="19">
        <f>E45-E47</f>
      </c>
      <c r="F48" s="19">
        <f>F45-F47</f>
      </c>
      <c r="G48" s="19">
        <f>G45-G47</f>
      </c>
      <c r="H48" s="19">
        <f>H45-H47</f>
      </c>
      <c r="I48" s="19">
        <f>I45-I47</f>
      </c>
      <c r="J48" s="19">
        <f>J45-J47</f>
      </c>
      <c r="K48" s="19">
        <f>K45-K47</f>
      </c>
      <c r="L48" s="19">
        <f>L45-L47</f>
      </c>
      <c r="M48" s="19">
        <f>M45-M47</f>
      </c>
      <c r="N48" s="19">
        <f>N45-N47</f>
      </c>
      <c r="O48" s="19">
        <f>O45-O47</f>
      </c>
      <c r="P48" s="19">
        <f>P45-P47</f>
      </c>
      <c r="Q48" s="19">
        <f>Q45-Q47</f>
      </c>
      <c r="R48" s="19">
        <f>R45-R47</f>
      </c>
      <c r="S48" s="19">
        <f>S45-S47</f>
      </c>
      <c r="T48" s="19">
        <f>T45-T47</f>
      </c>
      <c r="U48" s="19">
        <f>U45-U47</f>
      </c>
      <c r="V48" s="19">
        <f>V45-V47</f>
      </c>
    </row>
    <row r="49" spans="2:22" x14ac:dyDescent="0.25">
      <c r="B49" s="7" t="s">
        <v>175</v>
      </c>
      <c r="C49" s="17">
        <v>15000</v>
      </c>
      <c r="D49" s="17">
        <v>15000</v>
      </c>
      <c r="E49" s="17">
        <v>15000</v>
      </c>
      <c r="F49" s="17">
        <v>15000</v>
      </c>
      <c r="G49" s="17">
        <v>15000</v>
      </c>
      <c r="H49" s="17">
        <v>15000</v>
      </c>
      <c r="I49" s="17">
        <v>15000</v>
      </c>
      <c r="J49" s="17">
        <v>15000</v>
      </c>
      <c r="K49" s="17">
        <v>15000</v>
      </c>
      <c r="L49" s="17">
        <v>15000</v>
      </c>
      <c r="M49" s="17">
        <v>15000</v>
      </c>
      <c r="N49" s="17">
        <v>15000</v>
      </c>
      <c r="O49" s="17">
        <v>15000</v>
      </c>
      <c r="P49" s="17">
        <v>15000</v>
      </c>
      <c r="Q49" s="17">
        <v>15000</v>
      </c>
      <c r="R49" s="17">
        <v>15000</v>
      </c>
      <c r="S49" s="17">
        <v>15000</v>
      </c>
      <c r="T49" s="17">
        <v>15000</v>
      </c>
      <c r="U49" s="17">
        <v>15000</v>
      </c>
      <c r="V49" s="17">
        <v>15000</v>
      </c>
    </row>
    <row r="50" spans="2:22" x14ac:dyDescent="0.25">
      <c r="B50" s="7" t="s">
        <v>176</v>
      </c>
      <c r="C50" s="19">
        <f>C48-C49</f>
      </c>
      <c r="D50" s="19">
        <f>D48-D49</f>
      </c>
      <c r="E50" s="19">
        <f>E48-E49</f>
      </c>
      <c r="F50" s="19">
        <f>F48-F49</f>
      </c>
      <c r="G50" s="19">
        <f>G48-G49</f>
      </c>
      <c r="H50" s="19">
        <f>H48-H49</f>
      </c>
      <c r="I50" s="19">
        <f>I48-I49</f>
      </c>
      <c r="J50" s="19">
        <f>J48-J49</f>
      </c>
      <c r="K50" s="19">
        <f>K48-K49</f>
      </c>
      <c r="L50" s="19">
        <f>L48-L49</f>
      </c>
      <c r="M50" s="19">
        <f>M48-M49</f>
      </c>
      <c r="N50" s="19">
        <f>N48-N49</f>
      </c>
      <c r="O50" s="19">
        <f>O48-O49</f>
      </c>
      <c r="P50" s="19">
        <f>P48-P49</f>
      </c>
      <c r="Q50" s="19">
        <f>Q48-Q49</f>
      </c>
      <c r="R50" s="19">
        <f>R48-R49</f>
      </c>
      <c r="S50" s="19">
        <f>S48-S49</f>
      </c>
      <c r="T50" s="19">
        <f>T48-T49</f>
      </c>
      <c r="U50" s="19">
        <f>U48-U49</f>
      </c>
      <c r="V50" s="19">
        <f>V48-V49</f>
      </c>
    </row>
    <row r="51" spans="2:22" x14ac:dyDescent="0.25">
      <c r="B51" s="7" t="s">
        <v>177</v>
      </c>
      <c r="C51" s="17">
        <f>IF(INDEX(ASSUMPTIONS!$C$7:$E$7, 1, MATCH(ASSUMPTIONS!$C$2, ASSUMPTIONS!$C$4:$E$4, 0))=1, 0, MAX(0, C50 * INDEX(ASSUMPTIONS!$C$6:$E$6, 1, MATCH(ASSUMPTIONS!$C$2, ASSUMPTIONS!$C$4:$E$4, 0))))</f>
      </c>
      <c r="D51" s="17">
        <f>IF(INDEX(ASSUMPTIONS!$C$7:$E$7, 1, MATCH(ASSUMPTIONS!$C$2, ASSUMPTIONS!$C$4:$E$4, 0))=1, 0, MAX(0, D50 * INDEX(ASSUMPTIONS!$C$6:$E$6, 1, MATCH(ASSUMPTIONS!$C$2, ASSUMPTIONS!$C$4:$E$4, 0))))</f>
      </c>
      <c r="E51" s="17">
        <f>IF(INDEX(ASSUMPTIONS!$C$7:$E$7, 1, MATCH(ASSUMPTIONS!$C$2, ASSUMPTIONS!$C$4:$E$4, 0))=1, 0, MAX(0, E50 * INDEX(ASSUMPTIONS!$C$6:$E$6, 1, MATCH(ASSUMPTIONS!$C$2, ASSUMPTIONS!$C$4:$E$4, 0))))</f>
      </c>
      <c r="F51" s="17">
        <f>IF(INDEX(ASSUMPTIONS!$C$7:$E$7, 1, MATCH(ASSUMPTIONS!$C$2, ASSUMPTIONS!$C$4:$E$4, 0))=1, 0, MAX(0, F50 * INDEX(ASSUMPTIONS!$C$6:$E$6, 1, MATCH(ASSUMPTIONS!$C$2, ASSUMPTIONS!$C$4:$E$4, 0))))</f>
      </c>
      <c r="G51" s="17">
        <f>IF(INDEX(ASSUMPTIONS!$C$7:$E$7, 1, MATCH(ASSUMPTIONS!$C$2, ASSUMPTIONS!$C$4:$E$4, 0))=1, 0, MAX(0, G50 * INDEX(ASSUMPTIONS!$C$6:$E$6, 1, MATCH(ASSUMPTIONS!$C$2, ASSUMPTIONS!$C$4:$E$4, 0))))</f>
      </c>
      <c r="H51" s="17">
        <f>IF(INDEX(ASSUMPTIONS!$C$7:$E$7, 1, MATCH(ASSUMPTIONS!$C$2, ASSUMPTIONS!$C$4:$E$4, 0))=1, 0, MAX(0, H50 * INDEX(ASSUMPTIONS!$C$6:$E$6, 1, MATCH(ASSUMPTIONS!$C$2, ASSUMPTIONS!$C$4:$E$4, 0))))</f>
      </c>
      <c r="I51" s="17">
        <f>IF(INDEX(ASSUMPTIONS!$C$7:$E$7, 1, MATCH(ASSUMPTIONS!$C$2, ASSUMPTIONS!$C$4:$E$4, 0))=1, 0, MAX(0, I50 * INDEX(ASSUMPTIONS!$C$6:$E$6, 1, MATCH(ASSUMPTIONS!$C$2, ASSUMPTIONS!$C$4:$E$4, 0))))</f>
      </c>
      <c r="J51" s="17">
        <f>IF(INDEX(ASSUMPTIONS!$C$7:$E$7, 1, MATCH(ASSUMPTIONS!$C$2, ASSUMPTIONS!$C$4:$E$4, 0))=1, 0, MAX(0, J50 * INDEX(ASSUMPTIONS!$C$6:$E$6, 1, MATCH(ASSUMPTIONS!$C$2, ASSUMPTIONS!$C$4:$E$4, 0))))</f>
      </c>
      <c r="K51" s="17">
        <f>IF(INDEX(ASSUMPTIONS!$C$7:$E$7, 1, MATCH(ASSUMPTIONS!$C$2, ASSUMPTIONS!$C$4:$E$4, 0))=1, 0, MAX(0, K50 * INDEX(ASSUMPTIONS!$C$6:$E$6, 1, MATCH(ASSUMPTIONS!$C$2, ASSUMPTIONS!$C$4:$E$4, 0))))</f>
      </c>
      <c r="L51" s="17">
        <f>IF(INDEX(ASSUMPTIONS!$C$7:$E$7, 1, MATCH(ASSUMPTIONS!$C$2, ASSUMPTIONS!$C$4:$E$4, 0))=1, 0, MAX(0, L50 * INDEX(ASSUMPTIONS!$C$6:$E$6, 1, MATCH(ASSUMPTIONS!$C$2, ASSUMPTIONS!$C$4:$E$4, 0))))</f>
      </c>
      <c r="M51" s="17">
        <f>IF(INDEX(ASSUMPTIONS!$C$7:$E$7, 1, MATCH(ASSUMPTIONS!$C$2, ASSUMPTIONS!$C$4:$E$4, 0))=1, 0, MAX(0, M50 * INDEX(ASSUMPTIONS!$C$6:$E$6, 1, MATCH(ASSUMPTIONS!$C$2, ASSUMPTIONS!$C$4:$E$4, 0))))</f>
      </c>
      <c r="N51" s="17">
        <f>IF(INDEX(ASSUMPTIONS!$C$7:$E$7, 1, MATCH(ASSUMPTIONS!$C$2, ASSUMPTIONS!$C$4:$E$4, 0))=1, 0, MAX(0, N50 * INDEX(ASSUMPTIONS!$C$6:$E$6, 1, MATCH(ASSUMPTIONS!$C$2, ASSUMPTIONS!$C$4:$E$4, 0))))</f>
      </c>
      <c r="O51" s="17">
        <f>MAX(0, O50 * INDEX(ASSUMPTIONS!$C$6:$E$6, 1, MATCH(ASSUMPTIONS!$C$2, ASSUMPTIONS!$C$4:$E$4, 0)))</f>
      </c>
      <c r="P51" s="17">
        <f>MAX(0, P50 * INDEX(ASSUMPTIONS!$C$6:$E$6, 1, MATCH(ASSUMPTIONS!$C$2, ASSUMPTIONS!$C$4:$E$4, 0)))</f>
      </c>
      <c r="Q51" s="17">
        <f>MAX(0, Q50 * INDEX(ASSUMPTIONS!$C$6:$E$6, 1, MATCH(ASSUMPTIONS!$C$2, ASSUMPTIONS!$C$4:$E$4, 0)))</f>
      </c>
      <c r="R51" s="17">
        <f>MAX(0, R50 * INDEX(ASSUMPTIONS!$C$6:$E$6, 1, MATCH(ASSUMPTIONS!$C$2, ASSUMPTIONS!$C$4:$E$4, 0)))</f>
      </c>
      <c r="S51" s="17">
        <f>MAX(0, S50 * INDEX(ASSUMPTIONS!$C$6:$E$6, 1, MATCH(ASSUMPTIONS!$C$2, ASSUMPTIONS!$C$4:$E$4, 0)))</f>
      </c>
      <c r="T51" s="17">
        <f>MAX(0, T50 * INDEX(ASSUMPTIONS!$C$6:$E$6, 1, MATCH(ASSUMPTIONS!$C$2, ASSUMPTIONS!$C$4:$E$4, 0)))</f>
      </c>
      <c r="U51" s="17">
        <f>MAX(0, U50 * INDEX(ASSUMPTIONS!$C$6:$E$6, 1, MATCH(ASSUMPTIONS!$C$2, ASSUMPTIONS!$C$4:$E$4, 0)))</f>
      </c>
      <c r="V51" s="17">
        <f>MAX(0, V50 * INDEX(ASSUMPTIONS!$C$6:$E$6, 1, MATCH(ASSUMPTIONS!$C$2, ASSUMPTIONS!$C$4:$E$4, 0)))</f>
      </c>
    </row>
    <row r="52" spans="2:22" x14ac:dyDescent="0.25">
      <c r="B52" s="13" t="s">
        <v>178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  <c r="H52" s="14">
        <f>H50-H51</f>
      </c>
      <c r="I52" s="14">
        <f>I50-I51</f>
      </c>
      <c r="J52" s="14">
        <f>J50-J51</f>
      </c>
      <c r="K52" s="14">
        <f>K50-K51</f>
      </c>
      <c r="L52" s="14">
        <f>L50-L51</f>
      </c>
      <c r="M52" s="14">
        <f>M50-M51</f>
      </c>
      <c r="N52" s="14">
        <f>N50-N51</f>
      </c>
      <c r="O52" s="14">
        <f>O50-O51</f>
      </c>
      <c r="P52" s="14">
        <f>P50-P51</f>
      </c>
      <c r="Q52" s="14">
        <f>Q50-Q51</f>
      </c>
      <c r="R52" s="14">
        <f>R50-R51</f>
      </c>
      <c r="S52" s="14">
        <f>S50-S51</f>
      </c>
      <c r="T52" s="14">
        <f>T50-T51</f>
      </c>
      <c r="U52" s="14">
        <f>U50-U51</f>
      </c>
      <c r="V52" s="14">
        <f>V50-V51</f>
      </c>
    </row>
    <row r="53" spans="2:22" x14ac:dyDescent="0.25">
      <c r="B53" s="13" t="s">
        <v>179</v>
      </c>
      <c r="C53" s="21">
        <f>IF(C40&gt;0, C52/C40, 0)</f>
      </c>
      <c r="D53" s="21">
        <f>IF(D40&gt;0, D52/D40, 0)</f>
      </c>
      <c r="E53" s="21">
        <f>IF(E40&gt;0, E52/E40, 0)</f>
      </c>
      <c r="F53" s="21">
        <f>IF(F40&gt;0, F52/F40, 0)</f>
      </c>
      <c r="G53" s="21">
        <f>IF(G40&gt;0, G52/G40, 0)</f>
      </c>
      <c r="H53" s="21">
        <f>IF(H40&gt;0, H52/H40, 0)</f>
      </c>
      <c r="I53" s="21">
        <f>IF(I40&gt;0, I52/I40, 0)</f>
      </c>
      <c r="J53" s="21">
        <f>IF(J40&gt;0, J52/J40, 0)</f>
      </c>
      <c r="K53" s="21">
        <f>IF(K40&gt;0, K52/K40, 0)</f>
      </c>
      <c r="L53" s="21">
        <f>IF(L40&gt;0, L52/L40, 0)</f>
      </c>
      <c r="M53" s="21">
        <f>IF(M40&gt;0, M52/M40, 0)</f>
      </c>
      <c r="N53" s="21">
        <f>IF(N40&gt;0, N52/N40, 0)</f>
      </c>
      <c r="O53" s="21">
        <f>IF(O40&gt;0, O52/O40, 0)</f>
      </c>
      <c r="P53" s="21">
        <f>IF(P40&gt;0, P52/P40, 0)</f>
      </c>
      <c r="Q53" s="21">
        <f>IF(Q40&gt;0, Q52/Q40, 0)</f>
      </c>
      <c r="R53" s="21">
        <f>IF(R40&gt;0, R52/R40, 0)</f>
      </c>
      <c r="S53" s="21">
        <f>IF(S40&gt;0, S52/S40, 0)</f>
      </c>
      <c r="T53" s="21">
        <f>IF(T40&gt;0, T52/T40, 0)</f>
      </c>
      <c r="U53" s="21">
        <f>IF(U40&gt;0, U52/U40, 0)</f>
      </c>
      <c r="V53" s="21">
        <f>IF(V40&gt;0, V52/V40, 0)</f>
      </c>
    </row>
  </sheetData>
  <mergeCells count="3">
    <mergeCell ref="B4:V4"/>
    <mergeCell ref="B21:V21"/>
    <mergeCell ref="B38:V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7" width="18" customWidth="1"/>
  </cols>
  <sheetData>
    <row r="2" spans="2:2" x14ac:dyDescent="0.25">
      <c r="B2" s="18" t="s">
        <v>182</v>
      </c>
    </row>
    <row r="4" spans="2:7" x14ac:dyDescent="0.25">
      <c r="B4" s="6" t="s">
        <v>145</v>
      </c>
      <c r="C4" s="6"/>
      <c r="D4" s="6"/>
      <c r="E4" s="6"/>
      <c r="F4" s="6"/>
      <c r="G4" s="6"/>
    </row>
    <row r="5" spans="2:7" x14ac:dyDescent="0.25">
      <c r="B5" s="5" t="s">
        <v>4</v>
      </c>
      <c r="C5" s="5" t="s">
        <v>183</v>
      </c>
      <c r="D5" s="5" t="s">
        <v>184</v>
      </c>
      <c r="E5" s="5" t="s">
        <v>185</v>
      </c>
      <c r="F5" s="5" t="s">
        <v>186</v>
      </c>
      <c r="G5" s="5" t="s">
        <v>187</v>
      </c>
    </row>
    <row r="6" spans="2:7" x14ac:dyDescent="0.25">
      <c r="B6" s="7" t="s">
        <v>166</v>
      </c>
      <c r="C6" s="17">
        <v>1200000</v>
      </c>
      <c r="D6" s="17">
        <v>1440000</v>
      </c>
      <c r="E6" s="17">
        <v>1727999.9999999998</v>
      </c>
      <c r="F6" s="17">
        <v>2073600</v>
      </c>
      <c r="G6" s="17">
        <v>2488319.9999999995</v>
      </c>
    </row>
    <row r="7" spans="2:7" x14ac:dyDescent="0.25">
      <c r="B7" s="7" t="s">
        <v>167</v>
      </c>
      <c r="C7" s="17">
        <v>360000</v>
      </c>
      <c r="D7" s="17">
        <v>432000</v>
      </c>
      <c r="E7" s="17">
        <v>518399.9999999999</v>
      </c>
      <c r="F7" s="17">
        <v>622080</v>
      </c>
      <c r="G7" s="17">
        <v>746495.9999999999</v>
      </c>
    </row>
    <row r="8" spans="2:7" x14ac:dyDescent="0.25">
      <c r="B8" s="13" t="s">
        <v>168</v>
      </c>
      <c r="C8" s="19">
        <f>C6-C7</f>
      </c>
      <c r="D8" s="19">
        <f>D6-D7</f>
      </c>
      <c r="E8" s="19">
        <f>E6-E7</f>
      </c>
      <c r="F8" s="19">
        <f>F6-F7</f>
      </c>
      <c r="G8" s="19">
        <f>G6-G7</f>
      </c>
    </row>
    <row r="9" spans="2:7" x14ac:dyDescent="0.25">
      <c r="B9" s="7" t="s">
        <v>169</v>
      </c>
      <c r="C9" s="20">
        <f>IF(C6&gt;0, C8/C6, 0)</f>
      </c>
      <c r="D9" s="20">
        <f>IF(D6&gt;0, D8/D6, 0)</f>
      </c>
      <c r="E9" s="20">
        <f>IF(E6&gt;0, E8/E6, 0)</f>
      </c>
      <c r="F9" s="20">
        <f>IF(F6&gt;0, F8/F6, 0)</f>
      </c>
      <c r="G9" s="20">
        <f>IF(G6&gt;0, G8/G6, 0)</f>
      </c>
    </row>
    <row r="10" spans="2:7" x14ac:dyDescent="0.25">
      <c r="B10" s="7" t="s">
        <v>170</v>
      </c>
      <c r="C10" s="17">
        <v>120000</v>
      </c>
      <c r="D10" s="17">
        <v>144000</v>
      </c>
      <c r="E10" s="17">
        <v>172800</v>
      </c>
      <c r="F10" s="17">
        <v>207360</v>
      </c>
      <c r="G10" s="17">
        <v>248831.99999999997</v>
      </c>
    </row>
    <row r="11" spans="2:7" x14ac:dyDescent="0.25">
      <c r="B11" s="13" t="s">
        <v>171</v>
      </c>
      <c r="C11" s="19">
        <f>C8-C10</f>
      </c>
      <c r="D11" s="19">
        <f>D8-D10</f>
      </c>
      <c r="E11" s="19">
        <f>E8-E10</f>
      </c>
      <c r="F11" s="19">
        <f>F8-F10</f>
      </c>
      <c r="G11" s="19">
        <f>G8-G10</f>
      </c>
    </row>
    <row r="12" spans="2:7" x14ac:dyDescent="0.25">
      <c r="B12" s="7" t="s">
        <v>172</v>
      </c>
      <c r="C12" s="20">
        <f>IF(C6&gt;0, C11/C6, 0)</f>
      </c>
      <c r="D12" s="20">
        <f>IF(D6&gt;0, D11/D6, 0)</f>
      </c>
      <c r="E12" s="20">
        <f>IF(E6&gt;0, E11/E6, 0)</f>
      </c>
      <c r="F12" s="20">
        <f>IF(F6&gt;0, F11/F6, 0)</f>
      </c>
      <c r="G12" s="20">
        <f>IF(G6&gt;0, G11/G6, 0)</f>
      </c>
    </row>
    <row r="13" spans="2:7" x14ac:dyDescent="0.25">
      <c r="B13" s="7" t="s">
        <v>173</v>
      </c>
      <c r="C13" s="17">
        <v>500000</v>
      </c>
      <c r="D13" s="17">
        <v>500000</v>
      </c>
      <c r="E13" s="17">
        <v>500000</v>
      </c>
      <c r="F13" s="17">
        <v>500000</v>
      </c>
      <c r="G13" s="17">
        <v>500000</v>
      </c>
    </row>
    <row r="14" spans="2:7" x14ac:dyDescent="0.25">
      <c r="B14" s="13" t="s">
        <v>174</v>
      </c>
      <c r="C14" s="19">
        <f>C11-C13</f>
      </c>
      <c r="D14" s="19">
        <f>D11-D13</f>
      </c>
      <c r="E14" s="19">
        <f>E11-E13</f>
      </c>
      <c r="F14" s="19">
        <f>F11-F13</f>
      </c>
      <c r="G14" s="19">
        <f>G11-G13</f>
      </c>
    </row>
    <row r="15" spans="2:7" x14ac:dyDescent="0.25">
      <c r="B15" s="7" t="s">
        <v>175</v>
      </c>
      <c r="C15" s="17">
        <v>60000</v>
      </c>
      <c r="D15" s="17">
        <v>60000</v>
      </c>
      <c r="E15" s="17">
        <v>60000</v>
      </c>
      <c r="F15" s="17">
        <v>60000</v>
      </c>
      <c r="G15" s="17">
        <v>60000</v>
      </c>
    </row>
    <row r="16" spans="2:7" x14ac:dyDescent="0.25">
      <c r="B16" s="7" t="s">
        <v>176</v>
      </c>
      <c r="C16" s="19">
        <f>C14-C15</f>
      </c>
      <c r="D16" s="19">
        <f>D14-D15</f>
      </c>
      <c r="E16" s="19">
        <f>E14-E15</f>
      </c>
      <c r="F16" s="19">
        <f>F14-F15</f>
      </c>
      <c r="G16" s="19">
        <f>G14-G15</f>
      </c>
    </row>
    <row r="17" spans="2:7" x14ac:dyDescent="0.25">
      <c r="B17" s="7" t="s">
        <v>177</v>
      </c>
      <c r="C17" s="17">
        <f>IF(INDEX(ASSUMPTIONS!$C$7:$E$7, 1, MATCH(ASSUMPTIONS!$C$2, ASSUMPTIONS!$C$4:$E$4, 0))=1, 0, MAX(0, C16 * INDEX(ASSUMPTIONS!$C$6:$E$6, 1, MATCH(ASSUMPTIONS!$C$2, ASSUMPTIONS!$C$4:$E$4, 0))))</f>
      </c>
      <c r="D17" s="17">
        <f>IF(INDEX(ASSUMPTIONS!$C$7:$E$7, 1, MATCH(ASSUMPTIONS!$C$2, ASSUMPTIONS!$C$4:$E$4, 0))=1, 0, MAX(0, D16 * INDEX(ASSUMPTIONS!$C$6:$E$6, 1, MATCH(ASSUMPTIONS!$C$2, ASSUMPTIONS!$C$4:$E$4, 0))))</f>
      </c>
      <c r="E17" s="17">
        <f>IF(INDEX(ASSUMPTIONS!$C$7:$E$7, 1, MATCH(ASSUMPTIONS!$C$2, ASSUMPTIONS!$C$4:$E$4, 0))=1, 0, MAX(0, E16 * INDEX(ASSUMPTIONS!$C$6:$E$6, 1, MATCH(ASSUMPTIONS!$C$2, ASSUMPTIONS!$C$4:$E$4, 0))))</f>
      </c>
      <c r="F17" s="17">
        <f>MAX(0, F16 * INDEX(ASSUMPTIONS!$C$6:$E$6, 1, MATCH(ASSUMPTIONS!$C$2, ASSUMPTIONS!$C$4:$E$4, 0)))</f>
      </c>
      <c r="G17" s="17">
        <f>MAX(0, G16 * INDEX(ASSUMPTIONS!$C$6:$E$6, 1, MATCH(ASSUMPTIONS!$C$2, ASSUMPTIONS!$C$4:$E$4, 0)))</f>
      </c>
    </row>
    <row r="18" spans="2:7" x14ac:dyDescent="0.25">
      <c r="B18" s="13" t="s">
        <v>178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</row>
    <row r="19" spans="2:7" x14ac:dyDescent="0.25">
      <c r="B19" s="13" t="s">
        <v>179</v>
      </c>
      <c r="C19" s="21">
        <f>IF(C6&gt;0, C18/C6, 0)</f>
      </c>
      <c r="D19" s="21">
        <f>IF(D6&gt;0, D18/D6, 0)</f>
      </c>
      <c r="E19" s="21">
        <f>IF(E6&gt;0, E18/E6, 0)</f>
      </c>
      <c r="F19" s="21">
        <f>IF(F6&gt;0, F18/F6, 0)</f>
      </c>
      <c r="G19" s="21">
        <f>IF(G6&gt;0, G18/G6, 0)</f>
      </c>
    </row>
    <row r="21" spans="2:7" x14ac:dyDescent="0.25">
      <c r="B21" s="6" t="s">
        <v>180</v>
      </c>
      <c r="C21" s="6"/>
      <c r="D21" s="6"/>
      <c r="E21" s="6"/>
      <c r="F21" s="6"/>
      <c r="G21" s="6"/>
    </row>
    <row r="22" spans="2:7" x14ac:dyDescent="0.25">
      <c r="B22" s="5" t="s">
        <v>4</v>
      </c>
      <c r="C22" s="5" t="s">
        <v>183</v>
      </c>
      <c r="D22" s="5" t="s">
        <v>184</v>
      </c>
      <c r="E22" s="5" t="s">
        <v>185</v>
      </c>
      <c r="F22" s="5" t="s">
        <v>186</v>
      </c>
      <c r="G22" s="5" t="s">
        <v>187</v>
      </c>
    </row>
    <row r="23" spans="2:7" x14ac:dyDescent="0.25">
      <c r="B23" s="7" t="s">
        <v>166</v>
      </c>
      <c r="C23" s="17">
        <v>1800000</v>
      </c>
      <c r="D23" s="17">
        <v>2160000</v>
      </c>
      <c r="E23" s="17">
        <v>2591999.9999999995</v>
      </c>
      <c r="F23" s="17">
        <v>3110400</v>
      </c>
      <c r="G23" s="17">
        <v>3732479.999999999</v>
      </c>
    </row>
    <row r="24" spans="2:7" x14ac:dyDescent="0.25">
      <c r="B24" s="7" t="s">
        <v>167</v>
      </c>
      <c r="C24" s="17">
        <v>540000</v>
      </c>
      <c r="D24" s="17">
        <v>648000</v>
      </c>
      <c r="E24" s="17">
        <v>777599.9999999998</v>
      </c>
      <c r="F24" s="17">
        <v>933120</v>
      </c>
      <c r="G24" s="17">
        <v>1119743.9999999998</v>
      </c>
    </row>
    <row r="25" spans="2:7" x14ac:dyDescent="0.25">
      <c r="B25" s="13" t="s">
        <v>168</v>
      </c>
      <c r="C25" s="19">
        <f>C23-C24</f>
      </c>
      <c r="D25" s="19">
        <f>D23-D24</f>
      </c>
      <c r="E25" s="19">
        <f>E23-E24</f>
      </c>
      <c r="F25" s="19">
        <f>F23-F24</f>
      </c>
      <c r="G25" s="19">
        <f>G23-G24</f>
      </c>
    </row>
    <row r="26" spans="2:7" x14ac:dyDescent="0.25">
      <c r="B26" s="7" t="s">
        <v>169</v>
      </c>
      <c r="C26" s="20">
        <f>IF(C23&gt;0, C25/C23, 0)</f>
      </c>
      <c r="D26" s="20">
        <f>IF(D23&gt;0, D25/D23, 0)</f>
      </c>
      <c r="E26" s="20">
        <f>IF(E23&gt;0, E25/E23, 0)</f>
      </c>
      <c r="F26" s="20">
        <f>IF(F23&gt;0, F25/F23, 0)</f>
      </c>
      <c r="G26" s="20">
        <f>IF(G23&gt;0, G25/G23, 0)</f>
      </c>
    </row>
    <row r="27" spans="2:7" x14ac:dyDescent="0.25">
      <c r="B27" s="7" t="s">
        <v>170</v>
      </c>
      <c r="C27" s="17">
        <v>180000</v>
      </c>
      <c r="D27" s="17">
        <v>216000</v>
      </c>
      <c r="E27" s="17">
        <v>259200</v>
      </c>
      <c r="F27" s="17">
        <v>311040</v>
      </c>
      <c r="G27" s="17">
        <v>373247.99999999994</v>
      </c>
    </row>
    <row r="28" spans="2:7" x14ac:dyDescent="0.25">
      <c r="B28" s="13" t="s">
        <v>171</v>
      </c>
      <c r="C28" s="19">
        <f>C25-C27</f>
      </c>
      <c r="D28" s="19">
        <f>D25-D27</f>
      </c>
      <c r="E28" s="19">
        <f>E25-E27</f>
      </c>
      <c r="F28" s="19">
        <f>F25-F27</f>
      </c>
      <c r="G28" s="19">
        <f>G25-G27</f>
      </c>
    </row>
    <row r="29" spans="2:7" x14ac:dyDescent="0.25">
      <c r="B29" s="7" t="s">
        <v>172</v>
      </c>
      <c r="C29" s="20">
        <f>IF(C23&gt;0, C28/C23, 0)</f>
      </c>
      <c r="D29" s="20">
        <f>IF(D23&gt;0, D28/D23, 0)</f>
      </c>
      <c r="E29" s="20">
        <f>IF(E23&gt;0, E28/E23, 0)</f>
      </c>
      <c r="F29" s="20">
        <f>IF(F23&gt;0, F28/F23, 0)</f>
      </c>
      <c r="G29" s="20">
        <f>IF(G23&gt;0, G28/G23, 0)</f>
      </c>
    </row>
    <row r="30" spans="2:7" x14ac:dyDescent="0.25">
      <c r="B30" s="7" t="s">
        <v>173</v>
      </c>
      <c r="C30" s="17">
        <v>500000</v>
      </c>
      <c r="D30" s="17">
        <v>500000</v>
      </c>
      <c r="E30" s="17">
        <v>500000</v>
      </c>
      <c r="F30" s="17">
        <v>500000</v>
      </c>
      <c r="G30" s="17">
        <v>500000</v>
      </c>
    </row>
    <row r="31" spans="2:7" x14ac:dyDescent="0.25">
      <c r="B31" s="13" t="s">
        <v>174</v>
      </c>
      <c r="C31" s="19">
        <f>C28-C30</f>
      </c>
      <c r="D31" s="19">
        <f>D28-D30</f>
      </c>
      <c r="E31" s="19">
        <f>E28-E30</f>
      </c>
      <c r="F31" s="19">
        <f>F28-F30</f>
      </c>
      <c r="G31" s="19">
        <f>G28-G30</f>
      </c>
    </row>
    <row r="32" spans="2:7" x14ac:dyDescent="0.25">
      <c r="B32" s="7" t="s">
        <v>175</v>
      </c>
      <c r="C32" s="17">
        <v>60000</v>
      </c>
      <c r="D32" s="17">
        <v>60000</v>
      </c>
      <c r="E32" s="17">
        <v>60000</v>
      </c>
      <c r="F32" s="17">
        <v>60000</v>
      </c>
      <c r="G32" s="17">
        <v>60000</v>
      </c>
    </row>
    <row r="33" spans="2:7" x14ac:dyDescent="0.25">
      <c r="B33" s="7" t="s">
        <v>176</v>
      </c>
      <c r="C33" s="19">
        <f>C31-C32</f>
      </c>
      <c r="D33" s="19">
        <f>D31-D32</f>
      </c>
      <c r="E33" s="19">
        <f>E31-E32</f>
      </c>
      <c r="F33" s="19">
        <f>F31-F32</f>
      </c>
      <c r="G33" s="19">
        <f>G31-G32</f>
      </c>
    </row>
    <row r="34" spans="2:7" x14ac:dyDescent="0.25">
      <c r="B34" s="7" t="s">
        <v>177</v>
      </c>
      <c r="C34" s="17">
        <f>IF(INDEX(ASSUMPTIONS!$C$7:$E$7, 1, MATCH(ASSUMPTIONS!$C$2, ASSUMPTIONS!$C$4:$E$4, 0))=1, 0, MAX(0, C33 * INDEX(ASSUMPTIONS!$C$6:$E$6, 1, MATCH(ASSUMPTIONS!$C$2, ASSUMPTIONS!$C$4:$E$4, 0))))</f>
      </c>
      <c r="D34" s="17">
        <f>IF(INDEX(ASSUMPTIONS!$C$7:$E$7, 1, MATCH(ASSUMPTIONS!$C$2, ASSUMPTIONS!$C$4:$E$4, 0))=1, 0, MAX(0, D33 * INDEX(ASSUMPTIONS!$C$6:$E$6, 1, MATCH(ASSUMPTIONS!$C$2, ASSUMPTIONS!$C$4:$E$4, 0))))</f>
      </c>
      <c r="E34" s="17">
        <f>IF(INDEX(ASSUMPTIONS!$C$7:$E$7, 1, MATCH(ASSUMPTIONS!$C$2, ASSUMPTIONS!$C$4:$E$4, 0))=1, 0, MAX(0, E33 * INDEX(ASSUMPTIONS!$C$6:$E$6, 1, MATCH(ASSUMPTIONS!$C$2, ASSUMPTIONS!$C$4:$E$4, 0))))</f>
      </c>
      <c r="F34" s="17">
        <f>MAX(0, F33 * INDEX(ASSUMPTIONS!$C$6:$E$6, 1, MATCH(ASSUMPTIONS!$C$2, ASSUMPTIONS!$C$4:$E$4, 0)))</f>
      </c>
      <c r="G34" s="17">
        <f>MAX(0, G33 * INDEX(ASSUMPTIONS!$C$6:$E$6, 1, MATCH(ASSUMPTIONS!$C$2, ASSUMPTIONS!$C$4:$E$4, 0)))</f>
      </c>
    </row>
    <row r="35" spans="2:7" x14ac:dyDescent="0.25">
      <c r="B35" s="13" t="s">
        <v>178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</row>
    <row r="36" spans="2:7" x14ac:dyDescent="0.25">
      <c r="B36" s="13" t="s">
        <v>179</v>
      </c>
      <c r="C36" s="21">
        <f>IF(C23&gt;0, C35/C23, 0)</f>
      </c>
      <c r="D36" s="21">
        <f>IF(D23&gt;0, D35/D23, 0)</f>
      </c>
      <c r="E36" s="21">
        <f>IF(E23&gt;0, E35/E23, 0)</f>
      </c>
      <c r="F36" s="21">
        <f>IF(F23&gt;0, F35/F23, 0)</f>
      </c>
      <c r="G36" s="21">
        <f>IF(G23&gt;0, G35/G23, 0)</f>
      </c>
    </row>
    <row r="38" spans="2:7" x14ac:dyDescent="0.25">
      <c r="B38" s="6" t="s">
        <v>181</v>
      </c>
      <c r="C38" s="6"/>
      <c r="D38" s="6"/>
      <c r="E38" s="6"/>
      <c r="F38" s="6"/>
      <c r="G38" s="6"/>
    </row>
    <row r="39" spans="2:7" x14ac:dyDescent="0.25">
      <c r="B39" s="5" t="s">
        <v>4</v>
      </c>
      <c r="C39" s="5" t="s">
        <v>183</v>
      </c>
      <c r="D39" s="5" t="s">
        <v>184</v>
      </c>
      <c r="E39" s="5" t="s">
        <v>185</v>
      </c>
      <c r="F39" s="5" t="s">
        <v>186</v>
      </c>
      <c r="G39" s="5" t="s">
        <v>187</v>
      </c>
    </row>
    <row r="40" spans="2:7" x14ac:dyDescent="0.25">
      <c r="B40" s="7" t="s">
        <v>166</v>
      </c>
      <c r="C40" s="17">
        <v>720000</v>
      </c>
      <c r="D40" s="17">
        <v>864000</v>
      </c>
      <c r="E40" s="17">
        <v>1036799.9999999998</v>
      </c>
      <c r="F40" s="17">
        <v>1244160</v>
      </c>
      <c r="G40" s="17">
        <v>1492991.9999999998</v>
      </c>
    </row>
    <row r="41" spans="2:7" x14ac:dyDescent="0.25">
      <c r="B41" s="7" t="s">
        <v>167</v>
      </c>
      <c r="C41" s="17">
        <v>216000</v>
      </c>
      <c r="D41" s="17">
        <v>259200</v>
      </c>
      <c r="E41" s="17">
        <v>311039.99999999994</v>
      </c>
      <c r="F41" s="17">
        <v>373248</v>
      </c>
      <c r="G41" s="17">
        <v>447897.5999999999</v>
      </c>
    </row>
    <row r="42" spans="2:7" x14ac:dyDescent="0.25">
      <c r="B42" s="13" t="s">
        <v>168</v>
      </c>
      <c r="C42" s="19">
        <f>C40-C41</f>
      </c>
      <c r="D42" s="19">
        <f>D40-D41</f>
      </c>
      <c r="E42" s="19">
        <f>E40-E41</f>
      </c>
      <c r="F42" s="19">
        <f>F40-F41</f>
      </c>
      <c r="G42" s="19">
        <f>G40-G41</f>
      </c>
    </row>
    <row r="43" spans="2:7" x14ac:dyDescent="0.25">
      <c r="B43" s="7" t="s">
        <v>169</v>
      </c>
      <c r="C43" s="20">
        <f>IF(C40&gt;0, C42/C40, 0)</f>
      </c>
      <c r="D43" s="20">
        <f>IF(D40&gt;0, D42/D40, 0)</f>
      </c>
      <c r="E43" s="20">
        <f>IF(E40&gt;0, E42/E40, 0)</f>
      </c>
      <c r="F43" s="20">
        <f>IF(F40&gt;0, F42/F40, 0)</f>
      </c>
      <c r="G43" s="20">
        <f>IF(G40&gt;0, G42/G40, 0)</f>
      </c>
    </row>
    <row r="44" spans="2:7" x14ac:dyDescent="0.25">
      <c r="B44" s="7" t="s">
        <v>170</v>
      </c>
      <c r="C44" s="17">
        <v>72000</v>
      </c>
      <c r="D44" s="17">
        <v>86400</v>
      </c>
      <c r="E44" s="17">
        <v>103680</v>
      </c>
      <c r="F44" s="17">
        <v>124416</v>
      </c>
      <c r="G44" s="17">
        <v>149299.19999999998</v>
      </c>
    </row>
    <row r="45" spans="2:7" x14ac:dyDescent="0.25">
      <c r="B45" s="13" t="s">
        <v>171</v>
      </c>
      <c r="C45" s="19">
        <f>C42-C44</f>
      </c>
      <c r="D45" s="19">
        <f>D42-D44</f>
      </c>
      <c r="E45" s="19">
        <f>E42-E44</f>
      </c>
      <c r="F45" s="19">
        <f>F42-F44</f>
      </c>
      <c r="G45" s="19">
        <f>G42-G44</f>
      </c>
    </row>
    <row r="46" spans="2:7" x14ac:dyDescent="0.25">
      <c r="B46" s="7" t="s">
        <v>172</v>
      </c>
      <c r="C46" s="20">
        <f>IF(C40&gt;0, C45/C40, 0)</f>
      </c>
      <c r="D46" s="20">
        <f>IF(D40&gt;0, D45/D40, 0)</f>
      </c>
      <c r="E46" s="20">
        <f>IF(E40&gt;0, E45/E40, 0)</f>
      </c>
      <c r="F46" s="20">
        <f>IF(F40&gt;0, F45/F40, 0)</f>
      </c>
      <c r="G46" s="20">
        <f>IF(G40&gt;0, G45/G40, 0)</f>
      </c>
    </row>
    <row r="47" spans="2:7" x14ac:dyDescent="0.25">
      <c r="B47" s="7" t="s">
        <v>173</v>
      </c>
      <c r="C47" s="17">
        <v>500000</v>
      </c>
      <c r="D47" s="17">
        <v>500000</v>
      </c>
      <c r="E47" s="17">
        <v>500000</v>
      </c>
      <c r="F47" s="17">
        <v>500000</v>
      </c>
      <c r="G47" s="17">
        <v>500000</v>
      </c>
    </row>
    <row r="48" spans="2:7" x14ac:dyDescent="0.25">
      <c r="B48" s="13" t="s">
        <v>174</v>
      </c>
      <c r="C48" s="19">
        <f>C45-C47</f>
      </c>
      <c r="D48" s="19">
        <f>D45-D47</f>
      </c>
      <c r="E48" s="19">
        <f>E45-E47</f>
      </c>
      <c r="F48" s="19">
        <f>F45-F47</f>
      </c>
      <c r="G48" s="19">
        <f>G45-G47</f>
      </c>
    </row>
    <row r="49" spans="2:7" x14ac:dyDescent="0.25">
      <c r="B49" s="7" t="s">
        <v>175</v>
      </c>
      <c r="C49" s="17">
        <v>60000</v>
      </c>
      <c r="D49" s="17">
        <v>60000</v>
      </c>
      <c r="E49" s="17">
        <v>60000</v>
      </c>
      <c r="F49" s="17">
        <v>60000</v>
      </c>
      <c r="G49" s="17">
        <v>60000</v>
      </c>
    </row>
    <row r="50" spans="2:7" x14ac:dyDescent="0.25">
      <c r="B50" s="7" t="s">
        <v>176</v>
      </c>
      <c r="C50" s="19">
        <f>C48-C49</f>
      </c>
      <c r="D50" s="19">
        <f>D48-D49</f>
      </c>
      <c r="E50" s="19">
        <f>E48-E49</f>
      </c>
      <c r="F50" s="19">
        <f>F48-F49</f>
      </c>
      <c r="G50" s="19">
        <f>G48-G49</f>
      </c>
    </row>
    <row r="51" spans="2:7" x14ac:dyDescent="0.25">
      <c r="B51" s="7" t="s">
        <v>177</v>
      </c>
      <c r="C51" s="17">
        <f>IF(INDEX(ASSUMPTIONS!$C$7:$E$7, 1, MATCH(ASSUMPTIONS!$C$2, ASSUMPTIONS!$C$4:$E$4, 0))=1, 0, MAX(0, C50 * INDEX(ASSUMPTIONS!$C$6:$E$6, 1, MATCH(ASSUMPTIONS!$C$2, ASSUMPTIONS!$C$4:$E$4, 0))))</f>
      </c>
      <c r="D51" s="17">
        <f>IF(INDEX(ASSUMPTIONS!$C$7:$E$7, 1, MATCH(ASSUMPTIONS!$C$2, ASSUMPTIONS!$C$4:$E$4, 0))=1, 0, MAX(0, D50 * INDEX(ASSUMPTIONS!$C$6:$E$6, 1, MATCH(ASSUMPTIONS!$C$2, ASSUMPTIONS!$C$4:$E$4, 0))))</f>
      </c>
      <c r="E51" s="17">
        <f>IF(INDEX(ASSUMPTIONS!$C$7:$E$7, 1, MATCH(ASSUMPTIONS!$C$2, ASSUMPTIONS!$C$4:$E$4, 0))=1, 0, MAX(0, E50 * INDEX(ASSUMPTIONS!$C$6:$E$6, 1, MATCH(ASSUMPTIONS!$C$2, ASSUMPTIONS!$C$4:$E$4, 0))))</f>
      </c>
      <c r="F51" s="17">
        <f>MAX(0, F50 * INDEX(ASSUMPTIONS!$C$6:$E$6, 1, MATCH(ASSUMPTIONS!$C$2, ASSUMPTIONS!$C$4:$E$4, 0)))</f>
      </c>
      <c r="G51" s="17">
        <f>MAX(0, G50 * INDEX(ASSUMPTIONS!$C$6:$E$6, 1, MATCH(ASSUMPTIONS!$C$2, ASSUMPTIONS!$C$4:$E$4, 0)))</f>
      </c>
    </row>
    <row r="52" spans="2:7" x14ac:dyDescent="0.25">
      <c r="B52" s="13" t="s">
        <v>178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</row>
    <row r="53" spans="2:7" x14ac:dyDescent="0.25">
      <c r="B53" s="13" t="s">
        <v>179</v>
      </c>
      <c r="C53" s="21">
        <f>IF(C40&gt;0, C52/C40, 0)</f>
      </c>
      <c r="D53" s="21">
        <f>IF(D40&gt;0, D52/D40, 0)</f>
      </c>
      <c r="E53" s="21">
        <f>IF(E40&gt;0, E52/E40, 0)</f>
      </c>
      <c r="F53" s="21">
        <f>IF(F40&gt;0, F52/F40, 0)</f>
      </c>
      <c r="G53" s="21">
        <f>IF(G40&gt;0, G52/G40, 0)</f>
      </c>
    </row>
  </sheetData>
  <mergeCells count="3">
    <mergeCell ref="B4:G4"/>
    <mergeCell ref="B21:G21"/>
    <mergeCell ref="B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FUNDING_REQUIREMENT</vt:lpstr>
      <vt:lpstr>SUBSCRIBER_FUNNEL</vt:lpstr>
      <vt:lpstr>REVENUE_ENGINE</vt:lpstr>
      <vt:lpstr>COGS_ENGINE</vt:lpstr>
      <vt:lpstr>HR_AND_OPEX</vt:lpstr>
      <vt:lpstr>CAPEX_AND_DEPRECIATION</vt:lpstr>
      <vt:lpstr>WORKING_CAPITAL</vt:lpstr>
      <vt:lpstr>MONTHLY_P_AND_L</vt:lpstr>
      <vt:lpstr>MONTHLY_CASH_FLOW</vt:lpstr>
      <vt:lpstr>QUARTERLY_SUMMARY</vt:lpstr>
      <vt:lpstr>YEARLY_SUMMARY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Wolf India</dc:creator>
  <dc:title/>
  <dc:subject/>
  <dc:description/>
  <cp:keywords/>
  <cp:category/>
  <cp:lastModifiedBy>Unknown</cp:lastModifiedBy>
  <dcterms:created xsi:type="dcterms:W3CDTF">2026-07-12T14:56:18Z</dcterms:created>
  <dcterms:modified xsi:type="dcterms:W3CDTF">2026-07-12T14:56:18Z</dcterms:modified>
</cp:coreProperties>
</file>