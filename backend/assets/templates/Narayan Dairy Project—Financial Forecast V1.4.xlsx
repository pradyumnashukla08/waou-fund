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FUNDING REQUIREMENT" sheetId="3" r:id="rId7"/>
    <sheet state="visible" name="MILK FLOW ENGINE" sheetId="4" r:id="rId8"/>
    <sheet state="visible" name="PRODUCT PRICING &amp; REVENUE ENGIN" sheetId="5" r:id="rId9"/>
    <sheet state="visible" name="COGS ENGINE" sheetId="6" r:id="rId10"/>
    <sheet state="visible" name="HR &amp; OPERATING EXPENSES" sheetId="7" r:id="rId11"/>
    <sheet state="visible" name="CAPEX &amp; DEPRECIATION" sheetId="8" r:id="rId12"/>
    <sheet state="visible" name="WORKING CAPITAL SCHEDULE" sheetId="9" r:id="rId13"/>
    <sheet state="visible" name="P&amp;L" sheetId="10" r:id="rId14"/>
    <sheet state="visible" name="CASH_FLOW" sheetId="11" r:id="rId15"/>
    <sheet state="visible" name="YEARLY_SUMMARY" sheetId="12" r:id="rId16"/>
  </sheets>
  <definedNames/>
  <calcPr/>
</workbook>
</file>

<file path=xl/sharedStrings.xml><?xml version="1.0" encoding="utf-8"?>
<sst xmlns="http://schemas.openxmlformats.org/spreadsheetml/2006/main" count="494" uniqueCount="303">
  <si>
    <t>Narayan Dairy Project</t>
  </si>
  <si>
    <t>Financial Model Worksheet</t>
  </si>
  <si>
    <t>FY2026 – FY 2030</t>
  </si>
  <si>
    <t>Assumptions</t>
  </si>
  <si>
    <t>Particular</t>
  </si>
  <si>
    <t>Worst</t>
  </si>
  <si>
    <t>Base</t>
  </si>
  <si>
    <t>Best</t>
  </si>
  <si>
    <t>Active</t>
  </si>
  <si>
    <t>Product</t>
  </si>
  <si>
    <t>Product Category</t>
  </si>
  <si>
    <t>Milk Allocation</t>
  </si>
  <si>
    <t>Scenario</t>
  </si>
  <si>
    <t>Scenario Control</t>
  </si>
  <si>
    <t>Fresh Milk Category</t>
  </si>
  <si>
    <t>Whole Milk</t>
  </si>
  <si>
    <t>Capacity Ramp</t>
  </si>
  <si>
    <t>Procured Milk Category</t>
  </si>
  <si>
    <t>Revenue Realisation</t>
  </si>
  <si>
    <t>Yogurt</t>
  </si>
  <si>
    <t>Value-added dairy</t>
  </si>
  <si>
    <t>Installed Capacity</t>
  </si>
  <si>
    <t>Thandai</t>
  </si>
  <si>
    <t>A2 Powder &amp; Ghee</t>
  </si>
  <si>
    <t>Premium products</t>
  </si>
  <si>
    <t>Effective Usable Capacity</t>
  </si>
  <si>
    <t>SMP &amp; Butter</t>
  </si>
  <si>
    <t>Downtime %</t>
  </si>
  <si>
    <t>Curd</t>
  </si>
  <si>
    <t>Spoilage %</t>
  </si>
  <si>
    <t>Peda</t>
  </si>
  <si>
    <t>Utilisation Ramp</t>
  </si>
  <si>
    <t>M1</t>
  </si>
  <si>
    <t>Conversion Ratios</t>
  </si>
  <si>
    <t>Packaging Cost</t>
  </si>
  <si>
    <t>M3</t>
  </si>
  <si>
    <t>M6</t>
  </si>
  <si>
    <t>M9</t>
  </si>
  <si>
    <t>M12</t>
  </si>
  <si>
    <t>Procured Milk</t>
  </si>
  <si>
    <t>SMP</t>
  </si>
  <si>
    <t>Procurement Inflation</t>
  </si>
  <si>
    <t>Butter</t>
  </si>
  <si>
    <t>Milk Sourcing</t>
  </si>
  <si>
    <t>A2 Powder</t>
  </si>
  <si>
    <t>Own Milk</t>
  </si>
  <si>
    <t>Ghee</t>
  </si>
  <si>
    <t>Volume litre per day per cow</t>
  </si>
  <si>
    <t>Cost per litre</t>
  </si>
  <si>
    <t>Feed Cost per Cow per Month</t>
  </si>
  <si>
    <t>Pricing</t>
  </si>
  <si>
    <t>MRP per litre</t>
  </si>
  <si>
    <t>Distributor Margin</t>
  </si>
  <si>
    <t>Retail Margin</t>
  </si>
  <si>
    <t>Sales Returns / Wastage</t>
  </si>
  <si>
    <t>Freight &amp; Distribution of Revenue</t>
  </si>
  <si>
    <t>Processing Cost</t>
  </si>
  <si>
    <t>Cost Inflation</t>
  </si>
  <si>
    <t>Milk Procurement</t>
  </si>
  <si>
    <t>Packaging</t>
  </si>
  <si>
    <t>Feed</t>
  </si>
  <si>
    <t>Salaries</t>
  </si>
  <si>
    <t>Freight</t>
  </si>
  <si>
    <t>Distribution</t>
  </si>
  <si>
    <t>Y1</t>
  </si>
  <si>
    <t>Y2</t>
  </si>
  <si>
    <t>Y3</t>
  </si>
  <si>
    <t>Distributors</t>
  </si>
  <si>
    <t>Retail Outlets</t>
  </si>
  <si>
    <t>Throughput/Outlet</t>
  </si>
  <si>
    <t>Working Capital</t>
  </si>
  <si>
    <t>Receivable Days</t>
  </si>
  <si>
    <t>Inventory Days</t>
  </si>
  <si>
    <t>Payable Days</t>
  </si>
  <si>
    <t>Livestock Engine</t>
  </si>
  <si>
    <t>Investor-funded Livestock</t>
  </si>
  <si>
    <t>Procurement Volume litre per month - M7 to M24</t>
  </si>
  <si>
    <t>Initial Accrual Expansion</t>
  </si>
  <si>
    <t>Procurement Volume litre per month - M25 to M36</t>
  </si>
  <si>
    <t>Expansion timeline</t>
  </si>
  <si>
    <t>24 months</t>
  </si>
  <si>
    <t>Procurement Volume litre per month - M37 to M60</t>
  </si>
  <si>
    <t>Total Target Livestock</t>
  </si>
  <si>
    <t>Annual Price Increase</t>
  </si>
  <si>
    <t>Miscellaneous</t>
  </si>
  <si>
    <t>Milk</t>
  </si>
  <si>
    <t>Processing Loss</t>
  </si>
  <si>
    <t>Utilities</t>
  </si>
  <si>
    <t>Tax</t>
  </si>
  <si>
    <t>Channel Mix / Year</t>
  </si>
  <si>
    <t>Distributor Retail</t>
  </si>
  <si>
    <t>D2C</t>
  </si>
  <si>
    <t>Funding Assumptions</t>
  </si>
  <si>
    <t>Value</t>
  </si>
  <si>
    <t>Value (₹)</t>
  </si>
  <si>
    <t>Total funding raised</t>
  </si>
  <si>
    <t>Part 1 - First 2 months</t>
  </si>
  <si>
    <t>Part 2 - Next 1 month</t>
  </si>
  <si>
    <t>Part 3 - Next 3 months</t>
  </si>
  <si>
    <t>Funding Requirement</t>
  </si>
  <si>
    <t>Name</t>
  </si>
  <si>
    <t>Amount (₹)</t>
  </si>
  <si>
    <t>Part 1</t>
  </si>
  <si>
    <t>Land</t>
  </si>
  <si>
    <t>Baundary wall - 400/ Sqft* 28160 sqft</t>
  </si>
  <si>
    <t>Borwell &amp; Water Testing</t>
  </si>
  <si>
    <t>Shed Construction - 400/ Sqft* 28160 sqft</t>
  </si>
  <si>
    <t>Stamp Duty Advocate Fees &amp; Pollution NOC</t>
  </si>
  <si>
    <t>Bank Deposit</t>
  </si>
  <si>
    <t>Leveling &amp; Compressing</t>
  </si>
  <si>
    <t>Part 1 Total</t>
  </si>
  <si>
    <t>Part 2</t>
  </si>
  <si>
    <t>Plant &amp; Building (Civil Work)</t>
  </si>
  <si>
    <t>Machinery Advnace</t>
  </si>
  <si>
    <t>Cow Mat</t>
  </si>
  <si>
    <t>Livestock Purchase</t>
  </si>
  <si>
    <t>Solar System</t>
  </si>
  <si>
    <t>Trasportation Vechile</t>
  </si>
  <si>
    <t>Salary</t>
  </si>
  <si>
    <t>Part 2 Total</t>
  </si>
  <si>
    <t>Part 3</t>
  </si>
  <si>
    <t>Plant &amp; Machinery Dileviring &amp; Erection</t>
  </si>
  <si>
    <t>Appartment Cart</t>
  </si>
  <si>
    <t>Livestock</t>
  </si>
  <si>
    <t>Part 3 Total</t>
  </si>
  <si>
    <t>Total</t>
  </si>
  <si>
    <t>Milk Flow Engine</t>
  </si>
  <si>
    <t>Particulars / Month</t>
  </si>
  <si>
    <t>Section A – Milk Input</t>
  </si>
  <si>
    <t>Own Livestock (units)</t>
  </si>
  <si>
    <t>Avg Yield per Cow per Day (litre)</t>
  </si>
  <si>
    <t>Own Milk Production (litre)</t>
  </si>
  <si>
    <t>Procured Milk (litre)</t>
  </si>
  <si>
    <t>Section B – Operational Losses</t>
  </si>
  <si>
    <t>Spoilage - Own Milk Production (litre)</t>
  </si>
  <si>
    <t>Total Own Milk Available (litre)</t>
  </si>
  <si>
    <t>Processing Loss - Procured Milk (litre)</t>
  </si>
  <si>
    <t>Spoilage - Procured Milk (litre)</t>
  </si>
  <si>
    <t>Total Procured Milk Available (litre)</t>
  </si>
  <si>
    <t>Section C – Product Allocation</t>
  </si>
  <si>
    <t>Fresh Milk</t>
  </si>
  <si>
    <t>A2</t>
  </si>
  <si>
    <t>Section C – Conversion Engine</t>
  </si>
  <si>
    <t>Product Pricing &amp; Revenue Engine</t>
  </si>
  <si>
    <t>Unit</t>
  </si>
  <si>
    <t>MRP</t>
  </si>
  <si>
    <t>Wholesale Rate</t>
  </si>
  <si>
    <t>Section A – Product Master</t>
  </si>
  <si>
    <t>Per Litre</t>
  </si>
  <si>
    <t>Per Kg</t>
  </si>
  <si>
    <t>Product / Year</t>
  </si>
  <si>
    <t>Section A – Price Escalation Factor Schedule</t>
  </si>
  <si>
    <t>Product / Month / Year</t>
  </si>
  <si>
    <t>Section B – Sellable Quantity</t>
  </si>
  <si>
    <t>Section C – Revenue</t>
  </si>
  <si>
    <t>Section E – Total Revenue</t>
  </si>
  <si>
    <t>COGS Engine</t>
  </si>
  <si>
    <t>Section B – Salary Escalation Factor Schedule</t>
  </si>
  <si>
    <t>Section A – Raw Milk Cost</t>
  </si>
  <si>
    <t>Own Livestock</t>
  </si>
  <si>
    <t>Own Milk Volume</t>
  </si>
  <si>
    <t>Own Milk Cost per Litre</t>
  </si>
  <si>
    <t>Own Milk Total Cost</t>
  </si>
  <si>
    <t>Procured Milk Volume</t>
  </si>
  <si>
    <t>Procured Milk Cost per Litre</t>
  </si>
  <si>
    <t>Procured Milk Total Cost</t>
  </si>
  <si>
    <t>Section B – Packaging Cost</t>
  </si>
  <si>
    <t xml:space="preserve"> </t>
  </si>
  <si>
    <t>Section C – Feed Cost</t>
  </si>
  <si>
    <t>Section D – Freight &amp; Distribution</t>
  </si>
  <si>
    <t>Section E – Processing Cost</t>
  </si>
  <si>
    <t>Section F – Utilities</t>
  </si>
  <si>
    <t>Section G – Total COGS</t>
  </si>
  <si>
    <t>Section H – Gross Profit</t>
  </si>
  <si>
    <t>Section I – Gross Margin %</t>
  </si>
  <si>
    <t>HR &amp; Operating Expenses</t>
  </si>
  <si>
    <t>Expense</t>
  </si>
  <si>
    <t>Role</t>
  </si>
  <si>
    <t>Headcount</t>
  </si>
  <si>
    <t>Avg Monthly Salary</t>
  </si>
  <si>
    <t>Monthly Cost</t>
  </si>
  <si>
    <t>Start Month</t>
  </si>
  <si>
    <t>Section A – HR Cost</t>
  </si>
  <si>
    <t>Lease</t>
  </si>
  <si>
    <t>Management</t>
  </si>
  <si>
    <t>General Manager</t>
  </si>
  <si>
    <t>Plant Operations</t>
  </si>
  <si>
    <t>Shift Manager</t>
  </si>
  <si>
    <t>Quality Control</t>
  </si>
  <si>
    <t>Chemist</t>
  </si>
  <si>
    <t>Microbiologist</t>
  </si>
  <si>
    <t>Process Operator</t>
  </si>
  <si>
    <t>Powder Plant Operator</t>
  </si>
  <si>
    <t>Poly Pack Operator</t>
  </si>
  <si>
    <t>Ghee &amp; Butter Operator</t>
  </si>
  <si>
    <t>Admin</t>
  </si>
  <si>
    <t>Reception Supervisor</t>
  </si>
  <si>
    <t>Logistics</t>
  </si>
  <si>
    <t>Dispatch</t>
  </si>
  <si>
    <t>Support Staff</t>
  </si>
  <si>
    <t>Unskilled Labour</t>
  </si>
  <si>
    <t>Maintenance</t>
  </si>
  <si>
    <t>Fitter/Welder/Electrician</t>
  </si>
  <si>
    <t>Sweeper</t>
  </si>
  <si>
    <t>Security</t>
  </si>
  <si>
    <t>Security Staff</t>
  </si>
  <si>
    <t>Accounts</t>
  </si>
  <si>
    <t>Farm Operations</t>
  </si>
  <si>
    <t>Veterinary Doctor</t>
  </si>
  <si>
    <t>Skilled Farm Supervisor</t>
  </si>
  <si>
    <t>Salary Inflation</t>
  </si>
  <si>
    <t>Section B – HR &amp; Operating Schedule</t>
  </si>
  <si>
    <t>Total HR Cost</t>
  </si>
  <si>
    <t>Capex &amp; Depreciation</t>
  </si>
  <si>
    <t>Asset Category</t>
  </si>
  <si>
    <t>Amount</t>
  </si>
  <si>
    <t>Phase</t>
  </si>
  <si>
    <t>Useful Life</t>
  </si>
  <si>
    <t>Depreciation</t>
  </si>
  <si>
    <t>Phase 1</t>
  </si>
  <si>
    <t>Boundary Wall</t>
  </si>
  <si>
    <t>Borewell &amp; Water Testing</t>
  </si>
  <si>
    <t>Shed Construction 1</t>
  </si>
  <si>
    <t>Stamp Duty &amp; Legal</t>
  </si>
  <si>
    <t>Land Levelling</t>
  </si>
  <si>
    <t>Plant &amp; Civil Work</t>
  </si>
  <si>
    <t>Phase 2</t>
  </si>
  <si>
    <t>Machinery Advance</t>
  </si>
  <si>
    <t>Cow Mats</t>
  </si>
  <si>
    <t>Livestock Batch 1</t>
  </si>
  <si>
    <t>Transport Vehicles</t>
  </si>
  <si>
    <t>Plant &amp; Machinery Final</t>
  </si>
  <si>
    <t>Phase 3</t>
  </si>
  <si>
    <t>Apartment Cart</t>
  </si>
  <si>
    <t>Livestock Batch 2</t>
  </si>
  <si>
    <t>Transport Vehicles Batch 2</t>
  </si>
  <si>
    <t>Shed Construction 2</t>
  </si>
  <si>
    <t>Asset</t>
  </si>
  <si>
    <t>Section A – Monthly Depreciation Schedule</t>
  </si>
  <si>
    <t>Total Depreciation</t>
  </si>
  <si>
    <t>Section B – Monthly Capex Schedule</t>
  </si>
  <si>
    <t>Total Capex</t>
  </si>
  <si>
    <t>Working Capital Schedule</t>
  </si>
  <si>
    <t>Total Revenue</t>
  </si>
  <si>
    <t>Receivables Formula</t>
  </si>
  <si>
    <t>Total COGS</t>
  </si>
  <si>
    <t>Inventory Formula</t>
  </si>
  <si>
    <t>Payables Days</t>
  </si>
  <si>
    <t>Payables Formula</t>
  </si>
  <si>
    <t>Net Working Capital</t>
  </si>
  <si>
    <t>Change in Working Capital</t>
  </si>
  <si>
    <t>Profit &amp; Loss Statement</t>
  </si>
  <si>
    <t>Month</t>
  </si>
  <si>
    <t>1.</t>
  </si>
  <si>
    <t>2.</t>
  </si>
  <si>
    <t>3.</t>
  </si>
  <si>
    <t>Gross Profit</t>
  </si>
  <si>
    <t>A.</t>
  </si>
  <si>
    <t>Gross Margin %</t>
  </si>
  <si>
    <t>4.</t>
  </si>
  <si>
    <t>Total Operating Expenses</t>
  </si>
  <si>
    <t>5.</t>
  </si>
  <si>
    <t>EBITDA</t>
  </si>
  <si>
    <t>B.</t>
  </si>
  <si>
    <t>EBITDA %</t>
  </si>
  <si>
    <t>6.</t>
  </si>
  <si>
    <t>Depreciation &amp; Amortisation</t>
  </si>
  <si>
    <t>7.</t>
  </si>
  <si>
    <t>EBIT</t>
  </si>
  <si>
    <t>8.</t>
  </si>
  <si>
    <t>Interest</t>
  </si>
  <si>
    <t>9.</t>
  </si>
  <si>
    <t>PBT</t>
  </si>
  <si>
    <t>10.</t>
  </si>
  <si>
    <t>Taxes</t>
  </si>
  <si>
    <t>11.</t>
  </si>
  <si>
    <t>PAT</t>
  </si>
  <si>
    <t>C.</t>
  </si>
  <si>
    <t>PAT %</t>
  </si>
  <si>
    <t>* Taxes assumed at a blended effective rate; final liability subject to juristiction and incentives.</t>
  </si>
  <si>
    <t>Cash Flow Statement</t>
  </si>
  <si>
    <t>Operating Cash Flow</t>
  </si>
  <si>
    <t>Net Profit / (Loss)</t>
  </si>
  <si>
    <t>Add: Depreciation</t>
  </si>
  <si>
    <t>Add / Less: Change in Working Capital</t>
  </si>
  <si>
    <t>Net Operating Cash Flow</t>
  </si>
  <si>
    <t>Investing Cash Flow</t>
  </si>
  <si>
    <t>Capital Expenditure (Capex)</t>
  </si>
  <si>
    <t>Net Investing Cash Flow</t>
  </si>
  <si>
    <t>Financing Cash Flow</t>
  </si>
  <si>
    <t>Equity Funding Received</t>
  </si>
  <si>
    <t>Net Financing Cash Flow</t>
  </si>
  <si>
    <t>D.</t>
  </si>
  <si>
    <t>Cash Position</t>
  </si>
  <si>
    <t>Net Cash Movement</t>
  </si>
  <si>
    <t>Opening Cash Balance</t>
  </si>
  <si>
    <t>Closing Cash Balance</t>
  </si>
  <si>
    <t>Annual Summary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</si>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</sst>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d\,\ yyyy"/>
    <numFmt numFmtId="165" formatCode="[$₹]#,##0.00"/>
    <numFmt numFmtId="166" formatCode="_ [$₹-4009]\ * #,##0.00_ ;_ [$₹-4009]\ * \-#,##0.00_ ;_ [$₹-4009]\ * &quot;-&quot;??_ ;_ @_ "/>
  </numFmts>
  <fonts count="20">
    <font>
      <sz val="10.0"/>
      <color rgb="FF000000"/>
      <name val="Arial"/>
      <scheme val="minor"/>
    </font>
    <font>
      <b/>
      <sz val="28.0"/>
      <color rgb="FF008ED6"/>
      <name val="Arial"/>
    </font>
    <font>
      <sz val="14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28.0"/>
      <color theme="1"/>
      <name val="Arial"/>
    </font>
    <font>
      <b/>
      <sz val="12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u/>
      <sz val="10.0"/>
      <color theme="1"/>
      <name val="Arial"/>
    </font>
    <font>
      <b/>
      <sz val="28.0"/>
      <color rgb="FF000000"/>
      <name val="Arial"/>
    </font>
    <font>
      <b/>
      <u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000000"/>
      <name val="Arial"/>
    </font>
    <font>
      <b/>
      <sz val="11.0"/>
      <color rgb="FF000000"/>
      <name val="&quot;Aptos Narrow&quot;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2F6C"/>
        <bgColor rgb="FF002F6C"/>
      </patternFill>
    </fill>
    <fill>
      <patternFill patternType="solid">
        <fgColor rgb="FF009966"/>
        <bgColor rgb="FF009966"/>
      </patternFill>
    </fill>
  </fills>
  <borders count="26">
    <border/>
    <border>
      <left/>
      <right/>
      <top/>
      <bottom/>
    </border>
    <border>
      <left/>
      <right/>
      <top/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left" shrinkToFit="0" wrapText="0"/>
    </xf>
    <xf borderId="1" fillId="2" fontId="3" numFmtId="0" xfId="0" applyBorder="1" applyFill="1" applyFont="1"/>
    <xf borderId="1" fillId="2" fontId="2" numFmtId="0" xfId="0" applyBorder="1" applyFont="1"/>
    <xf borderId="1" fillId="2" fontId="4" numFmtId="0" xfId="0" applyBorder="1" applyFont="1"/>
    <xf borderId="2" fillId="2" fontId="3" numFmtId="0" xfId="0" applyBorder="1" applyFont="1"/>
    <xf borderId="0" fillId="0" fontId="5" numFmtId="2" xfId="0" applyFont="1" applyNumberFormat="1"/>
    <xf borderId="0" fillId="0" fontId="3" numFmtId="2" xfId="0" applyFont="1" applyNumberFormat="1"/>
    <xf borderId="0" fillId="0" fontId="6" numFmtId="2" xfId="0" applyFont="1" applyNumberFormat="1"/>
    <xf borderId="3" fillId="0" fontId="3" numFmtId="2" xfId="0" applyBorder="1" applyFont="1" applyNumberFormat="1"/>
    <xf borderId="4" fillId="3" fontId="7" numFmtId="2" xfId="0" applyAlignment="1" applyBorder="1" applyFill="1" applyFont="1" applyNumberFormat="1">
      <alignment horizontal="center"/>
    </xf>
    <xf borderId="5" fillId="3" fontId="7" numFmtId="2" xfId="0" applyAlignment="1" applyBorder="1" applyFont="1" applyNumberFormat="1">
      <alignment horizontal="center"/>
    </xf>
    <xf borderId="6" fillId="3" fontId="7" numFmtId="2" xfId="0" applyAlignment="1" applyBorder="1" applyFont="1" applyNumberFormat="1">
      <alignment horizontal="center"/>
    </xf>
    <xf borderId="7" fillId="3" fontId="7" numFmtId="2" xfId="0" applyAlignment="1" applyBorder="1" applyFont="1" applyNumberFormat="1">
      <alignment horizontal="center"/>
    </xf>
    <xf borderId="3" fillId="3" fontId="7" numFmtId="2" xfId="0" applyAlignment="1" applyBorder="1" applyFont="1" applyNumberFormat="1">
      <alignment horizontal="center"/>
    </xf>
    <xf borderId="8" fillId="3" fontId="7" numFmtId="2" xfId="0" applyAlignment="1" applyBorder="1" applyFont="1" applyNumberFormat="1">
      <alignment horizontal="center"/>
    </xf>
    <xf borderId="9" fillId="4" fontId="3" numFmtId="2" xfId="0" applyBorder="1" applyFill="1" applyFont="1" applyNumberFormat="1"/>
    <xf borderId="1" fillId="4" fontId="3" numFmtId="2" xfId="0" applyBorder="1" applyFont="1" applyNumberFormat="1"/>
    <xf borderId="10" fillId="4" fontId="3" numFmtId="2" xfId="0" applyBorder="1" applyFont="1" applyNumberFormat="1"/>
    <xf borderId="11" fillId="4" fontId="3" numFmtId="2" xfId="0" applyBorder="1" applyFont="1" applyNumberFormat="1"/>
    <xf borderId="0" fillId="4" fontId="3" numFmtId="2" xfId="0" applyFont="1" applyNumberFormat="1"/>
    <xf borderId="12" fillId="4" fontId="3" numFmtId="2" xfId="0" applyBorder="1" applyFont="1" applyNumberFormat="1"/>
    <xf borderId="9" fillId="3" fontId="3" numFmtId="2" xfId="0" applyBorder="1" applyFont="1" applyNumberFormat="1"/>
    <xf borderId="1" fillId="3" fontId="3" numFmtId="2" xfId="0" applyBorder="1" applyFont="1" applyNumberFormat="1"/>
    <xf borderId="10" fillId="3" fontId="3" numFmtId="2" xfId="0" applyBorder="1" applyFont="1" applyNumberFormat="1"/>
    <xf borderId="11" fillId="3" fontId="3" numFmtId="2" xfId="0" applyBorder="1" applyFont="1" applyNumberFormat="1"/>
    <xf borderId="0" fillId="3" fontId="3" numFmtId="2" xfId="0" applyFont="1" applyNumberFormat="1"/>
    <xf borderId="12" fillId="3" fontId="3" numFmtId="2" xfId="0" applyBorder="1" applyFont="1" applyNumberFormat="1"/>
    <xf borderId="11" fillId="0" fontId="8" numFmtId="0" xfId="0" applyBorder="1" applyFont="1"/>
    <xf borderId="0" fillId="0" fontId="3" numFmtId="0" xfId="0" applyFont="1"/>
    <xf borderId="12" fillId="0" fontId="3" numFmtId="0" xfId="0" applyBorder="1" applyFont="1"/>
    <xf borderId="11" fillId="0" fontId="8" numFmtId="2" xfId="0" applyBorder="1" applyFont="1" applyNumberFormat="1"/>
    <xf borderId="12" fillId="0" fontId="3" numFmtId="10" xfId="0" applyAlignment="1" applyBorder="1" applyFont="1" applyNumberFormat="1">
      <alignment horizontal="right"/>
    </xf>
    <xf borderId="13" fillId="0" fontId="3" numFmtId="2" xfId="0" applyAlignment="1" applyBorder="1" applyFont="1" applyNumberFormat="1">
      <alignment readingOrder="0"/>
    </xf>
    <xf borderId="11" fillId="0" fontId="3" numFmtId="2" xfId="0" applyBorder="1" applyFont="1" applyNumberFormat="1"/>
    <xf borderId="0" fillId="0" fontId="3" numFmtId="10" xfId="0" applyAlignment="1" applyFont="1" applyNumberFormat="1">
      <alignment horizontal="right"/>
    </xf>
    <xf borderId="11" fillId="0" fontId="9" numFmtId="0" xfId="0" applyBorder="1" applyFont="1"/>
    <xf borderId="12" fillId="0" fontId="10" numFmtId="0" xfId="0" applyBorder="1" applyFont="1"/>
    <xf borderId="12" fillId="0" fontId="10" numFmtId="10" xfId="0" applyAlignment="1" applyBorder="1" applyFont="1" applyNumberFormat="1">
      <alignment horizontal="right" vertical="bottom"/>
    </xf>
    <xf borderId="12" fillId="0" fontId="3" numFmtId="2" xfId="0" applyBorder="1" applyFont="1" applyNumberFormat="1"/>
    <xf borderId="0" fillId="0" fontId="3" numFmtId="1" xfId="0" applyAlignment="1" applyFont="1" applyNumberFormat="1">
      <alignment horizontal="right"/>
    </xf>
    <xf borderId="12" fillId="0" fontId="3" numFmtId="1" xfId="0" applyAlignment="1" applyBorder="1" applyFont="1" applyNumberFormat="1">
      <alignment horizontal="right"/>
    </xf>
    <xf borderId="11" fillId="0" fontId="10" numFmtId="2" xfId="0" applyAlignment="1" applyBorder="1" applyFont="1" applyNumberFormat="1">
      <alignment vertical="bottom"/>
    </xf>
    <xf borderId="0" fillId="0" fontId="10" numFmtId="9" xfId="0" applyFont="1" applyNumberFormat="1"/>
    <xf borderId="0" fillId="0" fontId="3" numFmtId="9" xfId="0" applyAlignment="1" applyFont="1" applyNumberFormat="1">
      <alignment horizontal="right"/>
    </xf>
    <xf borderId="12" fillId="0" fontId="3" numFmtId="9" xfId="0" applyAlignment="1" applyBorder="1" applyFont="1" applyNumberFormat="1">
      <alignment horizontal="right"/>
    </xf>
    <xf borderId="14" fillId="0" fontId="3" numFmtId="2" xfId="0" applyBorder="1" applyFont="1" applyNumberFormat="1"/>
    <xf borderId="15" fillId="0" fontId="3" numFmtId="0" xfId="0" applyBorder="1" applyFont="1"/>
    <xf borderId="16" fillId="0" fontId="10" numFmtId="10" xfId="0" applyAlignment="1" applyBorder="1" applyFont="1" applyNumberFormat="1">
      <alignment horizontal="right" vertical="bottom"/>
    </xf>
    <xf borderId="0" fillId="0" fontId="3" numFmtId="9" xfId="0" applyFont="1" applyNumberFormat="1"/>
    <xf borderId="12" fillId="0" fontId="3" numFmtId="9" xfId="0" applyBorder="1" applyFont="1" applyNumberFormat="1"/>
    <xf borderId="0" fillId="0" fontId="3" numFmtId="2" xfId="0" applyAlignment="1" applyFont="1" applyNumberFormat="1">
      <alignment horizontal="right"/>
    </xf>
    <xf borderId="12" fillId="0" fontId="3" numFmtId="2" xfId="0" applyAlignment="1" applyBorder="1" applyFont="1" applyNumberFormat="1">
      <alignment horizontal="right"/>
    </xf>
    <xf borderId="17" fillId="3" fontId="7" numFmtId="2" xfId="0" applyAlignment="1" applyBorder="1" applyFont="1" applyNumberFormat="1">
      <alignment horizontal="center"/>
    </xf>
    <xf borderId="0" fillId="0" fontId="3" numFmtId="10" xfId="0" applyFont="1" applyNumberFormat="1"/>
    <xf borderId="12" fillId="0" fontId="3" numFmtId="10" xfId="0" applyBorder="1" applyFont="1" applyNumberFormat="1"/>
    <xf borderId="11" fillId="0" fontId="3" numFmtId="0" xfId="0" applyBorder="1" applyFont="1"/>
    <xf borderId="0" fillId="0" fontId="10" numFmtId="10" xfId="0" applyAlignment="1" applyFont="1" applyNumberFormat="1">
      <alignment horizontal="right" vertical="bottom"/>
    </xf>
    <xf borderId="11" fillId="0" fontId="11" numFmtId="2" xfId="0" applyBorder="1" applyFont="1" applyNumberFormat="1"/>
    <xf borderId="0" fillId="0" fontId="3" numFmtId="1" xfId="0" applyFont="1" applyNumberFormat="1"/>
    <xf borderId="12" fillId="0" fontId="3" numFmtId="1" xfId="0" applyBorder="1" applyFont="1" applyNumberFormat="1"/>
    <xf borderId="15" fillId="0" fontId="10" numFmtId="10" xfId="0" applyAlignment="1" applyBorder="1" applyFont="1" applyNumberFormat="1">
      <alignment horizontal="right" vertical="bottom"/>
    </xf>
    <xf borderId="16" fillId="0" fontId="3" numFmtId="10" xfId="0" applyBorder="1" applyFont="1" applyNumberFormat="1"/>
    <xf borderId="0" fillId="0" fontId="3" numFmtId="4" xfId="0" applyFont="1" applyNumberFormat="1"/>
    <xf borderId="12" fillId="0" fontId="3" numFmtId="4" xfId="0" applyBorder="1" applyFont="1" applyNumberFormat="1"/>
    <xf borderId="0" fillId="0" fontId="8" numFmtId="0" xfId="0" applyFont="1"/>
    <xf borderId="0" fillId="0" fontId="3" numFmtId="0" xfId="0" applyAlignment="1" applyFont="1">
      <alignment horizontal="right"/>
    </xf>
    <xf borderId="12" fillId="0" fontId="3" numFmtId="0" xfId="0" applyAlignment="1" applyBorder="1" applyFont="1">
      <alignment horizontal="right"/>
    </xf>
    <xf borderId="15" fillId="0" fontId="3" numFmtId="0" xfId="0" applyAlignment="1" applyBorder="1" applyFont="1">
      <alignment horizontal="right"/>
    </xf>
    <xf borderId="16" fillId="0" fontId="3" numFmtId="0" xfId="0" applyAlignment="1" applyBorder="1" applyFont="1">
      <alignment horizontal="right"/>
    </xf>
    <xf borderId="7" fillId="0" fontId="8" numFmtId="0" xfId="0" applyBorder="1" applyFont="1"/>
    <xf borderId="8" fillId="0" fontId="3" numFmtId="9" xfId="0" applyBorder="1" applyFont="1" applyNumberFormat="1"/>
    <xf borderId="7" fillId="0" fontId="8" numFmtId="2" xfId="0" applyBorder="1" applyFont="1" applyNumberFormat="1"/>
    <xf borderId="11" fillId="0" fontId="3" numFmtId="2" xfId="0" applyAlignment="1" applyBorder="1" applyFont="1" applyNumberFormat="1">
      <alignment shrinkToFit="0" wrapText="1"/>
    </xf>
    <xf borderId="0" fillId="0" fontId="8" numFmtId="2" xfId="0" applyFont="1" applyNumberFormat="1"/>
    <xf borderId="0" fillId="0" fontId="3" numFmtId="2" xfId="0" applyAlignment="1" applyFont="1" applyNumberFormat="1">
      <alignment shrinkToFit="0" wrapText="1"/>
    </xf>
    <xf borderId="11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11" fillId="0" fontId="10" numFmtId="0" xfId="0" applyAlignment="1" applyBorder="1" applyFont="1">
      <alignment shrinkToFit="0" wrapText="1"/>
    </xf>
    <xf borderId="12" fillId="0" fontId="10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3" numFmtId="10" xfId="0" applyAlignment="1" applyFont="1" applyNumberFormat="1">
      <alignment shrinkToFit="0" wrapText="1"/>
    </xf>
    <xf borderId="12" fillId="0" fontId="3" numFmtId="0" xfId="0" applyAlignment="1" applyBorder="1" applyFont="1">
      <alignment shrinkToFit="0" wrapText="1"/>
    </xf>
    <xf borderId="14" fillId="0" fontId="3" numFmtId="0" xfId="0" applyBorder="1" applyFont="1"/>
    <xf borderId="16" fillId="0" fontId="3" numFmtId="9" xfId="0" applyAlignment="1" applyBorder="1" applyFont="1" applyNumberFormat="1">
      <alignment horizontal="right"/>
    </xf>
    <xf borderId="16" fillId="0" fontId="3" numFmtId="9" xfId="0" applyBorder="1" applyFont="1" applyNumberFormat="1"/>
    <xf borderId="4" fillId="3" fontId="7" numFmtId="1" xfId="0" applyAlignment="1" applyBorder="1" applyFont="1" applyNumberFormat="1">
      <alignment horizontal="center"/>
    </xf>
    <xf borderId="15" fillId="0" fontId="3" numFmtId="9" xfId="0" applyAlignment="1" applyBorder="1" applyFont="1" applyNumberFormat="1">
      <alignment horizontal="right"/>
    </xf>
    <xf borderId="12" fillId="0" fontId="3" numFmtId="165" xfId="0" applyAlignment="1" applyBorder="1" applyFont="1" applyNumberFormat="1">
      <alignment horizontal="right"/>
    </xf>
    <xf borderId="16" fillId="0" fontId="3" numFmtId="165" xfId="0" applyAlignment="1" applyBorder="1" applyFont="1" applyNumberFormat="1">
      <alignment horizontal="right"/>
    </xf>
    <xf borderId="0" fillId="0" fontId="3" numFmtId="165" xfId="0" applyFont="1" applyNumberFormat="1"/>
    <xf borderId="0" fillId="0" fontId="12" numFmtId="2" xfId="0" applyFont="1" applyNumberFormat="1"/>
    <xf borderId="0" fillId="0" fontId="3" numFmtId="2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9" fillId="4" fontId="7" numFmtId="2" xfId="0" applyBorder="1" applyFont="1" applyNumberFormat="1"/>
    <xf borderId="10" fillId="4" fontId="7" numFmtId="2" xfId="0" applyBorder="1" applyFont="1" applyNumberFormat="1"/>
    <xf borderId="0" fillId="0" fontId="7" numFmtId="2" xfId="0" applyFont="1" applyNumberFormat="1"/>
    <xf borderId="9" fillId="3" fontId="7" numFmtId="2" xfId="0" applyBorder="1" applyFont="1" applyNumberFormat="1"/>
    <xf borderId="10" fillId="3" fontId="7" numFmtId="2" xfId="0" applyBorder="1" applyFont="1" applyNumberFormat="1"/>
    <xf borderId="11" fillId="0" fontId="13" numFmtId="0" xfId="0" applyAlignment="1" applyBorder="1" applyFont="1">
      <alignment horizontal="center"/>
    </xf>
    <xf borderId="11" fillId="0" fontId="14" numFmtId="0" xfId="0" applyBorder="1" applyFont="1"/>
    <xf borderId="12" fillId="0" fontId="14" numFmtId="165" xfId="0" applyBorder="1" applyFont="1" applyNumberFormat="1"/>
    <xf borderId="0" fillId="0" fontId="14" numFmtId="165" xfId="0" applyFont="1" applyNumberFormat="1"/>
    <xf borderId="7" fillId="0" fontId="15" numFmtId="0" xfId="0" applyBorder="1" applyFont="1"/>
    <xf borderId="8" fillId="0" fontId="14" numFmtId="165" xfId="0" applyBorder="1" applyFont="1" applyNumberFormat="1"/>
    <xf borderId="0" fillId="0" fontId="15" numFmtId="165" xfId="0" applyFont="1" applyNumberFormat="1"/>
    <xf borderId="14" fillId="0" fontId="15" numFmtId="0" xfId="0" applyBorder="1" applyFont="1"/>
    <xf borderId="18" fillId="0" fontId="14" numFmtId="165" xfId="0" applyBorder="1" applyFont="1" applyNumberFormat="1"/>
    <xf borderId="0" fillId="0" fontId="14" numFmtId="0" xfId="0" applyFont="1"/>
    <xf borderId="0" fillId="0" fontId="5" numFmtId="4" xfId="0" applyFont="1" applyNumberFormat="1"/>
    <xf borderId="0" fillId="0" fontId="6" numFmtId="4" xfId="0" applyFont="1" applyNumberFormat="1"/>
    <xf borderId="3" fillId="0" fontId="3" numFmtId="4" xfId="0" applyBorder="1" applyFont="1" applyNumberFormat="1"/>
    <xf borderId="4" fillId="3" fontId="7" numFmtId="4" xfId="0" applyAlignment="1" applyBorder="1" applyFont="1" applyNumberFormat="1">
      <alignment horizontal="center"/>
    </xf>
    <xf borderId="5" fillId="3" fontId="7" numFmtId="3" xfId="0" applyAlignment="1" applyBorder="1" applyFont="1" applyNumberFormat="1">
      <alignment horizontal="center"/>
    </xf>
    <xf borderId="6" fillId="3" fontId="7" numFmtId="3" xfId="0" applyAlignment="1" applyBorder="1" applyFont="1" applyNumberFormat="1">
      <alignment horizontal="center"/>
    </xf>
    <xf borderId="9" fillId="4" fontId="3" numFmtId="4" xfId="0" applyBorder="1" applyFont="1" applyNumberFormat="1"/>
    <xf borderId="1" fillId="4" fontId="3" numFmtId="4" xfId="0" applyBorder="1" applyFont="1" applyNumberFormat="1"/>
    <xf borderId="10" fillId="4" fontId="3" numFmtId="4" xfId="0" applyBorder="1" applyFont="1" applyNumberFormat="1"/>
    <xf borderId="9" fillId="3" fontId="3" numFmtId="4" xfId="0" applyBorder="1" applyFont="1" applyNumberFormat="1"/>
    <xf borderId="1" fillId="3" fontId="3" numFmtId="4" xfId="0" applyBorder="1" applyFont="1" applyNumberFormat="1"/>
    <xf borderId="10" fillId="3" fontId="3" numFmtId="4" xfId="0" applyBorder="1" applyFont="1" applyNumberFormat="1"/>
    <xf borderId="11" fillId="0" fontId="8" numFmtId="4" xfId="0" applyBorder="1" applyFont="1" applyNumberFormat="1"/>
    <xf borderId="11" fillId="0" fontId="3" numFmtId="4" xfId="0" applyBorder="1" applyFont="1" applyNumberFormat="1"/>
    <xf borderId="0" fillId="0" fontId="3" numFmtId="4" xfId="0" applyAlignment="1" applyFont="1" applyNumberFormat="1">
      <alignment horizontal="right"/>
    </xf>
    <xf borderId="12" fillId="0" fontId="3" numFmtId="4" xfId="0" applyAlignment="1" applyBorder="1" applyFont="1" applyNumberFormat="1">
      <alignment horizontal="right"/>
    </xf>
    <xf borderId="14" fillId="0" fontId="3" numFmtId="4" xfId="0" applyBorder="1" applyFont="1" applyNumberFormat="1"/>
    <xf borderId="15" fillId="0" fontId="3" numFmtId="4" xfId="0" applyAlignment="1" applyBorder="1" applyFont="1" applyNumberFormat="1">
      <alignment horizontal="right"/>
    </xf>
    <xf borderId="16" fillId="0" fontId="3" numFmtId="4" xfId="0" applyAlignment="1" applyBorder="1" applyFont="1" applyNumberFormat="1">
      <alignment horizontal="right"/>
    </xf>
    <xf borderId="4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/>
    </xf>
    <xf borderId="6" fillId="3" fontId="7" numFmtId="0" xfId="0" applyAlignment="1" applyBorder="1" applyFont="1">
      <alignment horizontal="center"/>
    </xf>
    <xf borderId="9" fillId="4" fontId="7" numFmtId="0" xfId="0" applyBorder="1" applyFont="1"/>
    <xf borderId="1" fillId="4" fontId="7" numFmtId="0" xfId="0" applyBorder="1" applyFont="1"/>
    <xf borderId="10" fillId="4" fontId="7" numFmtId="0" xfId="0" applyBorder="1" applyFont="1"/>
    <xf borderId="9" fillId="3" fontId="7" numFmtId="0" xfId="0" applyBorder="1" applyFont="1"/>
    <xf borderId="1" fillId="3" fontId="7" numFmtId="0" xfId="0" applyBorder="1" applyFont="1"/>
    <xf borderId="10" fillId="3" fontId="7" numFmtId="0" xfId="0" applyBorder="1" applyFont="1"/>
    <xf borderId="0" fillId="0" fontId="10" numFmtId="166" xfId="0" applyAlignment="1" applyFont="1" applyNumberFormat="1">
      <alignment horizontal="right" vertical="bottom"/>
    </xf>
    <xf borderId="12" fillId="0" fontId="3" numFmtId="166" xfId="0" applyBorder="1" applyFont="1" applyNumberFormat="1"/>
    <xf borderId="15" fillId="0" fontId="10" numFmtId="166" xfId="0" applyAlignment="1" applyBorder="1" applyFont="1" applyNumberFormat="1">
      <alignment horizontal="right" vertical="bottom"/>
    </xf>
    <xf borderId="15" fillId="0" fontId="3" numFmtId="10" xfId="0" applyBorder="1" applyFont="1" applyNumberFormat="1"/>
    <xf borderId="16" fillId="0" fontId="3" numFmtId="166" xfId="0" applyBorder="1" applyFont="1" applyNumberFormat="1"/>
    <xf borderId="16" fillId="0" fontId="3" numFmtId="0" xfId="0" applyBorder="1" applyFont="1"/>
    <xf borderId="19" fillId="3" fontId="7" numFmtId="0" xfId="0" applyAlignment="1" applyBorder="1" applyFont="1">
      <alignment horizontal="center" vertical="center"/>
    </xf>
    <xf borderId="5" fillId="3" fontId="7" numFmtId="1" xfId="0" applyAlignment="1" applyBorder="1" applyFont="1" applyNumberFormat="1">
      <alignment horizontal="center"/>
    </xf>
    <xf borderId="6" fillId="3" fontId="7" numFmtId="1" xfId="0" applyAlignment="1" applyBorder="1" applyFont="1" applyNumberFormat="1">
      <alignment horizontal="center"/>
    </xf>
    <xf borderId="20" fillId="0" fontId="16" numFmtId="0" xfId="0" applyBorder="1" applyFont="1"/>
    <xf borderId="1" fillId="4" fontId="3" numFmtId="0" xfId="0" applyBorder="1" applyFont="1"/>
    <xf borderId="10" fillId="4" fontId="3" numFmtId="0" xfId="0" applyBorder="1" applyFont="1"/>
    <xf borderId="1" fillId="3" fontId="3" numFmtId="0" xfId="0" applyBorder="1" applyFont="1"/>
    <xf borderId="10" fillId="3" fontId="3" numFmtId="0" xfId="0" applyBorder="1" applyFont="1"/>
    <xf borderId="0" fillId="0" fontId="3" numFmtId="166" xfId="0" applyFont="1" applyNumberFormat="1"/>
    <xf borderId="21" fillId="0" fontId="3" numFmtId="166" xfId="0" applyBorder="1" applyFont="1" applyNumberFormat="1"/>
    <xf borderId="22" fillId="0" fontId="3" numFmtId="166" xfId="0" applyBorder="1" applyFont="1" applyNumberFormat="1"/>
    <xf borderId="1" fillId="3" fontId="7" numFmtId="1" xfId="0" applyAlignment="1" applyBorder="1" applyFont="1" applyNumberFormat="1">
      <alignment horizontal="center"/>
    </xf>
    <xf borderId="10" fillId="3" fontId="7" numFmtId="1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12" fillId="0" fontId="3" numFmtId="0" xfId="0" applyAlignment="1" applyBorder="1" applyFont="1">
      <alignment horizontal="center"/>
    </xf>
    <xf borderId="15" fillId="0" fontId="3" numFmtId="166" xfId="0" applyBorder="1" applyFont="1" applyNumberFormat="1"/>
    <xf borderId="16" fillId="0" fontId="3" numFmtId="0" xfId="0" applyAlignment="1" applyBorder="1" applyFont="1">
      <alignment horizontal="center"/>
    </xf>
    <xf borderId="7" fillId="3" fontId="7" numFmtId="0" xfId="0" applyAlignment="1" applyBorder="1" applyFont="1">
      <alignment horizontal="center" vertical="center"/>
    </xf>
    <xf borderId="3" fillId="3" fontId="7" numFmtId="1" xfId="0" applyAlignment="1" applyBorder="1" applyFont="1" applyNumberFormat="1">
      <alignment horizontal="center"/>
    </xf>
    <xf borderId="8" fillId="3" fontId="7" numFmtId="1" xfId="0" applyAlignment="1" applyBorder="1" applyFont="1" applyNumberFormat="1">
      <alignment horizontal="center"/>
    </xf>
    <xf borderId="11" fillId="0" fontId="16" numFmtId="0" xfId="0" applyBorder="1" applyFont="1"/>
    <xf borderId="0" fillId="4" fontId="3" numFmtId="0" xfId="0" applyFont="1"/>
    <xf borderId="12" fillId="4" fontId="3" numFmtId="0" xfId="0" applyBorder="1" applyFont="1"/>
    <xf borderId="0" fillId="3" fontId="3" numFmtId="0" xfId="0" applyFont="1"/>
    <xf borderId="12" fillId="3" fontId="3" numFmtId="0" xfId="0" applyBorder="1" applyFont="1"/>
    <xf borderId="0" fillId="3" fontId="7" numFmtId="1" xfId="0" applyAlignment="1" applyFont="1" applyNumberFormat="1">
      <alignment horizontal="center"/>
    </xf>
    <xf borderId="12" fillId="3" fontId="7" numFmtId="1" xfId="0" applyAlignment="1" applyBorder="1" applyFont="1" applyNumberFormat="1">
      <alignment horizontal="center"/>
    </xf>
    <xf borderId="15" fillId="0" fontId="3" numFmtId="4" xfId="0" applyBorder="1" applyFont="1" applyNumberFormat="1"/>
    <xf borderId="16" fillId="0" fontId="3" numFmtId="4" xfId="0" applyBorder="1" applyFont="1" applyNumberFormat="1"/>
    <xf borderId="14" fillId="0" fontId="17" numFmtId="0" xfId="0" applyBorder="1" applyFont="1"/>
    <xf borderId="15" fillId="0" fontId="18" numFmtId="166" xfId="0" applyAlignment="1" applyBorder="1" applyFont="1" applyNumberFormat="1">
      <alignment horizontal="right"/>
    </xf>
    <xf borderId="16" fillId="0" fontId="18" numFmtId="166" xfId="0" applyAlignment="1" applyBorder="1" applyFont="1" applyNumberFormat="1">
      <alignment horizontal="right"/>
    </xf>
    <xf borderId="7" fillId="3" fontId="7" numFmtId="0" xfId="0" applyAlignment="1" applyBorder="1" applyFont="1">
      <alignment horizontal="center"/>
    </xf>
    <xf borderId="3" fillId="3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1" fillId="4" fontId="3" numFmtId="4" xfId="0" applyBorder="1" applyFont="1" applyNumberFormat="1"/>
    <xf borderId="0" fillId="4" fontId="3" numFmtId="4" xfId="0" applyFont="1" applyNumberFormat="1"/>
    <xf borderId="12" fillId="4" fontId="3" numFmtId="4" xfId="0" applyBorder="1" applyFont="1" applyNumberFormat="1"/>
    <xf borderId="11" fillId="3" fontId="3" numFmtId="4" xfId="0" applyBorder="1" applyFont="1" applyNumberFormat="1"/>
    <xf borderId="0" fillId="3" fontId="3" numFmtId="4" xfId="0" applyFont="1" applyNumberFormat="1"/>
    <xf borderId="12" fillId="3" fontId="3" numFmtId="4" xfId="0" applyBorder="1" applyFont="1" applyNumberFormat="1"/>
    <xf borderId="15" fillId="0" fontId="3" numFmtId="165" xfId="0" applyBorder="1" applyFont="1" applyNumberFormat="1"/>
    <xf borderId="15" fillId="0" fontId="10" numFmtId="0" xfId="0" applyBorder="1" applyFont="1"/>
    <xf borderId="16" fillId="0" fontId="10" numFmtId="0" xfId="0" applyBorder="1" applyFont="1"/>
    <xf borderId="12" fillId="0" fontId="3" numFmtId="165" xfId="0" applyBorder="1" applyFont="1" applyNumberFormat="1"/>
    <xf borderId="23" fillId="0" fontId="8" numFmtId="166" xfId="0" applyBorder="1" applyFont="1" applyNumberFormat="1"/>
    <xf borderId="14" fillId="0" fontId="8" numFmtId="0" xfId="0" applyBorder="1" applyFont="1"/>
    <xf borderId="23" fillId="0" fontId="8" numFmtId="165" xfId="0" applyBorder="1" applyFont="1" applyNumberFormat="1"/>
    <xf borderId="0" fillId="0" fontId="12" numFmtId="0" xfId="0" applyFont="1"/>
    <xf borderId="0" fillId="0" fontId="8" numFmtId="49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6" numFmtId="0" xfId="0" applyFont="1"/>
    <xf borderId="3" fillId="0" fontId="3" numFmtId="0" xfId="0" applyBorder="1" applyFont="1"/>
    <xf borderId="3" fillId="0" fontId="8" numFmtId="49" xfId="0" applyAlignment="1" applyBorder="1" applyFont="1" applyNumberFormat="1">
      <alignment horizontal="center"/>
    </xf>
    <xf borderId="3" fillId="0" fontId="3" numFmtId="1" xfId="0" applyBorder="1" applyFont="1" applyNumberFormat="1"/>
    <xf borderId="3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4" fillId="3" fontId="7" numFmtId="49" xfId="0" applyAlignment="1" applyBorder="1" applyFont="1" applyNumberFormat="1">
      <alignment horizontal="center"/>
    </xf>
    <xf borderId="9" fillId="4" fontId="7" numFmtId="49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/>
    </xf>
    <xf borderId="10" fillId="4" fontId="7" numFmtId="0" xfId="0" applyAlignment="1" applyBorder="1" applyFont="1">
      <alignment horizontal="center"/>
    </xf>
    <xf borderId="9" fillId="3" fontId="7" numFmtId="49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/>
    </xf>
    <xf borderId="10" fillId="3" fontId="7" numFmtId="0" xfId="0" applyAlignment="1" applyBorder="1" applyFont="1">
      <alignment horizontal="center"/>
    </xf>
    <xf borderId="24" fillId="0" fontId="8" numFmtId="49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12" fillId="0" fontId="3" numFmtId="166" xfId="0" applyAlignment="1" applyBorder="1" applyFont="1" applyNumberFormat="1">
      <alignment horizontal="center"/>
    </xf>
    <xf borderId="15" fillId="0" fontId="8" numFmtId="2" xfId="0" applyBorder="1" applyFont="1" applyNumberFormat="1"/>
    <xf borderId="15" fillId="0" fontId="3" numFmtId="166" xfId="0" applyAlignment="1" applyBorder="1" applyFont="1" applyNumberFormat="1">
      <alignment horizontal="center"/>
    </xf>
    <xf borderId="16" fillId="0" fontId="3" numFmtId="166" xfId="0" applyAlignment="1" applyBorder="1" applyFont="1" applyNumberFormat="1">
      <alignment horizontal="center"/>
    </xf>
    <xf borderId="11" fillId="0" fontId="8" numFmtId="49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12" fillId="0" fontId="3" numFmtId="10" xfId="0" applyAlignment="1" applyBorder="1" applyFont="1" applyNumberFormat="1">
      <alignment horizontal="center"/>
    </xf>
    <xf borderId="0" fillId="0" fontId="8" numFmtId="49" xfId="0" applyAlignment="1" applyFont="1" applyNumberFormat="1">
      <alignment horizontal="right"/>
    </xf>
    <xf borderId="3" fillId="0" fontId="3" numFmtId="166" xfId="0" applyAlignment="1" applyBorder="1" applyFont="1" applyNumberFormat="1">
      <alignment horizontal="center"/>
    </xf>
    <xf borderId="8" fillId="0" fontId="3" numFmtId="166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12" fillId="0" fontId="3" numFmtId="165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/>
    </xf>
    <xf borderId="3" fillId="0" fontId="8" numFmtId="2" xfId="0" applyBorder="1" applyFont="1" applyNumberFormat="1"/>
    <xf borderId="14" fillId="0" fontId="8" numFmtId="49" xfId="0" applyAlignment="1" applyBorder="1" applyFont="1" applyNumberFormat="1">
      <alignment horizontal="center"/>
    </xf>
    <xf borderId="14" fillId="0" fontId="8" numFmtId="2" xfId="0" applyBorder="1" applyFont="1" applyNumberFormat="1"/>
    <xf borderId="15" fillId="0" fontId="3" numFmtId="10" xfId="0" applyAlignment="1" applyBorder="1" applyFont="1" applyNumberFormat="1">
      <alignment horizontal="center"/>
    </xf>
    <xf borderId="16" fillId="0" fontId="3" numFmtId="10" xfId="0" applyAlignment="1" applyBorder="1" applyFont="1" applyNumberFormat="1">
      <alignment horizontal="center"/>
    </xf>
    <xf borderId="0" fillId="0" fontId="3" numFmtId="49" xfId="0" applyAlignment="1" applyFont="1" applyNumberFormat="1">
      <alignment horizontal="left"/>
    </xf>
    <xf borderId="0" fillId="0" fontId="10" numFmtId="0" xfId="0" applyAlignment="1" applyFont="1">
      <alignment horizontal="center"/>
    </xf>
    <xf borderId="0" fillId="0" fontId="19" numFmtId="166" xfId="0" applyFont="1" applyNumberFormat="1"/>
    <xf borderId="13" fillId="0" fontId="8" numFmtId="49" xfId="0" applyAlignment="1" applyBorder="1" applyFont="1" applyNumberFormat="1">
      <alignment horizontal="center"/>
    </xf>
    <xf borderId="0" fillId="0" fontId="5" numFmtId="0" xfId="0" applyFont="1"/>
    <xf borderId="17" fillId="3" fontId="3" numFmtId="49" xfId="0" applyBorder="1" applyFont="1" applyNumberFormat="1"/>
    <xf borderId="25" fillId="4" fontId="3" numFmtId="49" xfId="0" applyBorder="1" applyFont="1" applyNumberFormat="1"/>
    <xf borderId="25" fillId="3" fontId="3" numFmtId="49" xfId="0" applyBorder="1" applyFont="1" applyNumberFormat="1"/>
    <xf borderId="0" fillId="0" fontId="3" numFmtId="166" xfId="0" applyAlignment="1" applyFont="1" applyNumberFormat="1">
      <alignment horizontal="right"/>
    </xf>
    <xf borderId="12" fillId="0" fontId="3" numFmtId="166" xfId="0" applyAlignment="1" applyBorder="1" applyFont="1" applyNumberFormat="1">
      <alignment horizontal="right"/>
    </xf>
    <xf borderId="15" fillId="0" fontId="3" numFmtId="166" xfId="0" applyAlignment="1" applyBorder="1" applyFont="1" applyNumberFormat="1">
      <alignment horizontal="right"/>
    </xf>
    <xf borderId="16" fillId="0" fontId="3" numFmtId="166" xfId="0" applyAlignment="1" applyBorder="1" applyFont="1" applyNumberFormat="1">
      <alignment horizontal="right"/>
    </xf>
    <xf borderId="15" fillId="0" fontId="3" numFmtId="165" xfId="0" applyAlignment="1" applyBorder="1" applyFont="1" applyNumberFormat="1">
      <alignment horizontal="right"/>
    </xf>
    <xf borderId="0" fillId="0" fontId="3" numFmtId="165" xfId="0" applyAlignment="1" applyFont="1" applyNumberFormat="1">
      <alignment horizontal="right"/>
    </xf>
    <xf borderId="15" fillId="0" fontId="3" numFmtId="10" xfId="0" applyAlignment="1" applyBorder="1" applyFont="1" applyNumberFormat="1">
      <alignment horizontal="right"/>
    </xf>
    <xf borderId="16" fillId="0" fontId="3" numFmtId="1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10" width="14.25"/>
  </cols>
  <sheetData>
    <row r="1" ht="15.75" hidden="1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42.75" customHeight="1">
      <c r="B12" s="1" t="s">
        <v>0</v>
      </c>
    </row>
    <row r="13" ht="15.75" customHeight="1">
      <c r="B13" s="2">
        <f>TODAY()-5</f>
        <v>46208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/>
      <c r="B24" s="4" t="s">
        <v>1</v>
      </c>
      <c r="C24" s="3"/>
      <c r="D24" s="3"/>
      <c r="E24" s="3"/>
      <c r="F24" s="3"/>
      <c r="G24" s="3"/>
      <c r="H24" s="5"/>
      <c r="I24" s="3"/>
      <c r="J24" s="3"/>
    </row>
    <row r="25" ht="15.75" customHeight="1">
      <c r="A25" s="3"/>
      <c r="B25" s="4" t="s">
        <v>2</v>
      </c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5.75"/>
    <col customWidth="1" min="4" max="4" width="25.5"/>
    <col customWidth="1" min="5" max="6" width="14.25"/>
    <col customWidth="1" min="7" max="7" width="19.88"/>
    <col customWidth="1" min="8" max="14" width="14.25"/>
  </cols>
  <sheetData>
    <row r="1">
      <c r="A1" s="7" t="str">
        <f>COVER!$B$12</f>
        <v>Narayan Dairy Project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ht="15.75" customHeight="1">
      <c r="A2" s="9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15.75" customHeight="1">
      <c r="A4" s="8"/>
      <c r="B4" s="8"/>
      <c r="C4" s="8"/>
      <c r="D4" s="11" t="s">
        <v>4</v>
      </c>
      <c r="E4" s="12" t="s">
        <v>5</v>
      </c>
      <c r="F4" s="12" t="s">
        <v>6</v>
      </c>
      <c r="G4" s="12" t="s">
        <v>7</v>
      </c>
      <c r="H4" s="13" t="s">
        <v>8</v>
      </c>
      <c r="I4" s="8"/>
      <c r="J4" s="14" t="s">
        <v>9</v>
      </c>
      <c r="K4" s="15" t="s">
        <v>10</v>
      </c>
      <c r="L4" s="16" t="s">
        <v>11</v>
      </c>
      <c r="N4" s="13" t="s">
        <v>12</v>
      </c>
      <c r="O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1.5" customHeight="1">
      <c r="A5" s="8"/>
      <c r="B5" s="8"/>
      <c r="C5" s="8"/>
      <c r="D5" s="17"/>
      <c r="E5" s="18"/>
      <c r="F5" s="18"/>
      <c r="G5" s="18"/>
      <c r="H5" s="19"/>
      <c r="I5" s="8"/>
      <c r="J5" s="20"/>
      <c r="K5" s="21"/>
      <c r="L5" s="22"/>
      <c r="N5" s="19"/>
      <c r="O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ht="1.5" customHeight="1">
      <c r="A6" s="8"/>
      <c r="B6" s="8"/>
      <c r="C6" s="8"/>
      <c r="D6" s="23"/>
      <c r="E6" s="24"/>
      <c r="F6" s="24"/>
      <c r="G6" s="24"/>
      <c r="H6" s="25"/>
      <c r="I6" s="8"/>
      <c r="J6" s="26"/>
      <c r="K6" s="27"/>
      <c r="L6" s="28"/>
      <c r="N6" s="25"/>
      <c r="O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15.75" customHeight="1">
      <c r="A7" s="8"/>
      <c r="B7" s="8"/>
      <c r="C7" s="8"/>
      <c r="D7" s="29" t="s">
        <v>13</v>
      </c>
      <c r="E7" s="30"/>
      <c r="F7" s="30"/>
      <c r="G7" s="30"/>
      <c r="H7" s="31"/>
      <c r="I7" s="8"/>
      <c r="J7" s="32" t="s">
        <v>14</v>
      </c>
      <c r="K7" s="30" t="s">
        <v>15</v>
      </c>
      <c r="L7" s="33">
        <v>1.0</v>
      </c>
      <c r="N7" s="34" t="s">
        <v>7</v>
      </c>
      <c r="O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ht="15.75" customHeight="1">
      <c r="A8" s="8"/>
      <c r="B8" s="8"/>
      <c r="C8" s="8"/>
      <c r="D8" s="35" t="s">
        <v>16</v>
      </c>
      <c r="E8" s="36">
        <v>0.8</v>
      </c>
      <c r="F8" s="36">
        <v>1.0</v>
      </c>
      <c r="G8" s="36">
        <v>1.2</v>
      </c>
      <c r="H8" s="33">
        <f t="shared" ref="H8:H14" si="1">IF($N$7="Worst",E8,IF($N$7="Base",F8,G8))</f>
        <v>1.2</v>
      </c>
      <c r="I8" s="8"/>
      <c r="J8" s="37" t="s">
        <v>17</v>
      </c>
      <c r="L8" s="3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15.75" customHeight="1">
      <c r="A9" s="8"/>
      <c r="B9" s="8"/>
      <c r="C9" s="8"/>
      <c r="D9" s="35" t="s">
        <v>18</v>
      </c>
      <c r="E9" s="36">
        <v>0.95</v>
      </c>
      <c r="F9" s="36">
        <v>1.0</v>
      </c>
      <c r="G9" s="36">
        <v>1.08</v>
      </c>
      <c r="H9" s="33">
        <f t="shared" si="1"/>
        <v>1.08</v>
      </c>
      <c r="I9" s="8"/>
      <c r="J9" s="35" t="s">
        <v>19</v>
      </c>
      <c r="K9" s="30" t="s">
        <v>20</v>
      </c>
      <c r="L9" s="39">
        <v>0.1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15.75" customHeight="1">
      <c r="A10" s="8"/>
      <c r="B10" s="8"/>
      <c r="C10" s="8"/>
      <c r="D10" s="32" t="s">
        <v>21</v>
      </c>
      <c r="E10" s="8"/>
      <c r="F10" s="8"/>
      <c r="G10" s="8"/>
      <c r="H10" s="40" t="str">
        <f t="shared" si="1"/>
        <v/>
      </c>
      <c r="I10" s="8"/>
      <c r="J10" s="35" t="s">
        <v>22</v>
      </c>
      <c r="K10" s="30" t="s">
        <v>20</v>
      </c>
      <c r="L10" s="39">
        <v>0.2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ht="15.75" customHeight="1">
      <c r="A11" s="8"/>
      <c r="B11" s="8"/>
      <c r="C11" s="8"/>
      <c r="D11" s="35" t="s">
        <v>21</v>
      </c>
      <c r="E11" s="41">
        <v>120000.0</v>
      </c>
      <c r="F11" s="41">
        <v>120000.0</v>
      </c>
      <c r="G11" s="41">
        <v>120000.0</v>
      </c>
      <c r="H11" s="42">
        <f t="shared" si="1"/>
        <v>120000</v>
      </c>
      <c r="I11" s="8"/>
      <c r="J11" s="43" t="s">
        <v>23</v>
      </c>
      <c r="K11" s="30" t="s">
        <v>24</v>
      </c>
      <c r="L11" s="39">
        <v>0.2</v>
      </c>
      <c r="O11" s="44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15.75" customHeight="1">
      <c r="A12" s="8"/>
      <c r="B12" s="8"/>
      <c r="C12" s="8"/>
      <c r="D12" s="35" t="s">
        <v>25</v>
      </c>
      <c r="E12" s="41">
        <v>90000.0</v>
      </c>
      <c r="F12" s="41">
        <v>100000.0</v>
      </c>
      <c r="G12" s="41">
        <v>110000.0</v>
      </c>
      <c r="H12" s="42">
        <f t="shared" si="1"/>
        <v>110000</v>
      </c>
      <c r="I12" s="8"/>
      <c r="J12" s="43" t="s">
        <v>26</v>
      </c>
      <c r="K12" s="30" t="s">
        <v>20</v>
      </c>
      <c r="L12" s="39">
        <v>0.1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15.75" customHeight="1">
      <c r="A13" s="8"/>
      <c r="B13" s="8"/>
      <c r="C13" s="8"/>
      <c r="D13" s="35" t="s">
        <v>27</v>
      </c>
      <c r="E13" s="45">
        <v>0.12</v>
      </c>
      <c r="F13" s="45">
        <v>0.08</v>
      </c>
      <c r="G13" s="45">
        <v>0.05</v>
      </c>
      <c r="H13" s="46">
        <f t="shared" si="1"/>
        <v>0.05</v>
      </c>
      <c r="I13" s="8"/>
      <c r="J13" s="35" t="s">
        <v>28</v>
      </c>
      <c r="K13" s="30" t="s">
        <v>20</v>
      </c>
      <c r="L13" s="39">
        <v>0.2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15.75" customHeight="1">
      <c r="A14" s="8"/>
      <c r="B14" s="8"/>
      <c r="C14" s="8"/>
      <c r="D14" s="35" t="s">
        <v>29</v>
      </c>
      <c r="E14" s="45">
        <v>0.03</v>
      </c>
      <c r="F14" s="45">
        <v>0.02</v>
      </c>
      <c r="G14" s="45">
        <v>0.01</v>
      </c>
      <c r="H14" s="46">
        <f t="shared" si="1"/>
        <v>0.01</v>
      </c>
      <c r="I14" s="8"/>
      <c r="J14" s="47" t="s">
        <v>30</v>
      </c>
      <c r="K14" s="48" t="s">
        <v>24</v>
      </c>
      <c r="L14" s="49">
        <v>0.2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ht="15.75" customHeight="1">
      <c r="A15" s="8"/>
      <c r="B15" s="8"/>
      <c r="C15" s="8"/>
      <c r="D15" s="32" t="s">
        <v>31</v>
      </c>
      <c r="E15" s="50"/>
      <c r="F15" s="50"/>
      <c r="G15" s="50"/>
      <c r="H15" s="51"/>
      <c r="I15" s="8"/>
      <c r="J15" s="8"/>
      <c r="K15" s="8"/>
      <c r="L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15.75" customHeight="1">
      <c r="A16" s="8"/>
      <c r="B16" s="8"/>
      <c r="C16" s="8"/>
      <c r="D16" s="35" t="s">
        <v>32</v>
      </c>
      <c r="E16" s="52">
        <v>10000.0</v>
      </c>
      <c r="F16" s="52">
        <v>15000.0</v>
      </c>
      <c r="G16" s="52">
        <v>20000.0</v>
      </c>
      <c r="H16" s="53">
        <f t="shared" ref="H16:H20" si="2">IF($N$7="Worst",E16,IF($N$7="Base",F16,G16))</f>
        <v>20000</v>
      </c>
      <c r="I16" s="8"/>
      <c r="J16" s="54" t="s">
        <v>9</v>
      </c>
      <c r="K16" s="13" t="s">
        <v>33</v>
      </c>
      <c r="L16" s="13" t="s">
        <v>34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ht="15.75" customHeight="1">
      <c r="A17" s="8"/>
      <c r="B17" s="8"/>
      <c r="C17" s="8"/>
      <c r="D17" s="35" t="s">
        <v>35</v>
      </c>
      <c r="E17" s="52">
        <v>22000.0</v>
      </c>
      <c r="F17" s="52">
        <v>30000.0</v>
      </c>
      <c r="G17" s="52">
        <v>40000.0</v>
      </c>
      <c r="H17" s="53">
        <f t="shared" si="2"/>
        <v>40000</v>
      </c>
      <c r="I17" s="8"/>
      <c r="J17" s="32" t="s">
        <v>14</v>
      </c>
      <c r="K17" s="55">
        <v>1.0</v>
      </c>
      <c r="L17" s="56">
        <v>0.04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ht="15.75" customHeight="1">
      <c r="A18" s="8"/>
      <c r="B18" s="8"/>
      <c r="C18" s="8"/>
      <c r="D18" s="35" t="s">
        <v>36</v>
      </c>
      <c r="E18" s="52">
        <v>40000.0</v>
      </c>
      <c r="F18" s="52">
        <v>50000.0</v>
      </c>
      <c r="G18" s="52">
        <v>65000.0</v>
      </c>
      <c r="H18" s="53">
        <f t="shared" si="2"/>
        <v>65000</v>
      </c>
      <c r="I18" s="8"/>
      <c r="J18" s="37" t="s">
        <v>17</v>
      </c>
      <c r="L18" s="3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ht="15.75" customHeight="1">
      <c r="A19" s="8"/>
      <c r="B19" s="8"/>
      <c r="C19" s="8"/>
      <c r="D19" s="57" t="s">
        <v>37</v>
      </c>
      <c r="E19" s="52">
        <v>55000.0</v>
      </c>
      <c r="F19" s="52">
        <v>65000.0</v>
      </c>
      <c r="G19" s="52">
        <v>80000.0</v>
      </c>
      <c r="H19" s="53">
        <f t="shared" si="2"/>
        <v>80000</v>
      </c>
      <c r="I19" s="8"/>
      <c r="J19" s="35" t="s">
        <v>19</v>
      </c>
      <c r="K19" s="58">
        <v>0.96</v>
      </c>
      <c r="L19" s="56">
        <v>0.06</v>
      </c>
      <c r="M19" s="8"/>
      <c r="N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ht="15.75" customHeight="1">
      <c r="A20" s="8"/>
      <c r="B20" s="8"/>
      <c r="C20" s="8"/>
      <c r="D20" s="57" t="s">
        <v>38</v>
      </c>
      <c r="E20" s="52">
        <v>65000.0</v>
      </c>
      <c r="F20" s="52">
        <v>80000.0</v>
      </c>
      <c r="G20" s="52">
        <v>95000.0</v>
      </c>
      <c r="H20" s="53">
        <f t="shared" si="2"/>
        <v>95000</v>
      </c>
      <c r="I20" s="8"/>
      <c r="J20" s="35" t="s">
        <v>22</v>
      </c>
      <c r="K20" s="58">
        <v>0.9</v>
      </c>
      <c r="L20" s="56">
        <v>0.08</v>
      </c>
      <c r="M20" s="8"/>
      <c r="N20" s="8"/>
      <c r="O20" s="8"/>
      <c r="P20" s="8"/>
      <c r="Q20" s="5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ht="15.75" customHeight="1">
      <c r="A21" s="8"/>
      <c r="B21" s="8"/>
      <c r="C21" s="8"/>
      <c r="D21" s="32" t="s">
        <v>39</v>
      </c>
      <c r="E21" s="30"/>
      <c r="F21" s="30"/>
      <c r="G21" s="30"/>
      <c r="H21" s="31"/>
      <c r="I21" s="8"/>
      <c r="J21" s="35" t="s">
        <v>40</v>
      </c>
      <c r="K21" s="58">
        <v>0.125</v>
      </c>
      <c r="L21" s="56">
        <v>0.03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ht="15.75" customHeight="1">
      <c r="A22" s="8"/>
      <c r="B22" s="8"/>
      <c r="C22" s="8"/>
      <c r="D22" s="35" t="s">
        <v>41</v>
      </c>
      <c r="E22" s="45">
        <v>0.08</v>
      </c>
      <c r="F22" s="45">
        <v>0.06</v>
      </c>
      <c r="G22" s="45">
        <v>0.04</v>
      </c>
      <c r="H22" s="46">
        <f t="shared" ref="H22:H23" si="3">IF($N$7="Worst",E22,IF($N$7="Base",F22,G22))</f>
        <v>0.04</v>
      </c>
      <c r="I22" s="8"/>
      <c r="J22" s="35" t="s">
        <v>42</v>
      </c>
      <c r="K22" s="58">
        <v>0.06</v>
      </c>
      <c r="L22" s="56">
        <v>0.04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ht="15.75" customHeight="1">
      <c r="A23" s="8"/>
      <c r="B23" s="8"/>
      <c r="C23" s="8"/>
      <c r="D23" s="59" t="s">
        <v>43</v>
      </c>
      <c r="E23" s="60"/>
      <c r="F23" s="60"/>
      <c r="G23" s="60"/>
      <c r="H23" s="61" t="str">
        <f t="shared" si="3"/>
        <v/>
      </c>
      <c r="I23" s="8"/>
      <c r="J23" s="35" t="s">
        <v>44</v>
      </c>
      <c r="K23" s="58">
        <v>0.0825</v>
      </c>
      <c r="L23" s="56">
        <v>0.05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ht="15.75" customHeight="1">
      <c r="A24" s="8"/>
      <c r="B24" s="8"/>
      <c r="C24" s="8"/>
      <c r="D24" s="32" t="s">
        <v>45</v>
      </c>
      <c r="E24" s="30"/>
      <c r="F24" s="60"/>
      <c r="G24" s="60"/>
      <c r="H24" s="61" t="str">
        <f>IF($N$7="Worst",E25,IF($N$7="Base",F24,G24))</f>
        <v/>
      </c>
      <c r="I24" s="8"/>
      <c r="J24" s="35" t="s">
        <v>46</v>
      </c>
      <c r="K24" s="58">
        <v>0.04</v>
      </c>
      <c r="L24" s="56">
        <v>0.05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ht="15.75" customHeight="1">
      <c r="A25" s="8"/>
      <c r="B25" s="8"/>
      <c r="C25" s="8"/>
      <c r="D25" s="35" t="s">
        <v>47</v>
      </c>
      <c r="E25" s="41">
        <v>18.0</v>
      </c>
      <c r="F25" s="41">
        <v>22.0</v>
      </c>
      <c r="G25" s="41">
        <v>32.0</v>
      </c>
      <c r="H25" s="42">
        <f t="shared" ref="H25:H34" si="4">IF($N$7="Worst",E25,IF($N$7="Base",F25,G25))</f>
        <v>32</v>
      </c>
      <c r="I25" s="8"/>
      <c r="J25" s="35" t="s">
        <v>28</v>
      </c>
      <c r="K25" s="58">
        <v>0.96</v>
      </c>
      <c r="L25" s="56">
        <v>0.05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ht="15.75" customHeight="1">
      <c r="A26" s="8"/>
      <c r="B26" s="8"/>
      <c r="C26" s="8"/>
      <c r="D26" s="35" t="s">
        <v>48</v>
      </c>
      <c r="E26" s="41">
        <v>24.0</v>
      </c>
      <c r="F26" s="41">
        <v>23.0</v>
      </c>
      <c r="G26" s="41">
        <v>22.0</v>
      </c>
      <c r="H26" s="42">
        <f t="shared" si="4"/>
        <v>22</v>
      </c>
      <c r="I26" s="8"/>
      <c r="J26" s="47" t="s">
        <v>30</v>
      </c>
      <c r="K26" s="62">
        <v>0.18</v>
      </c>
      <c r="L26" s="63">
        <v>0.07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ht="15.75" customHeight="1">
      <c r="A27" s="8"/>
      <c r="B27" s="8"/>
      <c r="C27" s="8"/>
      <c r="D27" s="57" t="s">
        <v>49</v>
      </c>
      <c r="E27" s="64">
        <v>9000.0</v>
      </c>
      <c r="F27" s="64">
        <v>10000.0</v>
      </c>
      <c r="G27" s="64">
        <v>11000.0</v>
      </c>
      <c r="H27" s="42">
        <f t="shared" si="4"/>
        <v>11000</v>
      </c>
      <c r="I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ht="15.75" customHeight="1">
      <c r="A28" s="8"/>
      <c r="B28" s="8"/>
      <c r="C28" s="8"/>
      <c r="D28" s="32" t="s">
        <v>50</v>
      </c>
      <c r="E28" s="50"/>
      <c r="F28" s="50"/>
      <c r="G28" s="50"/>
      <c r="H28" s="51" t="str">
        <f t="shared" si="4"/>
        <v/>
      </c>
      <c r="I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ht="15.75" customHeight="1">
      <c r="A29" s="8"/>
      <c r="B29" s="8"/>
      <c r="C29" s="8"/>
      <c r="D29" s="35" t="s">
        <v>51</v>
      </c>
      <c r="E29" s="30">
        <v>60.0</v>
      </c>
      <c r="F29" s="30">
        <v>63.0</v>
      </c>
      <c r="G29" s="30">
        <v>65.0</v>
      </c>
      <c r="H29" s="31">
        <f t="shared" si="4"/>
        <v>65</v>
      </c>
      <c r="I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ht="15.75" customHeight="1">
      <c r="A30" s="8"/>
      <c r="B30" s="8"/>
      <c r="C30" s="8"/>
      <c r="D30" s="35" t="s">
        <v>52</v>
      </c>
      <c r="E30" s="45">
        <v>0.06</v>
      </c>
      <c r="F30" s="45">
        <v>0.08</v>
      </c>
      <c r="G30" s="45">
        <v>0.1</v>
      </c>
      <c r="H30" s="46">
        <f t="shared" si="4"/>
        <v>0.1</v>
      </c>
      <c r="I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ht="15.75" customHeight="1">
      <c r="A31" s="8"/>
      <c r="B31" s="8"/>
      <c r="C31" s="8"/>
      <c r="D31" s="35" t="s">
        <v>53</v>
      </c>
      <c r="E31" s="45">
        <v>0.12</v>
      </c>
      <c r="F31" s="45">
        <v>0.16</v>
      </c>
      <c r="G31" s="45">
        <v>0.2</v>
      </c>
      <c r="H31" s="46">
        <f t="shared" si="4"/>
        <v>0.2</v>
      </c>
      <c r="I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ht="15.75" customHeight="1">
      <c r="A32" s="8"/>
      <c r="B32" s="8"/>
      <c r="C32" s="8"/>
      <c r="D32" s="57" t="s">
        <v>54</v>
      </c>
      <c r="E32" s="50">
        <v>0.02</v>
      </c>
      <c r="F32" s="55">
        <v>0.015</v>
      </c>
      <c r="G32" s="50">
        <v>0.01</v>
      </c>
      <c r="H32" s="46">
        <f t="shared" si="4"/>
        <v>0.01</v>
      </c>
      <c r="I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ht="15.75" customHeight="1">
      <c r="A33" s="8"/>
      <c r="B33" s="8"/>
      <c r="C33" s="8"/>
      <c r="D33" s="35" t="s">
        <v>55</v>
      </c>
      <c r="E33" s="50">
        <v>0.03</v>
      </c>
      <c r="F33" s="50">
        <v>0.04</v>
      </c>
      <c r="G33" s="50">
        <v>0.07</v>
      </c>
      <c r="H33" s="51">
        <f t="shared" si="4"/>
        <v>0.07</v>
      </c>
      <c r="I33" s="8"/>
      <c r="J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ht="15.75" customHeight="1">
      <c r="A34" s="8"/>
      <c r="B34" s="8"/>
      <c r="C34" s="8"/>
      <c r="D34" s="35" t="s">
        <v>56</v>
      </c>
      <c r="E34" s="64">
        <v>4.0</v>
      </c>
      <c r="F34" s="64">
        <v>3.0</v>
      </c>
      <c r="G34" s="64">
        <v>2.5</v>
      </c>
      <c r="H34" s="65">
        <f t="shared" si="4"/>
        <v>2.5</v>
      </c>
      <c r="I34" s="8"/>
      <c r="J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ht="15.75" customHeight="1">
      <c r="A35" s="8"/>
      <c r="B35" s="8"/>
      <c r="C35" s="8"/>
      <c r="D35" s="32" t="s">
        <v>57</v>
      </c>
      <c r="E35" s="50"/>
      <c r="F35" s="50"/>
      <c r="G35" s="50"/>
      <c r="H35" s="51"/>
      <c r="I35" s="8"/>
      <c r="J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ht="15.75" customHeight="1">
      <c r="A36" s="8"/>
      <c r="B36" s="8"/>
      <c r="C36" s="8"/>
      <c r="D36" s="35" t="s">
        <v>58</v>
      </c>
      <c r="E36" s="45">
        <v>0.08</v>
      </c>
      <c r="F36" s="45">
        <v>0.06</v>
      </c>
      <c r="G36" s="45">
        <v>0.04</v>
      </c>
      <c r="H36" s="46">
        <f t="shared" ref="H36:H40" si="5">IF($N$7="Worst",E36,IF($N$7="Base",F36,G36))</f>
        <v>0.04</v>
      </c>
      <c r="I36" s="8"/>
      <c r="J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ht="15.75" customHeight="1">
      <c r="A37" s="8"/>
      <c r="B37" s="8"/>
      <c r="C37" s="8"/>
      <c r="D37" s="35" t="s">
        <v>59</v>
      </c>
      <c r="E37" s="45">
        <v>0.07</v>
      </c>
      <c r="F37" s="45">
        <v>0.05</v>
      </c>
      <c r="G37" s="45">
        <v>0.03</v>
      </c>
      <c r="H37" s="46">
        <f t="shared" si="5"/>
        <v>0.03</v>
      </c>
      <c r="I37" s="8"/>
      <c r="J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5.75" customHeight="1">
      <c r="A38" s="8"/>
      <c r="B38" s="8"/>
      <c r="C38" s="8"/>
      <c r="D38" s="35" t="s">
        <v>60</v>
      </c>
      <c r="E38" s="45">
        <v>0.1</v>
      </c>
      <c r="F38" s="45">
        <v>0.08</v>
      </c>
      <c r="G38" s="45">
        <v>0.06</v>
      </c>
      <c r="H38" s="46">
        <f t="shared" si="5"/>
        <v>0.06</v>
      </c>
      <c r="I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5.75" customHeight="1">
      <c r="A39" s="8"/>
      <c r="B39" s="8"/>
      <c r="C39" s="8"/>
      <c r="D39" s="35" t="s">
        <v>61</v>
      </c>
      <c r="E39" s="45">
        <v>0.12</v>
      </c>
      <c r="F39" s="45">
        <v>0.1</v>
      </c>
      <c r="G39" s="45">
        <v>0.08</v>
      </c>
      <c r="H39" s="46">
        <f t="shared" si="5"/>
        <v>0.08</v>
      </c>
      <c r="I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15.75" customHeight="1">
      <c r="A40" s="8"/>
      <c r="B40" s="8"/>
      <c r="C40" s="8"/>
      <c r="D40" s="57" t="s">
        <v>62</v>
      </c>
      <c r="E40" s="45">
        <v>0.09</v>
      </c>
      <c r="F40" s="45">
        <v>0.07</v>
      </c>
      <c r="G40" s="45">
        <v>0.05</v>
      </c>
      <c r="H40" s="46">
        <f t="shared" si="5"/>
        <v>0.05</v>
      </c>
      <c r="I40" s="8"/>
      <c r="J40" s="6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ht="15.75" customHeight="1">
      <c r="A41" s="8"/>
      <c r="B41" s="8"/>
      <c r="C41" s="8"/>
      <c r="D41" s="32" t="s">
        <v>63</v>
      </c>
      <c r="E41" s="50" t="s">
        <v>64</v>
      </c>
      <c r="F41" s="50" t="s">
        <v>65</v>
      </c>
      <c r="G41" s="50" t="s">
        <v>66</v>
      </c>
      <c r="H41" s="51"/>
      <c r="I41" s="8"/>
      <c r="J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ht="15.75" customHeight="1">
      <c r="A42" s="8"/>
      <c r="B42" s="8"/>
      <c r="C42" s="8"/>
      <c r="D42" s="35" t="s">
        <v>67</v>
      </c>
      <c r="E42" s="67">
        <v>15.0</v>
      </c>
      <c r="F42" s="67">
        <v>40.0</v>
      </c>
      <c r="G42" s="67">
        <v>75.0</v>
      </c>
      <c r="H42" s="68">
        <f t="shared" ref="H42:H44" si="6">IF($N$7="Worst",E42,IF($N$7="Base",F42,G42))</f>
        <v>75</v>
      </c>
      <c r="I42" s="8"/>
      <c r="J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ht="15.75" customHeight="1">
      <c r="A43" s="8"/>
      <c r="B43" s="8"/>
      <c r="C43" s="8"/>
      <c r="D43" s="35" t="s">
        <v>68</v>
      </c>
      <c r="E43" s="67">
        <v>500.0</v>
      </c>
      <c r="F43" s="67">
        <v>2000.0</v>
      </c>
      <c r="G43" s="67">
        <v>5000.0</v>
      </c>
      <c r="H43" s="68">
        <f t="shared" si="6"/>
        <v>5000</v>
      </c>
      <c r="I43" s="8"/>
      <c r="J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ht="15.75" customHeight="1">
      <c r="A44" s="8"/>
      <c r="B44" s="8"/>
      <c r="C44" s="8"/>
      <c r="D44" s="35" t="s">
        <v>69</v>
      </c>
      <c r="E44" s="30">
        <v>120000.0</v>
      </c>
      <c r="F44" s="30">
        <v>150000.0</v>
      </c>
      <c r="G44" s="30">
        <v>180000.0</v>
      </c>
      <c r="H44" s="31">
        <f t="shared" si="6"/>
        <v>180000</v>
      </c>
      <c r="I44" s="8"/>
      <c r="J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ht="15.75" customHeight="1">
      <c r="A45" s="8"/>
      <c r="B45" s="8"/>
      <c r="C45" s="8"/>
      <c r="D45" s="32" t="s">
        <v>70</v>
      </c>
      <c r="E45" s="50"/>
      <c r="F45" s="50"/>
      <c r="G45" s="50"/>
      <c r="H45" s="51"/>
      <c r="I45" s="8"/>
      <c r="J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ht="15.75" customHeight="1">
      <c r="A46" s="8"/>
      <c r="B46" s="8"/>
      <c r="C46" s="8"/>
      <c r="D46" s="35" t="s">
        <v>71</v>
      </c>
      <c r="E46" s="67">
        <v>5.0</v>
      </c>
      <c r="F46" s="67">
        <v>2.0</v>
      </c>
      <c r="G46" s="67">
        <v>1.0</v>
      </c>
      <c r="H46" s="31">
        <f t="shared" ref="H46:H48" si="7">IF($N$7="Worst",E46,IF($N$7="Base",F46,G46))</f>
        <v>1</v>
      </c>
      <c r="I46" s="8"/>
      <c r="J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ht="16.5" customHeight="1">
      <c r="A47" s="8"/>
      <c r="B47" s="8"/>
      <c r="C47" s="8"/>
      <c r="D47" s="35" t="s">
        <v>72</v>
      </c>
      <c r="E47" s="67">
        <v>12.0</v>
      </c>
      <c r="F47" s="67">
        <v>8.0</v>
      </c>
      <c r="G47" s="67">
        <v>5.0</v>
      </c>
      <c r="H47" s="68">
        <f t="shared" si="7"/>
        <v>5</v>
      </c>
      <c r="I47" s="8"/>
      <c r="J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ht="16.5" customHeight="1">
      <c r="A48" s="8"/>
      <c r="B48" s="8"/>
      <c r="C48" s="8"/>
      <c r="D48" s="47" t="s">
        <v>73</v>
      </c>
      <c r="E48" s="69">
        <v>7.0</v>
      </c>
      <c r="F48" s="69">
        <v>3.0</v>
      </c>
      <c r="G48" s="69">
        <v>2.0</v>
      </c>
      <c r="H48" s="70">
        <f t="shared" si="7"/>
        <v>2</v>
      </c>
      <c r="I48" s="8"/>
      <c r="J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16.5" customHeight="1">
      <c r="A49" s="8"/>
      <c r="B49" s="8"/>
      <c r="C49" s="8"/>
      <c r="D49" s="8"/>
      <c r="E49" s="50"/>
      <c r="F49" s="50"/>
      <c r="G49" s="50"/>
      <c r="H49" s="50"/>
      <c r="I49" s="8"/>
      <c r="J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15.75" customHeight="1">
      <c r="A50" s="8"/>
      <c r="B50" s="8"/>
      <c r="C50" s="8"/>
      <c r="D50" s="71" t="s">
        <v>74</v>
      </c>
      <c r="E50" s="72"/>
      <c r="F50" s="50"/>
      <c r="G50" s="73" t="s">
        <v>39</v>
      </c>
      <c r="H50" s="72"/>
      <c r="I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15.75" customHeight="1">
      <c r="A51" s="8"/>
      <c r="B51" s="8"/>
      <c r="C51" s="8"/>
      <c r="D51" s="57" t="s">
        <v>75</v>
      </c>
      <c r="E51" s="68">
        <v>500.0</v>
      </c>
      <c r="F51" s="30"/>
      <c r="G51" s="74" t="s">
        <v>76</v>
      </c>
      <c r="H51" s="53">
        <f>5000 * 30</f>
        <v>150000</v>
      </c>
      <c r="I51" s="8"/>
      <c r="J51" s="8"/>
      <c r="K51" s="75"/>
      <c r="L51" s="75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15.75" customHeight="1">
      <c r="A52" s="76"/>
      <c r="B52" s="76"/>
      <c r="C52" s="76"/>
      <c r="D52" s="77" t="s">
        <v>77</v>
      </c>
      <c r="E52" s="78">
        <v>500.0</v>
      </c>
      <c r="F52" s="79"/>
      <c r="G52" s="80" t="s">
        <v>78</v>
      </c>
      <c r="H52" s="81">
        <f>H51 * 2</f>
        <v>300000</v>
      </c>
      <c r="I52" s="76"/>
      <c r="J52" s="82"/>
      <c r="K52" s="82"/>
      <c r="L52" s="82"/>
      <c r="M52" s="82"/>
      <c r="N52" s="83"/>
      <c r="O52" s="83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</row>
    <row r="53" ht="15.75" customHeight="1">
      <c r="A53" s="76"/>
      <c r="B53" s="76"/>
      <c r="C53" s="76"/>
      <c r="D53" s="77" t="s">
        <v>79</v>
      </c>
      <c r="E53" s="84" t="s">
        <v>80</v>
      </c>
      <c r="F53" s="79"/>
      <c r="G53" s="80" t="s">
        <v>81</v>
      </c>
      <c r="H53" s="81">
        <f>H52 * 3</f>
        <v>900000</v>
      </c>
      <c r="I53" s="76"/>
      <c r="J53" s="82"/>
      <c r="K53" s="82"/>
      <c r="L53" s="82"/>
      <c r="M53" s="82"/>
      <c r="N53" s="83"/>
      <c r="O53" s="83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</row>
    <row r="54" ht="15.75" customHeight="1">
      <c r="A54" s="8"/>
      <c r="B54" s="8"/>
      <c r="C54" s="8"/>
      <c r="D54" s="57" t="s">
        <v>82</v>
      </c>
      <c r="E54" s="68">
        <v>1000.0</v>
      </c>
      <c r="F54" s="30"/>
      <c r="G54" s="74" t="s">
        <v>48</v>
      </c>
      <c r="H54" s="53">
        <v>50.0</v>
      </c>
      <c r="I54" s="8"/>
      <c r="N54" s="55"/>
      <c r="O54" s="5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15.75" customHeight="1">
      <c r="A55" s="8"/>
      <c r="B55" s="8"/>
      <c r="C55" s="8"/>
      <c r="D55" s="29" t="s">
        <v>83</v>
      </c>
      <c r="E55" s="31"/>
      <c r="F55" s="30"/>
      <c r="G55" s="32" t="s">
        <v>84</v>
      </c>
      <c r="H55" s="31"/>
      <c r="I55" s="8"/>
      <c r="N55" s="55"/>
      <c r="O55" s="5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ht="15.75" customHeight="1">
      <c r="A56" s="8"/>
      <c r="B56" s="8"/>
      <c r="C56" s="8"/>
      <c r="D56" s="57" t="s">
        <v>85</v>
      </c>
      <c r="E56" s="46">
        <v>0.03</v>
      </c>
      <c r="F56" s="30"/>
      <c r="G56" s="57" t="s">
        <v>86</v>
      </c>
      <c r="H56" s="46">
        <v>0.05</v>
      </c>
      <c r="I56" s="8"/>
      <c r="N56" s="55"/>
      <c r="O56" s="5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15.75" customHeight="1">
      <c r="A57" s="8"/>
      <c r="B57" s="8"/>
      <c r="C57" s="8"/>
      <c r="D57" s="57" t="s">
        <v>20</v>
      </c>
      <c r="E57" s="46">
        <v>0.05</v>
      </c>
      <c r="F57" s="30"/>
      <c r="G57" s="57" t="s">
        <v>87</v>
      </c>
      <c r="H57" s="56">
        <v>0.01</v>
      </c>
      <c r="I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15.75" customHeight="1">
      <c r="A58" s="8"/>
      <c r="B58" s="8"/>
      <c r="C58" s="8"/>
      <c r="D58" s="85" t="s">
        <v>24</v>
      </c>
      <c r="E58" s="86">
        <v>0.06</v>
      </c>
      <c r="F58" s="30"/>
      <c r="G58" s="85" t="s">
        <v>88</v>
      </c>
      <c r="H58" s="87">
        <v>0.25</v>
      </c>
      <c r="I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15.75" customHeight="1">
      <c r="A59" s="8"/>
      <c r="B59" s="8"/>
      <c r="C59" s="8"/>
      <c r="D59" s="30"/>
      <c r="E59" s="30"/>
      <c r="F59" s="30"/>
      <c r="G59" s="8"/>
      <c r="H59" s="8"/>
      <c r="I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15.75" customHeight="1">
      <c r="A60" s="8"/>
      <c r="B60" s="8"/>
      <c r="C60" s="8"/>
      <c r="D60" s="11" t="s">
        <v>89</v>
      </c>
      <c r="E60" s="88">
        <v>1.0</v>
      </c>
      <c r="F60" s="88">
        <v>2.0</v>
      </c>
      <c r="G60" s="88">
        <v>3.0</v>
      </c>
      <c r="H60" s="88">
        <v>4.0</v>
      </c>
      <c r="I60" s="88">
        <v>5.0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1.5" customHeight="1">
      <c r="A61" s="8"/>
      <c r="B61" s="8"/>
      <c r="C61" s="8"/>
      <c r="D61" s="17"/>
      <c r="E61" s="17"/>
      <c r="F61" s="17"/>
      <c r="G61" s="17"/>
      <c r="H61" s="17"/>
      <c r="I61" s="1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ht="1.5" customHeight="1">
      <c r="A62" s="8"/>
      <c r="B62" s="8"/>
      <c r="C62" s="8"/>
      <c r="D62" s="23"/>
      <c r="E62" s="23"/>
      <c r="F62" s="23"/>
      <c r="G62" s="23"/>
      <c r="H62" s="23"/>
      <c r="I62" s="2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15.75" customHeight="1">
      <c r="A63" s="8"/>
      <c r="B63" s="8"/>
      <c r="C63" s="8"/>
      <c r="D63" s="57" t="s">
        <v>90</v>
      </c>
      <c r="E63" s="45">
        <v>1.0</v>
      </c>
      <c r="F63" s="45">
        <v>0.95</v>
      </c>
      <c r="G63" s="45">
        <v>0.85</v>
      </c>
      <c r="H63" s="45">
        <v>0.75</v>
      </c>
      <c r="I63" s="46">
        <v>0.5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15.75" customHeight="1">
      <c r="A64" s="8"/>
      <c r="B64" s="8"/>
      <c r="C64" s="8"/>
      <c r="D64" s="85" t="s">
        <v>91</v>
      </c>
      <c r="E64" s="89">
        <f t="shared" ref="E64:I64" si="8">100% - E63</f>
        <v>0</v>
      </c>
      <c r="F64" s="89">
        <f t="shared" si="8"/>
        <v>0.05</v>
      </c>
      <c r="G64" s="89">
        <f t="shared" si="8"/>
        <v>0.15</v>
      </c>
      <c r="H64" s="89">
        <f t="shared" si="8"/>
        <v>0.25</v>
      </c>
      <c r="I64" s="86">
        <f t="shared" si="8"/>
        <v>0.5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15.75" customHeight="1">
      <c r="A65" s="8"/>
      <c r="B65" s="8"/>
      <c r="C65" s="8"/>
      <c r="D65" s="30"/>
      <c r="E65" s="30"/>
      <c r="F65" s="3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15.75" customHeight="1">
      <c r="A66" s="8"/>
      <c r="B66" s="8"/>
      <c r="C66" s="8"/>
      <c r="D66" s="11" t="s">
        <v>92</v>
      </c>
      <c r="E66" s="12" t="s">
        <v>93</v>
      </c>
      <c r="F66" s="13" t="s">
        <v>94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1.5" customHeight="1">
      <c r="A67" s="8"/>
      <c r="B67" s="8"/>
      <c r="C67" s="8"/>
      <c r="D67" s="17"/>
      <c r="E67" s="18"/>
      <c r="F67" s="1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1.5" customHeight="1">
      <c r="A68" s="8"/>
      <c r="B68" s="8"/>
      <c r="C68" s="8"/>
      <c r="D68" s="23"/>
      <c r="E68" s="24"/>
      <c r="F68" s="2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15.75" customHeight="1">
      <c r="A69" s="8"/>
      <c r="B69" s="8"/>
      <c r="C69" s="8"/>
      <c r="D69" s="35" t="s">
        <v>95</v>
      </c>
      <c r="E69" s="30"/>
      <c r="F69" s="90">
        <v>3.0E8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ht="15.75" customHeight="1">
      <c r="A70" s="8"/>
      <c r="B70" s="8"/>
      <c r="C70" s="8"/>
      <c r="D70" s="35" t="s">
        <v>96</v>
      </c>
      <c r="E70" s="45">
        <f t="shared" ref="E70:E72" si="9">F70 / $F$69</f>
        <v>0.3142133333</v>
      </c>
      <c r="F70" s="90">
        <f>'FUNDING REQUIREMENT'!$E$15</f>
        <v>94264000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15.75" customHeight="1">
      <c r="A71" s="8"/>
      <c r="B71" s="8"/>
      <c r="C71" s="8"/>
      <c r="D71" s="35" t="s">
        <v>97</v>
      </c>
      <c r="E71" s="45">
        <f t="shared" si="9"/>
        <v>0.35912</v>
      </c>
      <c r="F71" s="90">
        <f>'FUNDING REQUIREMENT'!$E$25</f>
        <v>107736000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ht="15.75" customHeight="1">
      <c r="A72" s="8"/>
      <c r="B72" s="8"/>
      <c r="C72" s="8"/>
      <c r="D72" s="47" t="s">
        <v>98</v>
      </c>
      <c r="E72" s="89">
        <f t="shared" si="9"/>
        <v>0.3266666667</v>
      </c>
      <c r="F72" s="91">
        <f>'FUNDING REQUIREMENT'!$E$31</f>
        <v>98000000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15.75" customHeight="1">
      <c r="A73" s="8"/>
      <c r="B73" s="8"/>
      <c r="C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15.75" customHeight="1">
      <c r="A74" s="8"/>
      <c r="B74" s="8"/>
      <c r="C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15.75" customHeight="1">
      <c r="A75" s="8"/>
      <c r="B75" s="8"/>
      <c r="C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15.75" customHeight="1">
      <c r="A76" s="8"/>
      <c r="B76" s="8"/>
      <c r="C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15.75" customHeight="1">
      <c r="A77" s="8"/>
      <c r="B77" s="8"/>
      <c r="C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15.75" customHeight="1">
      <c r="A78" s="8"/>
      <c r="B78" s="8"/>
      <c r="C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15.75" customHeight="1">
      <c r="A79" s="8"/>
      <c r="B79" s="8"/>
      <c r="C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15.75" customHeight="1">
      <c r="A80" s="8"/>
      <c r="B80" s="8"/>
      <c r="C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15.75" customHeight="1">
      <c r="A81" s="8"/>
      <c r="B81" s="8"/>
      <c r="C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ht="15.75" customHeight="1">
      <c r="A82" s="8"/>
      <c r="B82" s="8"/>
      <c r="C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15.75" customHeight="1">
      <c r="A83" s="8"/>
      <c r="B83" s="8"/>
      <c r="C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15.75" customHeight="1">
      <c r="A84" s="8"/>
      <c r="B84" s="8"/>
      <c r="C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15.75" customHeight="1">
      <c r="A85" s="8"/>
      <c r="B85" s="8"/>
      <c r="C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15.75" customHeight="1">
      <c r="A86" s="8"/>
      <c r="B86" s="8"/>
      <c r="C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15.75" customHeight="1">
      <c r="A87" s="8"/>
      <c r="B87" s="8"/>
      <c r="C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15.75" customHeight="1">
      <c r="A88" s="8"/>
      <c r="B88" s="8"/>
      <c r="C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15.75" customHeight="1">
      <c r="A89" s="8"/>
      <c r="B89" s="8"/>
      <c r="C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15.75" customHeight="1">
      <c r="A90" s="8"/>
      <c r="B90" s="8"/>
      <c r="C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5.75" customHeight="1">
      <c r="A91" s="8"/>
      <c r="B91" s="8"/>
      <c r="C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15.75" customHeight="1">
      <c r="A92" s="8"/>
      <c r="B92" s="8"/>
      <c r="C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15.75" customHeight="1">
      <c r="A93" s="8"/>
      <c r="B93" s="8"/>
      <c r="C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15.75" customHeight="1">
      <c r="A94" s="8"/>
      <c r="B94" s="8"/>
      <c r="C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15.75" customHeight="1">
      <c r="A95" s="8"/>
      <c r="B95" s="8"/>
      <c r="C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15.75" customHeight="1">
      <c r="A96" s="8"/>
      <c r="B96" s="8"/>
      <c r="C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15.75" customHeight="1">
      <c r="A97" s="8"/>
      <c r="B97" s="8"/>
      <c r="C97" s="8"/>
      <c r="D97" s="8"/>
      <c r="E97" s="50"/>
      <c r="F97" s="92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15.75" customHeight="1">
      <c r="A99" s="8"/>
      <c r="B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15.75" customHeight="1">
      <c r="A100" s="8"/>
      <c r="B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15.75" customHeight="1">
      <c r="A101" s="8"/>
      <c r="B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15.75" customHeight="1">
      <c r="A102" s="8"/>
      <c r="B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15.75" customHeight="1">
      <c r="A103" s="8"/>
      <c r="B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15.75" customHeight="1">
      <c r="A104" s="8"/>
      <c r="B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15.75" customHeight="1">
      <c r="A105" s="8"/>
      <c r="B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ht="15.75" customHeight="1">
      <c r="A106" s="8"/>
      <c r="B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15.75" customHeight="1">
      <c r="A107" s="8"/>
      <c r="B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15.75" customHeight="1">
      <c r="A108" s="8"/>
      <c r="B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15.75" customHeight="1">
      <c r="A109" s="8"/>
      <c r="B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15.75" customHeight="1">
      <c r="A110" s="8"/>
      <c r="B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15.75" customHeight="1">
      <c r="A111" s="8"/>
      <c r="B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15.75" customHeight="1">
      <c r="A112" s="8"/>
      <c r="B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15.75" customHeight="1">
      <c r="A113" s="8"/>
      <c r="B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15.75" customHeight="1">
      <c r="A130" s="8"/>
      <c r="B130" s="8"/>
      <c r="C130" s="8"/>
      <c r="D130" s="8"/>
      <c r="E130" s="8"/>
      <c r="F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15.75" customHeight="1">
      <c r="A131" s="8"/>
      <c r="B131" s="8"/>
      <c r="C131" s="8"/>
      <c r="D131" s="8"/>
      <c r="E131" s="8"/>
      <c r="F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15.75" customHeight="1">
      <c r="A132" s="8"/>
      <c r="B132" s="8"/>
      <c r="C132" s="8"/>
      <c r="D132" s="8"/>
      <c r="E132" s="8"/>
      <c r="F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15.75" customHeight="1">
      <c r="A133" s="8"/>
      <c r="B133" s="8"/>
      <c r="C133" s="8"/>
      <c r="D133" s="8"/>
      <c r="E133" s="8"/>
      <c r="F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15.75" customHeight="1">
      <c r="A134" s="8"/>
      <c r="B134" s="8"/>
      <c r="C134" s="8"/>
      <c r="D134" s="8"/>
      <c r="E134" s="8"/>
      <c r="F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ht="15.75" customHeight="1">
      <c r="A135" s="8"/>
      <c r="B135" s="8"/>
      <c r="C135" s="8"/>
      <c r="D135" s="8"/>
      <c r="E135" s="8"/>
      <c r="F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ht="15.75" customHeight="1">
      <c r="A136" s="8"/>
      <c r="B136" s="8"/>
      <c r="C136" s="8"/>
      <c r="D136" s="8"/>
      <c r="E136" s="8"/>
      <c r="F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15.75" customHeight="1">
      <c r="A137" s="8"/>
      <c r="B137" s="8"/>
      <c r="C137" s="8"/>
      <c r="D137" s="8"/>
      <c r="E137" s="8"/>
      <c r="F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15.75" customHeight="1">
      <c r="A138" s="8"/>
      <c r="B138" s="8"/>
      <c r="C138" s="8"/>
      <c r="D138" s="8"/>
      <c r="E138" s="8"/>
      <c r="F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15.75" customHeight="1">
      <c r="A139" s="8"/>
      <c r="B139" s="8"/>
      <c r="C139" s="8"/>
      <c r="D139" s="8"/>
      <c r="E139" s="8"/>
      <c r="F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15.75" customHeight="1">
      <c r="A140" s="8"/>
      <c r="B140" s="8"/>
      <c r="C140" s="8"/>
      <c r="D140" s="8"/>
      <c r="E140" s="8"/>
      <c r="F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ht="15.75" customHeight="1">
      <c r="A141" s="8"/>
      <c r="B141" s="8"/>
      <c r="C141" s="8"/>
      <c r="D141" s="8"/>
      <c r="E141" s="8"/>
      <c r="F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15.75" customHeight="1">
      <c r="A142" s="8"/>
      <c r="B142" s="8"/>
      <c r="C142" s="8"/>
      <c r="D142" s="8"/>
      <c r="E142" s="8"/>
      <c r="F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15.75" customHeight="1">
      <c r="A143" s="8"/>
      <c r="B143" s="8"/>
      <c r="C143" s="8"/>
      <c r="D143" s="8"/>
      <c r="E143" s="8"/>
      <c r="F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15.75" customHeight="1">
      <c r="A144" s="8"/>
      <c r="B144" s="8"/>
      <c r="C144" s="8"/>
      <c r="D144" s="8"/>
      <c r="E144" s="8"/>
      <c r="F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ht="15.75" customHeight="1">
      <c r="A145" s="8"/>
      <c r="B145" s="8"/>
      <c r="C145" s="8"/>
      <c r="D145" s="8"/>
      <c r="E145" s="8"/>
      <c r="F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ht="15.75" customHeight="1">
      <c r="A146" s="8"/>
      <c r="B146" s="8"/>
      <c r="C146" s="8"/>
      <c r="D146" s="8"/>
      <c r="E146" s="8"/>
      <c r="F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15.75" customHeight="1">
      <c r="A147" s="8"/>
      <c r="B147" s="8"/>
      <c r="C147" s="8"/>
      <c r="D147" s="8"/>
      <c r="E147" s="8"/>
      <c r="F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15.75" customHeight="1">
      <c r="A148" s="8"/>
      <c r="B148" s="8"/>
      <c r="C148" s="8"/>
      <c r="D148" s="8"/>
      <c r="E148" s="8"/>
      <c r="F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N7">
      <formula1>"Worst,Base,Best"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12.63"/>
    <col customWidth="1" min="4" max="4" width="33.25"/>
    <col customWidth="1" min="5" max="5" width="14.5"/>
    <col customWidth="1" min="6" max="6" width="12.63"/>
  </cols>
  <sheetData>
    <row r="1">
      <c r="A1" s="93" t="str">
        <f>COVER!$B$12</f>
        <v>Narayan Dairy Project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 t="s">
        <v>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10"/>
      <c r="B3" s="10"/>
      <c r="C3" s="10"/>
      <c r="D3" s="10"/>
      <c r="E3" s="10"/>
      <c r="F3" s="10"/>
      <c r="G3" s="10"/>
      <c r="H3" s="10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4"/>
      <c r="B4" s="94"/>
      <c r="C4" s="94"/>
      <c r="D4" s="11" t="s">
        <v>100</v>
      </c>
      <c r="E4" s="13" t="s">
        <v>101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.5" customHeight="1">
      <c r="A5" s="8"/>
      <c r="B5" s="8"/>
      <c r="C5" s="8"/>
      <c r="D5" s="96"/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1.5" customHeight="1">
      <c r="A6" s="8"/>
      <c r="B6" s="8"/>
      <c r="C6" s="8"/>
      <c r="D6" s="99"/>
      <c r="E6" s="100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5.75" customHeight="1">
      <c r="D7" s="101" t="s">
        <v>102</v>
      </c>
      <c r="E7" s="31"/>
    </row>
    <row r="8" ht="15.75" customHeight="1">
      <c r="D8" s="102" t="s">
        <v>103</v>
      </c>
      <c r="E8" s="103">
        <v>5.0E7</v>
      </c>
    </row>
    <row r="9" ht="15.75" customHeight="1">
      <c r="D9" s="102" t="s">
        <v>104</v>
      </c>
      <c r="E9" s="103">
        <v>1.1264E7</v>
      </c>
      <c r="G9" s="104"/>
    </row>
    <row r="10" ht="15.75" customHeight="1">
      <c r="D10" s="102" t="s">
        <v>105</v>
      </c>
      <c r="E10" s="103">
        <v>500000.0</v>
      </c>
      <c r="G10" s="104"/>
    </row>
    <row r="11" ht="15.75" customHeight="1">
      <c r="D11" s="102" t="s">
        <v>106</v>
      </c>
      <c r="E11" s="103">
        <v>2.0E7</v>
      </c>
      <c r="G11" s="104"/>
    </row>
    <row r="12" ht="15.75" customHeight="1">
      <c r="D12" s="102" t="s">
        <v>107</v>
      </c>
      <c r="E12" s="103">
        <v>5000000.0</v>
      </c>
      <c r="G12" s="104"/>
    </row>
    <row r="13" ht="15.75" customHeight="1">
      <c r="D13" s="102" t="s">
        <v>108</v>
      </c>
      <c r="E13" s="103">
        <v>2500000.0</v>
      </c>
      <c r="G13" s="104"/>
    </row>
    <row r="14" ht="15.75" customHeight="1">
      <c r="D14" s="102" t="s">
        <v>109</v>
      </c>
      <c r="E14" s="103">
        <v>5000000.0</v>
      </c>
      <c r="G14" s="104"/>
    </row>
    <row r="15" ht="15.75" customHeight="1">
      <c r="D15" s="105" t="s">
        <v>110</v>
      </c>
      <c r="E15" s="106">
        <f>SUM(E8:E14)</f>
        <v>94264000</v>
      </c>
      <c r="G15" s="107"/>
    </row>
    <row r="16" ht="15.75" customHeight="1">
      <c r="D16" s="101" t="s">
        <v>111</v>
      </c>
      <c r="E16" s="103"/>
      <c r="G16" s="104"/>
    </row>
    <row r="17" ht="15.75" customHeight="1">
      <c r="D17" s="102" t="s">
        <v>112</v>
      </c>
      <c r="E17" s="103">
        <v>2.8736E7</v>
      </c>
      <c r="G17" s="104"/>
    </row>
    <row r="18" ht="15.75" customHeight="1">
      <c r="D18" s="102" t="s">
        <v>113</v>
      </c>
      <c r="E18" s="103">
        <v>3.0E7</v>
      </c>
      <c r="G18" s="104"/>
    </row>
    <row r="19" ht="15.75" customHeight="1">
      <c r="D19" s="102" t="s">
        <v>114</v>
      </c>
      <c r="E19" s="103">
        <v>2500000.0</v>
      </c>
      <c r="G19" s="104"/>
    </row>
    <row r="20" ht="15.75" customHeight="1">
      <c r="D20" s="102" t="s">
        <v>115</v>
      </c>
      <c r="E20" s="103">
        <v>2.25E7</v>
      </c>
      <c r="G20" s="104"/>
    </row>
    <row r="21" ht="15.75" customHeight="1">
      <c r="D21" s="102" t="s">
        <v>116</v>
      </c>
      <c r="E21" s="103">
        <v>1.3E7</v>
      </c>
      <c r="G21" s="104"/>
    </row>
    <row r="22" ht="15.75" customHeight="1">
      <c r="D22" s="102" t="s">
        <v>117</v>
      </c>
      <c r="E22" s="103">
        <v>5000000.0</v>
      </c>
      <c r="G22" s="104"/>
    </row>
    <row r="23" ht="15.75" customHeight="1">
      <c r="D23" s="102" t="s">
        <v>118</v>
      </c>
      <c r="E23" s="103">
        <v>1500000.0</v>
      </c>
      <c r="G23" s="104"/>
    </row>
    <row r="24" ht="15.75" customHeight="1">
      <c r="D24" s="102" t="s">
        <v>60</v>
      </c>
      <c r="E24" s="103">
        <v>4500000.0</v>
      </c>
      <c r="G24" s="104"/>
    </row>
    <row r="25" ht="15.75" customHeight="1">
      <c r="D25" s="105" t="s">
        <v>119</v>
      </c>
      <c r="E25" s="106">
        <f>SUM(E17:E24)</f>
        <v>107736000</v>
      </c>
      <c r="G25" s="107"/>
    </row>
    <row r="26" ht="15.75" customHeight="1">
      <c r="D26" s="101" t="s">
        <v>120</v>
      </c>
      <c r="E26" s="103"/>
      <c r="G26" s="104"/>
    </row>
    <row r="27" ht="15.75" customHeight="1">
      <c r="D27" s="102" t="s">
        <v>121</v>
      </c>
      <c r="E27" s="103">
        <v>7.0E7</v>
      </c>
      <c r="G27" s="104"/>
    </row>
    <row r="28" ht="15.75" customHeight="1">
      <c r="D28" s="102" t="s">
        <v>122</v>
      </c>
      <c r="E28" s="103">
        <v>500000.0</v>
      </c>
      <c r="G28" s="104"/>
    </row>
    <row r="29" ht="15.75" customHeight="1">
      <c r="D29" s="102" t="s">
        <v>123</v>
      </c>
      <c r="E29" s="103">
        <v>2.25E7</v>
      </c>
      <c r="G29" s="104"/>
    </row>
    <row r="30" ht="15.75" customHeight="1">
      <c r="D30" s="102" t="s">
        <v>117</v>
      </c>
      <c r="E30" s="103">
        <v>5000000.0</v>
      </c>
      <c r="G30" s="104"/>
    </row>
    <row r="31" ht="15.75" customHeight="1">
      <c r="D31" s="105" t="s">
        <v>124</v>
      </c>
      <c r="E31" s="106">
        <f>SUM(E27:E30)</f>
        <v>98000000</v>
      </c>
      <c r="G31" s="107"/>
    </row>
    <row r="32" ht="15.75" customHeight="1">
      <c r="D32" s="108" t="s">
        <v>125</v>
      </c>
      <c r="E32" s="109">
        <f>SUM(E15,E25,E31)</f>
        <v>300000000</v>
      </c>
      <c r="G32" s="107"/>
    </row>
    <row r="33" ht="15.75" customHeight="1">
      <c r="D33" s="11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25"/>
    <col customWidth="1" min="4" max="4" width="26.0"/>
    <col customWidth="1" min="5" max="6" width="12.63"/>
  </cols>
  <sheetData>
    <row r="1">
      <c r="A1" s="111" t="str">
        <f>COVER!$B$12</f>
        <v>Narayan Dairy Project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ht="15.75" customHeight="1">
      <c r="A2" s="112" t="s">
        <v>126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4" ht="15.75" customHeight="1">
      <c r="A4" s="64"/>
      <c r="B4" s="64"/>
      <c r="C4" s="64"/>
      <c r="D4" s="114" t="s">
        <v>127</v>
      </c>
      <c r="E4" s="115">
        <v>1.0</v>
      </c>
      <c r="F4" s="115">
        <f t="shared" ref="F4:BL4" si="1">E4+1</f>
        <v>2</v>
      </c>
      <c r="G4" s="115">
        <f t="shared" si="1"/>
        <v>3</v>
      </c>
      <c r="H4" s="115">
        <f t="shared" si="1"/>
        <v>4</v>
      </c>
      <c r="I4" s="115">
        <f t="shared" si="1"/>
        <v>5</v>
      </c>
      <c r="J4" s="115">
        <f t="shared" si="1"/>
        <v>6</v>
      </c>
      <c r="K4" s="115">
        <f t="shared" si="1"/>
        <v>7</v>
      </c>
      <c r="L4" s="115">
        <f t="shared" si="1"/>
        <v>8</v>
      </c>
      <c r="M4" s="115">
        <f t="shared" si="1"/>
        <v>9</v>
      </c>
      <c r="N4" s="115">
        <f t="shared" si="1"/>
        <v>10</v>
      </c>
      <c r="O4" s="115">
        <f t="shared" si="1"/>
        <v>11</v>
      </c>
      <c r="P4" s="115">
        <f t="shared" si="1"/>
        <v>12</v>
      </c>
      <c r="Q4" s="115">
        <f t="shared" si="1"/>
        <v>13</v>
      </c>
      <c r="R4" s="115">
        <f t="shared" si="1"/>
        <v>14</v>
      </c>
      <c r="S4" s="115">
        <f t="shared" si="1"/>
        <v>15</v>
      </c>
      <c r="T4" s="115">
        <f t="shared" si="1"/>
        <v>16</v>
      </c>
      <c r="U4" s="115">
        <f t="shared" si="1"/>
        <v>17</v>
      </c>
      <c r="V4" s="115">
        <f t="shared" si="1"/>
        <v>18</v>
      </c>
      <c r="W4" s="115">
        <f t="shared" si="1"/>
        <v>19</v>
      </c>
      <c r="X4" s="115">
        <f t="shared" si="1"/>
        <v>20</v>
      </c>
      <c r="Y4" s="115">
        <f t="shared" si="1"/>
        <v>21</v>
      </c>
      <c r="Z4" s="115">
        <f t="shared" si="1"/>
        <v>22</v>
      </c>
      <c r="AA4" s="115">
        <f t="shared" si="1"/>
        <v>23</v>
      </c>
      <c r="AB4" s="115">
        <f t="shared" si="1"/>
        <v>24</v>
      </c>
      <c r="AC4" s="115">
        <f t="shared" si="1"/>
        <v>25</v>
      </c>
      <c r="AD4" s="115">
        <f t="shared" si="1"/>
        <v>26</v>
      </c>
      <c r="AE4" s="115">
        <f t="shared" si="1"/>
        <v>27</v>
      </c>
      <c r="AF4" s="115">
        <f t="shared" si="1"/>
        <v>28</v>
      </c>
      <c r="AG4" s="115">
        <f t="shared" si="1"/>
        <v>29</v>
      </c>
      <c r="AH4" s="115">
        <f t="shared" si="1"/>
        <v>30</v>
      </c>
      <c r="AI4" s="115">
        <f t="shared" si="1"/>
        <v>31</v>
      </c>
      <c r="AJ4" s="115">
        <f t="shared" si="1"/>
        <v>32</v>
      </c>
      <c r="AK4" s="115">
        <f t="shared" si="1"/>
        <v>33</v>
      </c>
      <c r="AL4" s="115">
        <f t="shared" si="1"/>
        <v>34</v>
      </c>
      <c r="AM4" s="115">
        <f t="shared" si="1"/>
        <v>35</v>
      </c>
      <c r="AN4" s="115">
        <f t="shared" si="1"/>
        <v>36</v>
      </c>
      <c r="AO4" s="115">
        <f t="shared" si="1"/>
        <v>37</v>
      </c>
      <c r="AP4" s="115">
        <f t="shared" si="1"/>
        <v>38</v>
      </c>
      <c r="AQ4" s="115">
        <f t="shared" si="1"/>
        <v>39</v>
      </c>
      <c r="AR4" s="115">
        <f t="shared" si="1"/>
        <v>40</v>
      </c>
      <c r="AS4" s="115">
        <f t="shared" si="1"/>
        <v>41</v>
      </c>
      <c r="AT4" s="115">
        <f t="shared" si="1"/>
        <v>42</v>
      </c>
      <c r="AU4" s="115">
        <f t="shared" si="1"/>
        <v>43</v>
      </c>
      <c r="AV4" s="115">
        <f t="shared" si="1"/>
        <v>44</v>
      </c>
      <c r="AW4" s="115">
        <f t="shared" si="1"/>
        <v>45</v>
      </c>
      <c r="AX4" s="115">
        <f t="shared" si="1"/>
        <v>46</v>
      </c>
      <c r="AY4" s="115">
        <f t="shared" si="1"/>
        <v>47</v>
      </c>
      <c r="AZ4" s="115">
        <f t="shared" si="1"/>
        <v>48</v>
      </c>
      <c r="BA4" s="115">
        <f t="shared" si="1"/>
        <v>49</v>
      </c>
      <c r="BB4" s="115">
        <f t="shared" si="1"/>
        <v>50</v>
      </c>
      <c r="BC4" s="115">
        <f t="shared" si="1"/>
        <v>51</v>
      </c>
      <c r="BD4" s="115">
        <f t="shared" si="1"/>
        <v>52</v>
      </c>
      <c r="BE4" s="115">
        <f t="shared" si="1"/>
        <v>53</v>
      </c>
      <c r="BF4" s="115">
        <f t="shared" si="1"/>
        <v>54</v>
      </c>
      <c r="BG4" s="115">
        <f t="shared" si="1"/>
        <v>55</v>
      </c>
      <c r="BH4" s="115">
        <f t="shared" si="1"/>
        <v>56</v>
      </c>
      <c r="BI4" s="115">
        <f t="shared" si="1"/>
        <v>57</v>
      </c>
      <c r="BJ4" s="115">
        <f t="shared" si="1"/>
        <v>58</v>
      </c>
      <c r="BK4" s="115">
        <f t="shared" si="1"/>
        <v>59</v>
      </c>
      <c r="BL4" s="116">
        <f t="shared" si="1"/>
        <v>60</v>
      </c>
    </row>
    <row r="5" ht="1.5" customHeight="1">
      <c r="A5" s="64"/>
      <c r="B5" s="64"/>
      <c r="C5" s="64"/>
      <c r="D5" s="11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9"/>
    </row>
    <row r="6" ht="1.5" customHeight="1">
      <c r="A6" s="64"/>
      <c r="B6" s="64"/>
      <c r="C6" s="64"/>
      <c r="D6" s="120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2"/>
    </row>
    <row r="7" ht="15.75" customHeight="1">
      <c r="A7" s="64"/>
      <c r="B7" s="64"/>
      <c r="C7" s="64"/>
      <c r="D7" s="123" t="s">
        <v>128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5"/>
    </row>
    <row r="8" ht="15.75" customHeight="1">
      <c r="A8" s="64"/>
      <c r="B8" s="64"/>
      <c r="C8" s="64"/>
      <c r="D8" s="124" t="s">
        <v>129</v>
      </c>
      <c r="E8" s="64">
        <f t="shared" ref="E8:BL8" si="2">MIN(IF(E4 &lt; 5, 0, IF(E4 = 5, 50, IF(E4 &lt;=36, (D$8 + 50), (D$8 + 150)))), 2800)</f>
        <v>0</v>
      </c>
      <c r="F8" s="64">
        <f t="shared" si="2"/>
        <v>0</v>
      </c>
      <c r="G8" s="64">
        <f t="shared" si="2"/>
        <v>0</v>
      </c>
      <c r="H8" s="64">
        <f t="shared" si="2"/>
        <v>0</v>
      </c>
      <c r="I8" s="64">
        <f t="shared" si="2"/>
        <v>50</v>
      </c>
      <c r="J8" s="64">
        <f t="shared" si="2"/>
        <v>100</v>
      </c>
      <c r="K8" s="64">
        <f t="shared" si="2"/>
        <v>150</v>
      </c>
      <c r="L8" s="64">
        <f t="shared" si="2"/>
        <v>200</v>
      </c>
      <c r="M8" s="64">
        <f t="shared" si="2"/>
        <v>250</v>
      </c>
      <c r="N8" s="64">
        <f t="shared" si="2"/>
        <v>300</v>
      </c>
      <c r="O8" s="64">
        <f t="shared" si="2"/>
        <v>350</v>
      </c>
      <c r="P8" s="64">
        <f t="shared" si="2"/>
        <v>400</v>
      </c>
      <c r="Q8" s="64">
        <f t="shared" si="2"/>
        <v>450</v>
      </c>
      <c r="R8" s="64">
        <f t="shared" si="2"/>
        <v>500</v>
      </c>
      <c r="S8" s="64">
        <f t="shared" si="2"/>
        <v>550</v>
      </c>
      <c r="T8" s="64">
        <f t="shared" si="2"/>
        <v>600</v>
      </c>
      <c r="U8" s="64">
        <f t="shared" si="2"/>
        <v>650</v>
      </c>
      <c r="V8" s="64">
        <f t="shared" si="2"/>
        <v>700</v>
      </c>
      <c r="W8" s="64">
        <f t="shared" si="2"/>
        <v>750</v>
      </c>
      <c r="X8" s="64">
        <f t="shared" si="2"/>
        <v>800</v>
      </c>
      <c r="Y8" s="64">
        <f t="shared" si="2"/>
        <v>850</v>
      </c>
      <c r="Z8" s="64">
        <f t="shared" si="2"/>
        <v>900</v>
      </c>
      <c r="AA8" s="64">
        <f t="shared" si="2"/>
        <v>950</v>
      </c>
      <c r="AB8" s="64">
        <f t="shared" si="2"/>
        <v>1000</v>
      </c>
      <c r="AC8" s="64">
        <f t="shared" si="2"/>
        <v>1050</v>
      </c>
      <c r="AD8" s="64">
        <f t="shared" si="2"/>
        <v>1100</v>
      </c>
      <c r="AE8" s="64">
        <f t="shared" si="2"/>
        <v>1150</v>
      </c>
      <c r="AF8" s="64">
        <f t="shared" si="2"/>
        <v>1200</v>
      </c>
      <c r="AG8" s="64">
        <f t="shared" si="2"/>
        <v>1250</v>
      </c>
      <c r="AH8" s="64">
        <f t="shared" si="2"/>
        <v>1300</v>
      </c>
      <c r="AI8" s="64">
        <f t="shared" si="2"/>
        <v>1350</v>
      </c>
      <c r="AJ8" s="64">
        <f t="shared" si="2"/>
        <v>1400</v>
      </c>
      <c r="AK8" s="64">
        <f t="shared" si="2"/>
        <v>1450</v>
      </c>
      <c r="AL8" s="64">
        <f t="shared" si="2"/>
        <v>1500</v>
      </c>
      <c r="AM8" s="64">
        <f t="shared" si="2"/>
        <v>1550</v>
      </c>
      <c r="AN8" s="64">
        <f t="shared" si="2"/>
        <v>1600</v>
      </c>
      <c r="AO8" s="64">
        <f t="shared" si="2"/>
        <v>1750</v>
      </c>
      <c r="AP8" s="64">
        <f t="shared" si="2"/>
        <v>1900</v>
      </c>
      <c r="AQ8" s="64">
        <f t="shared" si="2"/>
        <v>2050</v>
      </c>
      <c r="AR8" s="64">
        <f t="shared" si="2"/>
        <v>2200</v>
      </c>
      <c r="AS8" s="64">
        <f t="shared" si="2"/>
        <v>2350</v>
      </c>
      <c r="AT8" s="64">
        <f t="shared" si="2"/>
        <v>2500</v>
      </c>
      <c r="AU8" s="64">
        <f t="shared" si="2"/>
        <v>2650</v>
      </c>
      <c r="AV8" s="64">
        <f t="shared" si="2"/>
        <v>2800</v>
      </c>
      <c r="AW8" s="64">
        <f t="shared" si="2"/>
        <v>2800</v>
      </c>
      <c r="AX8" s="64">
        <f t="shared" si="2"/>
        <v>2800</v>
      </c>
      <c r="AY8" s="64">
        <f t="shared" si="2"/>
        <v>2800</v>
      </c>
      <c r="AZ8" s="64">
        <f t="shared" si="2"/>
        <v>2800</v>
      </c>
      <c r="BA8" s="64">
        <f t="shared" si="2"/>
        <v>2800</v>
      </c>
      <c r="BB8" s="64">
        <f t="shared" si="2"/>
        <v>2800</v>
      </c>
      <c r="BC8" s="64">
        <f t="shared" si="2"/>
        <v>2800</v>
      </c>
      <c r="BD8" s="64">
        <f t="shared" si="2"/>
        <v>2800</v>
      </c>
      <c r="BE8" s="64">
        <f t="shared" si="2"/>
        <v>2800</v>
      </c>
      <c r="BF8" s="64">
        <f t="shared" si="2"/>
        <v>2800</v>
      </c>
      <c r="BG8" s="64">
        <f t="shared" si="2"/>
        <v>2800</v>
      </c>
      <c r="BH8" s="64">
        <f t="shared" si="2"/>
        <v>2800</v>
      </c>
      <c r="BI8" s="64">
        <f t="shared" si="2"/>
        <v>2800</v>
      </c>
      <c r="BJ8" s="64">
        <f t="shared" si="2"/>
        <v>2800</v>
      </c>
      <c r="BK8" s="64">
        <f t="shared" si="2"/>
        <v>2800</v>
      </c>
      <c r="BL8" s="64">
        <f t="shared" si="2"/>
        <v>2800</v>
      </c>
    </row>
    <row r="9" ht="15.75" customHeight="1">
      <c r="A9" s="64"/>
      <c r="B9" s="64"/>
      <c r="C9" s="64"/>
      <c r="D9" s="124" t="s">
        <v>130</v>
      </c>
      <c r="E9" s="125">
        <f>ASSUMPTIONS!$H$25</f>
        <v>32</v>
      </c>
      <c r="F9" s="125">
        <f>ASSUMPTIONS!$H$25</f>
        <v>32</v>
      </c>
      <c r="G9" s="125">
        <f>ASSUMPTIONS!$H$25</f>
        <v>32</v>
      </c>
      <c r="H9" s="125">
        <f>ASSUMPTIONS!$H$25</f>
        <v>32</v>
      </c>
      <c r="I9" s="125">
        <f>ASSUMPTIONS!$H$25</f>
        <v>32</v>
      </c>
      <c r="J9" s="125">
        <f>ASSUMPTIONS!$H$25</f>
        <v>32</v>
      </c>
      <c r="K9" s="125">
        <f>ASSUMPTIONS!$H$25</f>
        <v>32</v>
      </c>
      <c r="L9" s="125">
        <f>ASSUMPTIONS!$H$25</f>
        <v>32</v>
      </c>
      <c r="M9" s="125">
        <f>ASSUMPTIONS!$H$25</f>
        <v>32</v>
      </c>
      <c r="N9" s="125">
        <f>ASSUMPTIONS!$H$25</f>
        <v>32</v>
      </c>
      <c r="O9" s="125">
        <f>ASSUMPTIONS!$H$25</f>
        <v>32</v>
      </c>
      <c r="P9" s="125">
        <f>ASSUMPTIONS!$H$25</f>
        <v>32</v>
      </c>
      <c r="Q9" s="125">
        <f>ASSUMPTIONS!$H$25</f>
        <v>32</v>
      </c>
      <c r="R9" s="125">
        <f>ASSUMPTIONS!$H$25</f>
        <v>32</v>
      </c>
      <c r="S9" s="125">
        <f>ASSUMPTIONS!$H$25</f>
        <v>32</v>
      </c>
      <c r="T9" s="125">
        <f>ASSUMPTIONS!$H$25</f>
        <v>32</v>
      </c>
      <c r="U9" s="125">
        <f>ASSUMPTIONS!$H$25</f>
        <v>32</v>
      </c>
      <c r="V9" s="125">
        <f>ASSUMPTIONS!$H$25</f>
        <v>32</v>
      </c>
      <c r="W9" s="125">
        <f>ASSUMPTIONS!$H$25</f>
        <v>32</v>
      </c>
      <c r="X9" s="125">
        <f>ASSUMPTIONS!$H$25</f>
        <v>32</v>
      </c>
      <c r="Y9" s="125">
        <f>ASSUMPTIONS!$H$25</f>
        <v>32</v>
      </c>
      <c r="Z9" s="125">
        <f>ASSUMPTIONS!$H$25</f>
        <v>32</v>
      </c>
      <c r="AA9" s="125">
        <f>ASSUMPTIONS!$H$25</f>
        <v>32</v>
      </c>
      <c r="AB9" s="125">
        <f>ASSUMPTIONS!$H$25</f>
        <v>32</v>
      </c>
      <c r="AC9" s="125">
        <f>ASSUMPTIONS!$H$25</f>
        <v>32</v>
      </c>
      <c r="AD9" s="125">
        <f>ASSUMPTIONS!$H$25</f>
        <v>32</v>
      </c>
      <c r="AE9" s="125">
        <f>ASSUMPTIONS!$H$25</f>
        <v>32</v>
      </c>
      <c r="AF9" s="125">
        <f>ASSUMPTIONS!$H$25</f>
        <v>32</v>
      </c>
      <c r="AG9" s="125">
        <f>ASSUMPTIONS!$H$25</f>
        <v>32</v>
      </c>
      <c r="AH9" s="125">
        <f>ASSUMPTIONS!$H$25</f>
        <v>32</v>
      </c>
      <c r="AI9" s="125">
        <f>ASSUMPTIONS!$H$25</f>
        <v>32</v>
      </c>
      <c r="AJ9" s="125">
        <f>ASSUMPTIONS!$H$25</f>
        <v>32</v>
      </c>
      <c r="AK9" s="125">
        <f>ASSUMPTIONS!$H$25</f>
        <v>32</v>
      </c>
      <c r="AL9" s="125">
        <f>ASSUMPTIONS!$H$25</f>
        <v>32</v>
      </c>
      <c r="AM9" s="125">
        <f>ASSUMPTIONS!$H$25</f>
        <v>32</v>
      </c>
      <c r="AN9" s="125">
        <f>ASSUMPTIONS!$H$25</f>
        <v>32</v>
      </c>
      <c r="AO9" s="125">
        <f>ASSUMPTIONS!$H$25</f>
        <v>32</v>
      </c>
      <c r="AP9" s="125">
        <f>ASSUMPTIONS!$H$25</f>
        <v>32</v>
      </c>
      <c r="AQ9" s="125">
        <f>ASSUMPTIONS!$H$25</f>
        <v>32</v>
      </c>
      <c r="AR9" s="125">
        <f>ASSUMPTIONS!$H$25</f>
        <v>32</v>
      </c>
      <c r="AS9" s="125">
        <f>ASSUMPTIONS!$H$25</f>
        <v>32</v>
      </c>
      <c r="AT9" s="125">
        <f>ASSUMPTIONS!$H$25</f>
        <v>32</v>
      </c>
      <c r="AU9" s="125">
        <f>ASSUMPTIONS!$H$25</f>
        <v>32</v>
      </c>
      <c r="AV9" s="125">
        <f>ASSUMPTIONS!$H$25</f>
        <v>32</v>
      </c>
      <c r="AW9" s="125">
        <f>ASSUMPTIONS!$H$25</f>
        <v>32</v>
      </c>
      <c r="AX9" s="125">
        <f>ASSUMPTIONS!$H$25</f>
        <v>32</v>
      </c>
      <c r="AY9" s="125">
        <f>ASSUMPTIONS!$H$25</f>
        <v>32</v>
      </c>
      <c r="AZ9" s="125">
        <f>ASSUMPTIONS!$H$25</f>
        <v>32</v>
      </c>
      <c r="BA9" s="125">
        <f>ASSUMPTIONS!$H$25</f>
        <v>32</v>
      </c>
      <c r="BB9" s="125">
        <f>ASSUMPTIONS!$H$25</f>
        <v>32</v>
      </c>
      <c r="BC9" s="125">
        <f>ASSUMPTIONS!$H$25</f>
        <v>32</v>
      </c>
      <c r="BD9" s="125">
        <f>ASSUMPTIONS!$H$25</f>
        <v>32</v>
      </c>
      <c r="BE9" s="125">
        <f>ASSUMPTIONS!$H$25</f>
        <v>32</v>
      </c>
      <c r="BF9" s="125">
        <f>ASSUMPTIONS!$H$25</f>
        <v>32</v>
      </c>
      <c r="BG9" s="125">
        <f>ASSUMPTIONS!$H$25</f>
        <v>32</v>
      </c>
      <c r="BH9" s="125">
        <f>ASSUMPTIONS!$H$25</f>
        <v>32</v>
      </c>
      <c r="BI9" s="125">
        <f>ASSUMPTIONS!$H$25</f>
        <v>32</v>
      </c>
      <c r="BJ9" s="125">
        <f>ASSUMPTIONS!$H$25</f>
        <v>32</v>
      </c>
      <c r="BK9" s="125">
        <f>ASSUMPTIONS!$H$25</f>
        <v>32</v>
      </c>
      <c r="BL9" s="126">
        <f>ASSUMPTIONS!$H$25</f>
        <v>32</v>
      </c>
    </row>
    <row r="10" ht="15.75" customHeight="1">
      <c r="A10" s="64"/>
      <c r="B10" s="64"/>
      <c r="C10" s="64"/>
      <c r="D10" s="124" t="s">
        <v>131</v>
      </c>
      <c r="E10" s="125">
        <f t="shared" ref="E10:BL10" si="3">E8 * E9 * 30</f>
        <v>0</v>
      </c>
      <c r="F10" s="125">
        <f t="shared" si="3"/>
        <v>0</v>
      </c>
      <c r="G10" s="125">
        <f t="shared" si="3"/>
        <v>0</v>
      </c>
      <c r="H10" s="125">
        <f t="shared" si="3"/>
        <v>0</v>
      </c>
      <c r="I10" s="125">
        <f t="shared" si="3"/>
        <v>48000</v>
      </c>
      <c r="J10" s="125">
        <f t="shared" si="3"/>
        <v>96000</v>
      </c>
      <c r="K10" s="125">
        <f t="shared" si="3"/>
        <v>144000</v>
      </c>
      <c r="L10" s="125">
        <f t="shared" si="3"/>
        <v>192000</v>
      </c>
      <c r="M10" s="125">
        <f t="shared" si="3"/>
        <v>240000</v>
      </c>
      <c r="N10" s="125">
        <f t="shared" si="3"/>
        <v>288000</v>
      </c>
      <c r="O10" s="125">
        <f t="shared" si="3"/>
        <v>336000</v>
      </c>
      <c r="P10" s="125">
        <f t="shared" si="3"/>
        <v>384000</v>
      </c>
      <c r="Q10" s="125">
        <f t="shared" si="3"/>
        <v>432000</v>
      </c>
      <c r="R10" s="125">
        <f t="shared" si="3"/>
        <v>480000</v>
      </c>
      <c r="S10" s="125">
        <f t="shared" si="3"/>
        <v>528000</v>
      </c>
      <c r="T10" s="125">
        <f t="shared" si="3"/>
        <v>576000</v>
      </c>
      <c r="U10" s="125">
        <f t="shared" si="3"/>
        <v>624000</v>
      </c>
      <c r="V10" s="125">
        <f t="shared" si="3"/>
        <v>672000</v>
      </c>
      <c r="W10" s="125">
        <f t="shared" si="3"/>
        <v>720000</v>
      </c>
      <c r="X10" s="125">
        <f t="shared" si="3"/>
        <v>768000</v>
      </c>
      <c r="Y10" s="125">
        <f t="shared" si="3"/>
        <v>816000</v>
      </c>
      <c r="Z10" s="125">
        <f t="shared" si="3"/>
        <v>864000</v>
      </c>
      <c r="AA10" s="125">
        <f t="shared" si="3"/>
        <v>912000</v>
      </c>
      <c r="AB10" s="125">
        <f t="shared" si="3"/>
        <v>960000</v>
      </c>
      <c r="AC10" s="125">
        <f t="shared" si="3"/>
        <v>1008000</v>
      </c>
      <c r="AD10" s="125">
        <f t="shared" si="3"/>
        <v>1056000</v>
      </c>
      <c r="AE10" s="125">
        <f t="shared" si="3"/>
        <v>1104000</v>
      </c>
      <c r="AF10" s="125">
        <f t="shared" si="3"/>
        <v>1152000</v>
      </c>
      <c r="AG10" s="125">
        <f t="shared" si="3"/>
        <v>1200000</v>
      </c>
      <c r="AH10" s="125">
        <f t="shared" si="3"/>
        <v>1248000</v>
      </c>
      <c r="AI10" s="125">
        <f t="shared" si="3"/>
        <v>1296000</v>
      </c>
      <c r="AJ10" s="125">
        <f t="shared" si="3"/>
        <v>1344000</v>
      </c>
      <c r="AK10" s="125">
        <f t="shared" si="3"/>
        <v>1392000</v>
      </c>
      <c r="AL10" s="125">
        <f t="shared" si="3"/>
        <v>1440000</v>
      </c>
      <c r="AM10" s="125">
        <f t="shared" si="3"/>
        <v>1488000</v>
      </c>
      <c r="AN10" s="125">
        <f t="shared" si="3"/>
        <v>1536000</v>
      </c>
      <c r="AO10" s="125">
        <f t="shared" si="3"/>
        <v>1680000</v>
      </c>
      <c r="AP10" s="125">
        <f t="shared" si="3"/>
        <v>1824000</v>
      </c>
      <c r="AQ10" s="125">
        <f t="shared" si="3"/>
        <v>1968000</v>
      </c>
      <c r="AR10" s="125">
        <f t="shared" si="3"/>
        <v>2112000</v>
      </c>
      <c r="AS10" s="125">
        <f t="shared" si="3"/>
        <v>2256000</v>
      </c>
      <c r="AT10" s="125">
        <f t="shared" si="3"/>
        <v>2400000</v>
      </c>
      <c r="AU10" s="125">
        <f t="shared" si="3"/>
        <v>2544000</v>
      </c>
      <c r="AV10" s="125">
        <f t="shared" si="3"/>
        <v>2688000</v>
      </c>
      <c r="AW10" s="125">
        <f t="shared" si="3"/>
        <v>2688000</v>
      </c>
      <c r="AX10" s="125">
        <f t="shared" si="3"/>
        <v>2688000</v>
      </c>
      <c r="AY10" s="125">
        <f t="shared" si="3"/>
        <v>2688000</v>
      </c>
      <c r="AZ10" s="125">
        <f t="shared" si="3"/>
        <v>2688000</v>
      </c>
      <c r="BA10" s="125">
        <f t="shared" si="3"/>
        <v>2688000</v>
      </c>
      <c r="BB10" s="125">
        <f t="shared" si="3"/>
        <v>2688000</v>
      </c>
      <c r="BC10" s="125">
        <f t="shared" si="3"/>
        <v>2688000</v>
      </c>
      <c r="BD10" s="125">
        <f t="shared" si="3"/>
        <v>2688000</v>
      </c>
      <c r="BE10" s="125">
        <f t="shared" si="3"/>
        <v>2688000</v>
      </c>
      <c r="BF10" s="125">
        <f t="shared" si="3"/>
        <v>2688000</v>
      </c>
      <c r="BG10" s="125">
        <f t="shared" si="3"/>
        <v>2688000</v>
      </c>
      <c r="BH10" s="125">
        <f t="shared" si="3"/>
        <v>2688000</v>
      </c>
      <c r="BI10" s="125">
        <f t="shared" si="3"/>
        <v>2688000</v>
      </c>
      <c r="BJ10" s="125">
        <f t="shared" si="3"/>
        <v>2688000</v>
      </c>
      <c r="BK10" s="125">
        <f t="shared" si="3"/>
        <v>2688000</v>
      </c>
      <c r="BL10" s="126">
        <f t="shared" si="3"/>
        <v>2688000</v>
      </c>
    </row>
    <row r="11" ht="15.75" customHeight="1">
      <c r="A11" s="64"/>
      <c r="B11" s="64"/>
      <c r="C11" s="64"/>
      <c r="D11" s="124" t="s">
        <v>132</v>
      </c>
      <c r="E11" s="125">
        <f>IF( E$4 &lt;= 6, 0, IF( E$4 &lt;= 24, ASSUMPTIONS!$H$51, IF(E$4 &lt;=36, ASSUMPTIONS!$H$52, ASSUMPTIONS!$H$53)))</f>
        <v>0</v>
      </c>
      <c r="F11" s="125">
        <f>IF( F$4 &lt;= 6, 0, IF( F$4 &lt;= 24, ASSUMPTIONS!$H$51, IF(F$4 &lt;=36, ASSUMPTIONS!$H$52, ASSUMPTIONS!$H$53)))</f>
        <v>0</v>
      </c>
      <c r="G11" s="125">
        <f>IF( G$4 &lt;= 6, 0, IF( G$4 &lt;= 24, ASSUMPTIONS!$H$51, IF(G$4 &lt;=36, ASSUMPTIONS!$H$52, ASSUMPTIONS!$H$53)))</f>
        <v>0</v>
      </c>
      <c r="H11" s="125">
        <f>IF( H$4 &lt;= 6, 0, IF( H$4 &lt;= 24, ASSUMPTIONS!$H$51, IF(H$4 &lt;=36, ASSUMPTIONS!$H$52, ASSUMPTIONS!$H$53)))</f>
        <v>0</v>
      </c>
      <c r="I11" s="125">
        <f>IF( I$4 &lt;= 6, 0, IF( I$4 &lt;= 24, ASSUMPTIONS!$H$51, IF(I$4 &lt;=36, ASSUMPTIONS!$H$52, ASSUMPTIONS!$H$53)))</f>
        <v>0</v>
      </c>
      <c r="J11" s="125">
        <f>IF( J$4 &lt;= 6, 0, IF( J$4 &lt;= 24, ASSUMPTIONS!$H$51, IF(J$4 &lt;=36, ASSUMPTIONS!$H$52, ASSUMPTIONS!$H$53)))</f>
        <v>0</v>
      </c>
      <c r="K11" s="125">
        <f>IF( K$4 &lt;= 6, 0, IF( K$4 &lt;= 24, ASSUMPTIONS!$H$51, IF(K$4 &lt;=36, ASSUMPTIONS!$H$52, ASSUMPTIONS!$H$53)))</f>
        <v>150000</v>
      </c>
      <c r="L11" s="125">
        <f>IF( L$4 &lt;= 6, 0, IF( L$4 &lt;= 24, ASSUMPTIONS!$H$51, IF(L$4 &lt;=36, ASSUMPTIONS!$H$52, ASSUMPTIONS!$H$53)))</f>
        <v>150000</v>
      </c>
      <c r="M11" s="125">
        <f>IF( M$4 &lt;= 6, 0, IF( M$4 &lt;= 24, ASSUMPTIONS!$H$51, IF(M$4 &lt;=36, ASSUMPTIONS!$H$52, ASSUMPTIONS!$H$53)))</f>
        <v>150000</v>
      </c>
      <c r="N11" s="125">
        <f>IF( N$4 &lt;= 6, 0, IF( N$4 &lt;= 24, ASSUMPTIONS!$H$51, IF(N$4 &lt;=36, ASSUMPTIONS!$H$52, ASSUMPTIONS!$H$53)))</f>
        <v>150000</v>
      </c>
      <c r="O11" s="125">
        <f>IF( O$4 &lt;= 6, 0, IF( O$4 &lt;= 24, ASSUMPTIONS!$H$51, IF(O$4 &lt;=36, ASSUMPTIONS!$H$52, ASSUMPTIONS!$H$53)))</f>
        <v>150000</v>
      </c>
      <c r="P11" s="125">
        <f>IF( P$4 &lt;= 6, 0, IF( P$4 &lt;= 24, ASSUMPTIONS!$H$51, IF(P$4 &lt;=36, ASSUMPTIONS!$H$52, ASSUMPTIONS!$H$53)))</f>
        <v>150000</v>
      </c>
      <c r="Q11" s="125">
        <f>IF( Q$4 &lt;= 6, 0, IF( Q$4 &lt;= 24, ASSUMPTIONS!$H$51, IF(Q$4 &lt;=36, ASSUMPTIONS!$H$52, ASSUMPTIONS!$H$53)))</f>
        <v>150000</v>
      </c>
      <c r="R11" s="125">
        <f>IF( R$4 &lt;= 6, 0, IF( R$4 &lt;= 24, ASSUMPTIONS!$H$51, IF(R$4 &lt;=36, ASSUMPTIONS!$H$52, ASSUMPTIONS!$H$53)))</f>
        <v>150000</v>
      </c>
      <c r="S11" s="125">
        <f>IF( S$4 &lt;= 6, 0, IF( S$4 &lt;= 24, ASSUMPTIONS!$H$51, IF(S$4 &lt;=36, ASSUMPTIONS!$H$52, ASSUMPTIONS!$H$53)))</f>
        <v>150000</v>
      </c>
      <c r="T11" s="125">
        <f>IF( T$4 &lt;= 6, 0, IF( T$4 &lt;= 24, ASSUMPTIONS!$H$51, IF(T$4 &lt;=36, ASSUMPTIONS!$H$52, ASSUMPTIONS!$H$53)))</f>
        <v>150000</v>
      </c>
      <c r="U11" s="125">
        <f>IF( U$4 &lt;= 6, 0, IF( U$4 &lt;= 24, ASSUMPTIONS!$H$51, IF(U$4 &lt;=36, ASSUMPTIONS!$H$52, ASSUMPTIONS!$H$53)))</f>
        <v>150000</v>
      </c>
      <c r="V11" s="125">
        <f>IF( V$4 &lt;= 6, 0, IF( V$4 &lt;= 24, ASSUMPTIONS!$H$51, IF(V$4 &lt;=36, ASSUMPTIONS!$H$52, ASSUMPTIONS!$H$53)))</f>
        <v>150000</v>
      </c>
      <c r="W11" s="125">
        <f>IF( W$4 &lt;= 6, 0, IF( W$4 &lt;= 24, ASSUMPTIONS!$H$51, IF(W$4 &lt;=36, ASSUMPTIONS!$H$52, ASSUMPTIONS!$H$53)))</f>
        <v>150000</v>
      </c>
      <c r="X11" s="125">
        <f>IF( X$4 &lt;= 6, 0, IF( X$4 &lt;= 24, ASSUMPTIONS!$H$51, IF(X$4 &lt;=36, ASSUMPTIONS!$H$52, ASSUMPTIONS!$H$53)))</f>
        <v>150000</v>
      </c>
      <c r="Y11" s="125">
        <f>IF( Y$4 &lt;= 6, 0, IF( Y$4 &lt;= 24, ASSUMPTIONS!$H$51, IF(Y$4 &lt;=36, ASSUMPTIONS!$H$52, ASSUMPTIONS!$H$53)))</f>
        <v>150000</v>
      </c>
      <c r="Z11" s="125">
        <f>IF( Z$4 &lt;= 6, 0, IF( Z$4 &lt;= 24, ASSUMPTIONS!$H$51, IF(Z$4 &lt;=36, ASSUMPTIONS!$H$52, ASSUMPTIONS!$H$53)))</f>
        <v>150000</v>
      </c>
      <c r="AA11" s="125">
        <f>IF( AA$4 &lt;= 6, 0, IF( AA$4 &lt;= 24, ASSUMPTIONS!$H$51, IF(AA$4 &lt;=36, ASSUMPTIONS!$H$52, ASSUMPTIONS!$H$53)))</f>
        <v>150000</v>
      </c>
      <c r="AB11" s="125">
        <f>IF( AB$4 &lt;= 6, 0, IF( AB$4 &lt;= 24, ASSUMPTIONS!$H$51, IF(AB$4 &lt;=36, ASSUMPTIONS!$H$52, ASSUMPTIONS!$H$53)))</f>
        <v>150000</v>
      </c>
      <c r="AC11" s="125">
        <f>IF( AC$4 &lt;= 6, 0, IF( AC$4 &lt;= 24, ASSUMPTIONS!$H$51, IF(AC$4 &lt;=36, ASSUMPTIONS!$H$52, ASSUMPTIONS!$H$53)))</f>
        <v>300000</v>
      </c>
      <c r="AD11" s="125">
        <f>IF( AD$4 &lt;= 6, 0, IF( AD$4 &lt;= 24, ASSUMPTIONS!$H$51, IF(AD$4 &lt;=36, ASSUMPTIONS!$H$52, ASSUMPTIONS!$H$53)))</f>
        <v>300000</v>
      </c>
      <c r="AE11" s="125">
        <f>IF( AE$4 &lt;= 6, 0, IF( AE$4 &lt;= 24, ASSUMPTIONS!$H$51, IF(AE$4 &lt;=36, ASSUMPTIONS!$H$52, ASSUMPTIONS!$H$53)))</f>
        <v>300000</v>
      </c>
      <c r="AF11" s="125">
        <f>IF( AF$4 &lt;= 6, 0, IF( AF$4 &lt;= 24, ASSUMPTIONS!$H$51, IF(AF$4 &lt;=36, ASSUMPTIONS!$H$52, ASSUMPTIONS!$H$53)))</f>
        <v>300000</v>
      </c>
      <c r="AG11" s="125">
        <f>IF( AG$4 &lt;= 6, 0, IF( AG$4 &lt;= 24, ASSUMPTIONS!$H$51, IF(AG$4 &lt;=36, ASSUMPTIONS!$H$52, ASSUMPTIONS!$H$53)))</f>
        <v>300000</v>
      </c>
      <c r="AH11" s="125">
        <f>IF( AH$4 &lt;= 6, 0, IF( AH$4 &lt;= 24, ASSUMPTIONS!$H$51, IF(AH$4 &lt;=36, ASSUMPTIONS!$H$52, ASSUMPTIONS!$H$53)))</f>
        <v>300000</v>
      </c>
      <c r="AI11" s="125">
        <f>IF( AI$4 &lt;= 6, 0, IF( AI$4 &lt;= 24, ASSUMPTIONS!$H$51, IF(AI$4 &lt;=36, ASSUMPTIONS!$H$52, ASSUMPTIONS!$H$53)))</f>
        <v>300000</v>
      </c>
      <c r="AJ11" s="125">
        <f>IF( AJ$4 &lt;= 6, 0, IF( AJ$4 &lt;= 24, ASSUMPTIONS!$H$51, IF(AJ$4 &lt;=36, ASSUMPTIONS!$H$52, ASSUMPTIONS!$H$53)))</f>
        <v>300000</v>
      </c>
      <c r="AK11" s="125">
        <f>IF( AK$4 &lt;= 6, 0, IF( AK$4 &lt;= 24, ASSUMPTIONS!$H$51, IF(AK$4 &lt;=36, ASSUMPTIONS!$H$52, ASSUMPTIONS!$H$53)))</f>
        <v>300000</v>
      </c>
      <c r="AL11" s="125">
        <f>IF( AL$4 &lt;= 6, 0, IF( AL$4 &lt;= 24, ASSUMPTIONS!$H$51, IF(AL$4 &lt;=36, ASSUMPTIONS!$H$52, ASSUMPTIONS!$H$53)))</f>
        <v>300000</v>
      </c>
      <c r="AM11" s="125">
        <f>IF( AM$4 &lt;= 6, 0, IF( AM$4 &lt;= 24, ASSUMPTIONS!$H$51, IF(AM$4 &lt;=36, ASSUMPTIONS!$H$52, ASSUMPTIONS!$H$53)))</f>
        <v>300000</v>
      </c>
      <c r="AN11" s="125">
        <f>IF( AN$4 &lt;= 6, 0, IF( AN$4 &lt;= 24, ASSUMPTIONS!$H$51, IF(AN$4 &lt;=36, ASSUMPTIONS!$H$52, ASSUMPTIONS!$H$53)))</f>
        <v>300000</v>
      </c>
      <c r="AO11" s="125">
        <f>IF( AO$4 &lt;= 6, 0, IF( AO$4 &lt;= 24, ASSUMPTIONS!$H$51, IF(AO$4 &lt;=36, ASSUMPTIONS!$H$52, ASSUMPTIONS!$H$53)))</f>
        <v>900000</v>
      </c>
      <c r="AP11" s="125">
        <f>IF( AP$4 &lt;= 6, 0, IF( AP$4 &lt;= 24, ASSUMPTIONS!$H$51, IF(AP$4 &lt;=36, ASSUMPTIONS!$H$52, ASSUMPTIONS!$H$53)))</f>
        <v>900000</v>
      </c>
      <c r="AQ11" s="125">
        <f>IF( AQ$4 &lt;= 6, 0, IF( AQ$4 &lt;= 24, ASSUMPTIONS!$H$51, IF(AQ$4 &lt;=36, ASSUMPTIONS!$H$52, ASSUMPTIONS!$H$53)))</f>
        <v>900000</v>
      </c>
      <c r="AR11" s="125">
        <f>IF( AR$4 &lt;= 6, 0, IF( AR$4 &lt;= 24, ASSUMPTIONS!$H$51, IF(AR$4 &lt;=36, ASSUMPTIONS!$H$52, ASSUMPTIONS!$H$53)))</f>
        <v>900000</v>
      </c>
      <c r="AS11" s="125">
        <f>IF( AS$4 &lt;= 6, 0, IF( AS$4 &lt;= 24, ASSUMPTIONS!$H$51, IF(AS$4 &lt;=36, ASSUMPTIONS!$H$52, ASSUMPTIONS!$H$53)))</f>
        <v>900000</v>
      </c>
      <c r="AT11" s="125">
        <f>IF( AT$4 &lt;= 6, 0, IF( AT$4 &lt;= 24, ASSUMPTIONS!$H$51, IF(AT$4 &lt;=36, ASSUMPTIONS!$H$52, ASSUMPTIONS!$H$53)))</f>
        <v>900000</v>
      </c>
      <c r="AU11" s="125">
        <f>IF( AU$4 &lt;= 6, 0, IF( AU$4 &lt;= 24, ASSUMPTIONS!$H$51, IF(AU$4 &lt;=36, ASSUMPTIONS!$H$52, ASSUMPTIONS!$H$53)))</f>
        <v>900000</v>
      </c>
      <c r="AV11" s="125">
        <f>IF( AV$4 &lt;= 6, 0, IF( AV$4 &lt;= 24, ASSUMPTIONS!$H$51, IF(AV$4 &lt;=36, ASSUMPTIONS!$H$52, ASSUMPTIONS!$H$53)))</f>
        <v>900000</v>
      </c>
      <c r="AW11" s="125">
        <f>IF( AW$4 &lt;= 6, 0, IF( AW$4 &lt;= 24, ASSUMPTIONS!$H$51, IF(AW$4 &lt;=36, ASSUMPTIONS!$H$52, ASSUMPTIONS!$H$53)))</f>
        <v>900000</v>
      </c>
      <c r="AX11" s="125">
        <f>IF( AX$4 &lt;= 6, 0, IF( AX$4 &lt;= 24, ASSUMPTIONS!$H$51, IF(AX$4 &lt;=36, ASSUMPTIONS!$H$52, ASSUMPTIONS!$H$53)))</f>
        <v>900000</v>
      </c>
      <c r="AY11" s="125">
        <f>IF( AY$4 &lt;= 6, 0, IF( AY$4 &lt;= 24, ASSUMPTIONS!$H$51, IF(AY$4 &lt;=36, ASSUMPTIONS!$H$52, ASSUMPTIONS!$H$53)))</f>
        <v>900000</v>
      </c>
      <c r="AZ11" s="125">
        <f>IF( AZ$4 &lt;= 6, 0, IF( AZ$4 &lt;= 24, ASSUMPTIONS!$H$51, IF(AZ$4 &lt;=36, ASSUMPTIONS!$H$52, ASSUMPTIONS!$H$53)))</f>
        <v>900000</v>
      </c>
      <c r="BA11" s="125">
        <f>IF( BA$4 &lt;= 6, 0, IF( BA$4 &lt;= 24, ASSUMPTIONS!$H$51, IF(BA$4 &lt;=36, ASSUMPTIONS!$H$52, ASSUMPTIONS!$H$53)))</f>
        <v>900000</v>
      </c>
      <c r="BB11" s="125">
        <f>IF( BB$4 &lt;= 6, 0, IF( BB$4 &lt;= 24, ASSUMPTIONS!$H$51, IF(BB$4 &lt;=36, ASSUMPTIONS!$H$52, ASSUMPTIONS!$H$53)))</f>
        <v>900000</v>
      </c>
      <c r="BC11" s="125">
        <f>IF( BC$4 &lt;= 6, 0, IF( BC$4 &lt;= 24, ASSUMPTIONS!$H$51, IF(BC$4 &lt;=36, ASSUMPTIONS!$H$52, ASSUMPTIONS!$H$53)))</f>
        <v>900000</v>
      </c>
      <c r="BD11" s="125">
        <f>IF( BD$4 &lt;= 6, 0, IF( BD$4 &lt;= 24, ASSUMPTIONS!$H$51, IF(BD$4 &lt;=36, ASSUMPTIONS!$H$52, ASSUMPTIONS!$H$53)))</f>
        <v>900000</v>
      </c>
      <c r="BE11" s="125">
        <f>IF( BE$4 &lt;= 6, 0, IF( BE$4 &lt;= 24, ASSUMPTIONS!$H$51, IF(BE$4 &lt;=36, ASSUMPTIONS!$H$52, ASSUMPTIONS!$H$53)))</f>
        <v>900000</v>
      </c>
      <c r="BF11" s="125">
        <f>IF( BF$4 &lt;= 6, 0, IF( BF$4 &lt;= 24, ASSUMPTIONS!$H$51, IF(BF$4 &lt;=36, ASSUMPTIONS!$H$52, ASSUMPTIONS!$H$53)))</f>
        <v>900000</v>
      </c>
      <c r="BG11" s="125">
        <f>IF( BG$4 &lt;= 6, 0, IF( BG$4 &lt;= 24, ASSUMPTIONS!$H$51, IF(BG$4 &lt;=36, ASSUMPTIONS!$H$52, ASSUMPTIONS!$H$53)))</f>
        <v>900000</v>
      </c>
      <c r="BH11" s="125">
        <f>IF( BH$4 &lt;= 6, 0, IF( BH$4 &lt;= 24, ASSUMPTIONS!$H$51, IF(BH$4 &lt;=36, ASSUMPTIONS!$H$52, ASSUMPTIONS!$H$53)))</f>
        <v>900000</v>
      </c>
      <c r="BI11" s="125">
        <f>IF( BI$4 &lt;= 6, 0, IF( BI$4 &lt;= 24, ASSUMPTIONS!$H$51, IF(BI$4 &lt;=36, ASSUMPTIONS!$H$52, ASSUMPTIONS!$H$53)))</f>
        <v>900000</v>
      </c>
      <c r="BJ11" s="125">
        <f>IF( BJ$4 &lt;= 6, 0, IF( BJ$4 &lt;= 24, ASSUMPTIONS!$H$51, IF(BJ$4 &lt;=36, ASSUMPTIONS!$H$52, ASSUMPTIONS!$H$53)))</f>
        <v>900000</v>
      </c>
      <c r="BK11" s="125">
        <f>IF( BK$4 &lt;= 6, 0, IF( BK$4 &lt;= 24, ASSUMPTIONS!$H$51, IF(BK$4 &lt;=36, ASSUMPTIONS!$H$52, ASSUMPTIONS!$H$53)))</f>
        <v>900000</v>
      </c>
      <c r="BL11" s="125">
        <f>IF( BL$4 &lt;= 6, 0, IF( BL$4 &lt;= 24, ASSUMPTIONS!$H$51, IF(BL$4 &lt;=36, ASSUMPTIONS!$H$52, ASSUMPTIONS!$H$53)))</f>
        <v>900000</v>
      </c>
    </row>
    <row r="12" ht="15.75" customHeight="1">
      <c r="A12" s="64"/>
      <c r="B12" s="64"/>
      <c r="C12" s="64"/>
      <c r="D12" s="123" t="s">
        <v>133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5"/>
    </row>
    <row r="13" ht="15.75" customHeight="1">
      <c r="A13" s="64"/>
      <c r="B13" s="64"/>
      <c r="C13" s="64"/>
      <c r="D13" s="124" t="s">
        <v>134</v>
      </c>
      <c r="E13" s="125">
        <f>E10 * ASSUMPTIONS!$H$14</f>
        <v>0</v>
      </c>
      <c r="F13" s="125">
        <f>F10 * ASSUMPTIONS!$H$14</f>
        <v>0</v>
      </c>
      <c r="G13" s="125">
        <f>G10 * ASSUMPTIONS!$H$14</f>
        <v>0</v>
      </c>
      <c r="H13" s="125">
        <f>H10 * ASSUMPTIONS!$H$14</f>
        <v>0</v>
      </c>
      <c r="I13" s="125">
        <f>I10 * ASSUMPTIONS!$H$14</f>
        <v>480</v>
      </c>
      <c r="J13" s="125">
        <f>J10 * ASSUMPTIONS!$H$14</f>
        <v>960</v>
      </c>
      <c r="K13" s="125">
        <f>K10 * ASSUMPTIONS!$H$14</f>
        <v>1440</v>
      </c>
      <c r="L13" s="125">
        <f>L10 * ASSUMPTIONS!$H$14</f>
        <v>1920</v>
      </c>
      <c r="M13" s="125">
        <f>M10 * ASSUMPTIONS!$H$14</f>
        <v>2400</v>
      </c>
      <c r="N13" s="125">
        <f>N10 * ASSUMPTIONS!$H$14</f>
        <v>2880</v>
      </c>
      <c r="O13" s="125">
        <f>O10 * ASSUMPTIONS!$H$14</f>
        <v>3360</v>
      </c>
      <c r="P13" s="125">
        <f>P10 * ASSUMPTIONS!$H$14</f>
        <v>3840</v>
      </c>
      <c r="Q13" s="125">
        <f>Q10 * ASSUMPTIONS!$H$14</f>
        <v>4320</v>
      </c>
      <c r="R13" s="125">
        <f>R10 * ASSUMPTIONS!$H$14</f>
        <v>4800</v>
      </c>
      <c r="S13" s="125">
        <f>S10 * ASSUMPTIONS!$H$14</f>
        <v>5280</v>
      </c>
      <c r="T13" s="125">
        <f>T10 * ASSUMPTIONS!$H$14</f>
        <v>5760</v>
      </c>
      <c r="U13" s="125">
        <f>U10 * ASSUMPTIONS!$H$14</f>
        <v>6240</v>
      </c>
      <c r="V13" s="125">
        <f>V10 * ASSUMPTIONS!$H$14</f>
        <v>6720</v>
      </c>
      <c r="W13" s="125">
        <f>W10 * ASSUMPTIONS!$H$14</f>
        <v>7200</v>
      </c>
      <c r="X13" s="125">
        <f>X10 * ASSUMPTIONS!$H$14</f>
        <v>7680</v>
      </c>
      <c r="Y13" s="125">
        <f>Y10 * ASSUMPTIONS!$H$14</f>
        <v>8160</v>
      </c>
      <c r="Z13" s="125">
        <f>Z10 * ASSUMPTIONS!$H$14</f>
        <v>8640</v>
      </c>
      <c r="AA13" s="125">
        <f>AA10 * ASSUMPTIONS!$H$14</f>
        <v>9120</v>
      </c>
      <c r="AB13" s="125">
        <f>AB10 * ASSUMPTIONS!$H$14</f>
        <v>9600</v>
      </c>
      <c r="AC13" s="125">
        <f>AC10 * ASSUMPTIONS!$H$14</f>
        <v>10080</v>
      </c>
      <c r="AD13" s="125">
        <f>AD10 * ASSUMPTIONS!$H$14</f>
        <v>10560</v>
      </c>
      <c r="AE13" s="125">
        <f>AE10 * ASSUMPTIONS!$H$14</f>
        <v>11040</v>
      </c>
      <c r="AF13" s="125">
        <f>AF10 * ASSUMPTIONS!$H$14</f>
        <v>11520</v>
      </c>
      <c r="AG13" s="125">
        <f>AG10 * ASSUMPTIONS!$H$14</f>
        <v>12000</v>
      </c>
      <c r="AH13" s="125">
        <f>AH10 * ASSUMPTIONS!$H$14</f>
        <v>12480</v>
      </c>
      <c r="AI13" s="125">
        <f>AI10 * ASSUMPTIONS!$H$14</f>
        <v>12960</v>
      </c>
      <c r="AJ13" s="125">
        <f>AJ10 * ASSUMPTIONS!$H$14</f>
        <v>13440</v>
      </c>
      <c r="AK13" s="125">
        <f>AK10 * ASSUMPTIONS!$H$14</f>
        <v>13920</v>
      </c>
      <c r="AL13" s="125">
        <f>AL10 * ASSUMPTIONS!$H$14</f>
        <v>14400</v>
      </c>
      <c r="AM13" s="125">
        <f>AM10 * ASSUMPTIONS!$H$14</f>
        <v>14880</v>
      </c>
      <c r="AN13" s="125">
        <f>AN10 * ASSUMPTIONS!$H$14</f>
        <v>15360</v>
      </c>
      <c r="AO13" s="125">
        <f>AO10 * ASSUMPTIONS!$H$14</f>
        <v>16800</v>
      </c>
      <c r="AP13" s="125">
        <f>AP10 * ASSUMPTIONS!$H$14</f>
        <v>18240</v>
      </c>
      <c r="AQ13" s="125">
        <f>AQ10 * ASSUMPTIONS!$H$14</f>
        <v>19680</v>
      </c>
      <c r="AR13" s="125">
        <f>AR10 * ASSUMPTIONS!$H$14</f>
        <v>21120</v>
      </c>
      <c r="AS13" s="125">
        <f>AS10 * ASSUMPTIONS!$H$14</f>
        <v>22560</v>
      </c>
      <c r="AT13" s="125">
        <f>AT10 * ASSUMPTIONS!$H$14</f>
        <v>24000</v>
      </c>
      <c r="AU13" s="125">
        <f>AU10 * ASSUMPTIONS!$H$14</f>
        <v>25440</v>
      </c>
      <c r="AV13" s="125">
        <f>AV10 * ASSUMPTIONS!$H$14</f>
        <v>26880</v>
      </c>
      <c r="AW13" s="125">
        <f>AW10 * ASSUMPTIONS!$H$14</f>
        <v>26880</v>
      </c>
      <c r="AX13" s="125">
        <f>AX10 * ASSUMPTIONS!$H$14</f>
        <v>26880</v>
      </c>
      <c r="AY13" s="125">
        <f>AY10 * ASSUMPTIONS!$H$14</f>
        <v>26880</v>
      </c>
      <c r="AZ13" s="125">
        <f>AZ10 * ASSUMPTIONS!$H$14</f>
        <v>26880</v>
      </c>
      <c r="BA13" s="125">
        <f>BA10 * ASSUMPTIONS!$H$14</f>
        <v>26880</v>
      </c>
      <c r="BB13" s="125">
        <f>BB10 * ASSUMPTIONS!$H$14</f>
        <v>26880</v>
      </c>
      <c r="BC13" s="125">
        <f>BC10 * ASSUMPTIONS!$H$14</f>
        <v>26880</v>
      </c>
      <c r="BD13" s="125">
        <f>BD10 * ASSUMPTIONS!$H$14</f>
        <v>26880</v>
      </c>
      <c r="BE13" s="125">
        <f>BE10 * ASSUMPTIONS!$H$14</f>
        <v>26880</v>
      </c>
      <c r="BF13" s="125">
        <f>BF10 * ASSUMPTIONS!$H$14</f>
        <v>26880</v>
      </c>
      <c r="BG13" s="125">
        <f>BG10 * ASSUMPTIONS!$H$14</f>
        <v>26880</v>
      </c>
      <c r="BH13" s="125">
        <f>BH10 * ASSUMPTIONS!$H$14</f>
        <v>26880</v>
      </c>
      <c r="BI13" s="125">
        <f>BI10 * ASSUMPTIONS!$H$14</f>
        <v>26880</v>
      </c>
      <c r="BJ13" s="125">
        <f>BJ10 * ASSUMPTIONS!$H$14</f>
        <v>26880</v>
      </c>
      <c r="BK13" s="125">
        <f>BK10 * ASSUMPTIONS!$H$14</f>
        <v>26880</v>
      </c>
      <c r="BL13" s="125">
        <f>BL10 * ASSUMPTIONS!$H$14</f>
        <v>26880</v>
      </c>
    </row>
    <row r="14" ht="15.75" customHeight="1">
      <c r="A14" s="64"/>
      <c r="B14" s="64"/>
      <c r="C14" s="64"/>
      <c r="D14" s="124" t="s">
        <v>135</v>
      </c>
      <c r="E14" s="125">
        <f t="shared" ref="E14:BL14" si="4">E10 - E13</f>
        <v>0</v>
      </c>
      <c r="F14" s="125">
        <f t="shared" si="4"/>
        <v>0</v>
      </c>
      <c r="G14" s="125">
        <f t="shared" si="4"/>
        <v>0</v>
      </c>
      <c r="H14" s="125">
        <f t="shared" si="4"/>
        <v>0</v>
      </c>
      <c r="I14" s="125">
        <f t="shared" si="4"/>
        <v>47520</v>
      </c>
      <c r="J14" s="125">
        <f t="shared" si="4"/>
        <v>95040</v>
      </c>
      <c r="K14" s="125">
        <f t="shared" si="4"/>
        <v>142560</v>
      </c>
      <c r="L14" s="125">
        <f t="shared" si="4"/>
        <v>190080</v>
      </c>
      <c r="M14" s="125">
        <f t="shared" si="4"/>
        <v>237600</v>
      </c>
      <c r="N14" s="125">
        <f t="shared" si="4"/>
        <v>285120</v>
      </c>
      <c r="O14" s="125">
        <f t="shared" si="4"/>
        <v>332640</v>
      </c>
      <c r="P14" s="125">
        <f t="shared" si="4"/>
        <v>380160</v>
      </c>
      <c r="Q14" s="125">
        <f t="shared" si="4"/>
        <v>427680</v>
      </c>
      <c r="R14" s="125">
        <f t="shared" si="4"/>
        <v>475200</v>
      </c>
      <c r="S14" s="125">
        <f t="shared" si="4"/>
        <v>522720</v>
      </c>
      <c r="T14" s="125">
        <f t="shared" si="4"/>
        <v>570240</v>
      </c>
      <c r="U14" s="125">
        <f t="shared" si="4"/>
        <v>617760</v>
      </c>
      <c r="V14" s="125">
        <f t="shared" si="4"/>
        <v>665280</v>
      </c>
      <c r="W14" s="125">
        <f t="shared" si="4"/>
        <v>712800</v>
      </c>
      <c r="X14" s="125">
        <f t="shared" si="4"/>
        <v>760320</v>
      </c>
      <c r="Y14" s="125">
        <f t="shared" si="4"/>
        <v>807840</v>
      </c>
      <c r="Z14" s="125">
        <f t="shared" si="4"/>
        <v>855360</v>
      </c>
      <c r="AA14" s="125">
        <f t="shared" si="4"/>
        <v>902880</v>
      </c>
      <c r="AB14" s="125">
        <f t="shared" si="4"/>
        <v>950400</v>
      </c>
      <c r="AC14" s="125">
        <f t="shared" si="4"/>
        <v>997920</v>
      </c>
      <c r="AD14" s="125">
        <f t="shared" si="4"/>
        <v>1045440</v>
      </c>
      <c r="AE14" s="125">
        <f t="shared" si="4"/>
        <v>1092960</v>
      </c>
      <c r="AF14" s="125">
        <f t="shared" si="4"/>
        <v>1140480</v>
      </c>
      <c r="AG14" s="125">
        <f t="shared" si="4"/>
        <v>1188000</v>
      </c>
      <c r="AH14" s="125">
        <f t="shared" si="4"/>
        <v>1235520</v>
      </c>
      <c r="AI14" s="125">
        <f t="shared" si="4"/>
        <v>1283040</v>
      </c>
      <c r="AJ14" s="125">
        <f t="shared" si="4"/>
        <v>1330560</v>
      </c>
      <c r="AK14" s="125">
        <f t="shared" si="4"/>
        <v>1378080</v>
      </c>
      <c r="AL14" s="125">
        <f t="shared" si="4"/>
        <v>1425600</v>
      </c>
      <c r="AM14" s="125">
        <f t="shared" si="4"/>
        <v>1473120</v>
      </c>
      <c r="AN14" s="125">
        <f t="shared" si="4"/>
        <v>1520640</v>
      </c>
      <c r="AO14" s="125">
        <f t="shared" si="4"/>
        <v>1663200</v>
      </c>
      <c r="AP14" s="125">
        <f t="shared" si="4"/>
        <v>1805760</v>
      </c>
      <c r="AQ14" s="125">
        <f t="shared" si="4"/>
        <v>1948320</v>
      </c>
      <c r="AR14" s="125">
        <f t="shared" si="4"/>
        <v>2090880</v>
      </c>
      <c r="AS14" s="125">
        <f t="shared" si="4"/>
        <v>2233440</v>
      </c>
      <c r="AT14" s="125">
        <f t="shared" si="4"/>
        <v>2376000</v>
      </c>
      <c r="AU14" s="125">
        <f t="shared" si="4"/>
        <v>2518560</v>
      </c>
      <c r="AV14" s="125">
        <f t="shared" si="4"/>
        <v>2661120</v>
      </c>
      <c r="AW14" s="125">
        <f t="shared" si="4"/>
        <v>2661120</v>
      </c>
      <c r="AX14" s="125">
        <f t="shared" si="4"/>
        <v>2661120</v>
      </c>
      <c r="AY14" s="125">
        <f t="shared" si="4"/>
        <v>2661120</v>
      </c>
      <c r="AZ14" s="125">
        <f t="shared" si="4"/>
        <v>2661120</v>
      </c>
      <c r="BA14" s="125">
        <f t="shared" si="4"/>
        <v>2661120</v>
      </c>
      <c r="BB14" s="125">
        <f t="shared" si="4"/>
        <v>2661120</v>
      </c>
      <c r="BC14" s="125">
        <f t="shared" si="4"/>
        <v>2661120</v>
      </c>
      <c r="BD14" s="125">
        <f t="shared" si="4"/>
        <v>2661120</v>
      </c>
      <c r="BE14" s="125">
        <f t="shared" si="4"/>
        <v>2661120</v>
      </c>
      <c r="BF14" s="125">
        <f t="shared" si="4"/>
        <v>2661120</v>
      </c>
      <c r="BG14" s="125">
        <f t="shared" si="4"/>
        <v>2661120</v>
      </c>
      <c r="BH14" s="125">
        <f t="shared" si="4"/>
        <v>2661120</v>
      </c>
      <c r="BI14" s="125">
        <f t="shared" si="4"/>
        <v>2661120</v>
      </c>
      <c r="BJ14" s="125">
        <f t="shared" si="4"/>
        <v>2661120</v>
      </c>
      <c r="BK14" s="125">
        <f t="shared" si="4"/>
        <v>2661120</v>
      </c>
      <c r="BL14" s="125">
        <f t="shared" si="4"/>
        <v>2661120</v>
      </c>
    </row>
    <row r="15" ht="15.75" customHeight="1">
      <c r="A15" s="64"/>
      <c r="B15" s="64"/>
      <c r="C15" s="64"/>
      <c r="D15" s="124" t="s">
        <v>136</v>
      </c>
      <c r="E15" s="125">
        <f>E11 * ASSUMPTIONS!$H$56</f>
        <v>0</v>
      </c>
      <c r="F15" s="125">
        <f>F11 * ASSUMPTIONS!$H$56</f>
        <v>0</v>
      </c>
      <c r="G15" s="125">
        <f>G11 * ASSUMPTIONS!$H$56</f>
        <v>0</v>
      </c>
      <c r="H15" s="125">
        <f>H11 * ASSUMPTIONS!$H$56</f>
        <v>0</v>
      </c>
      <c r="I15" s="125">
        <f>I11 * ASSUMPTIONS!$H$56</f>
        <v>0</v>
      </c>
      <c r="J15" s="125">
        <f>J11 * ASSUMPTIONS!$H$56</f>
        <v>0</v>
      </c>
      <c r="K15" s="125">
        <f>K11 * ASSUMPTIONS!$H$56</f>
        <v>7500</v>
      </c>
      <c r="L15" s="125">
        <f>L11 * ASSUMPTIONS!$H$56</f>
        <v>7500</v>
      </c>
      <c r="M15" s="125">
        <f>M11 * ASSUMPTIONS!$H$56</f>
        <v>7500</v>
      </c>
      <c r="N15" s="125">
        <f>N11 * ASSUMPTIONS!$H$56</f>
        <v>7500</v>
      </c>
      <c r="O15" s="125">
        <f>O11 * ASSUMPTIONS!$H$56</f>
        <v>7500</v>
      </c>
      <c r="P15" s="125">
        <f>P11 * ASSUMPTIONS!$H$56</f>
        <v>7500</v>
      </c>
      <c r="Q15" s="125">
        <f>Q11 * ASSUMPTIONS!$H$56</f>
        <v>7500</v>
      </c>
      <c r="R15" s="125">
        <f>R11 * ASSUMPTIONS!$H$56</f>
        <v>7500</v>
      </c>
      <c r="S15" s="125">
        <f>S11 * ASSUMPTIONS!$H$56</f>
        <v>7500</v>
      </c>
      <c r="T15" s="125">
        <f>T11 * ASSUMPTIONS!$H$56</f>
        <v>7500</v>
      </c>
      <c r="U15" s="125">
        <f>U11 * ASSUMPTIONS!$H$56</f>
        <v>7500</v>
      </c>
      <c r="V15" s="125">
        <f>V11 * ASSUMPTIONS!$H$56</f>
        <v>7500</v>
      </c>
      <c r="W15" s="125">
        <f>W11 * ASSUMPTIONS!$H$56</f>
        <v>7500</v>
      </c>
      <c r="X15" s="125">
        <f>X11 * ASSUMPTIONS!$H$56</f>
        <v>7500</v>
      </c>
      <c r="Y15" s="125">
        <f>Y11 * ASSUMPTIONS!$H$56</f>
        <v>7500</v>
      </c>
      <c r="Z15" s="125">
        <f>Z11 * ASSUMPTIONS!$H$56</f>
        <v>7500</v>
      </c>
      <c r="AA15" s="125">
        <f>AA11 * ASSUMPTIONS!$H$56</f>
        <v>7500</v>
      </c>
      <c r="AB15" s="125">
        <f>AB11 * ASSUMPTIONS!$H$56</f>
        <v>7500</v>
      </c>
      <c r="AC15" s="125">
        <f>AC11 * ASSUMPTIONS!$H$56</f>
        <v>15000</v>
      </c>
      <c r="AD15" s="125">
        <f>AD11 * ASSUMPTIONS!$H$56</f>
        <v>15000</v>
      </c>
      <c r="AE15" s="125">
        <f>AE11 * ASSUMPTIONS!$H$56</f>
        <v>15000</v>
      </c>
      <c r="AF15" s="125">
        <f>AF11 * ASSUMPTIONS!$H$56</f>
        <v>15000</v>
      </c>
      <c r="AG15" s="125">
        <f>AG11 * ASSUMPTIONS!$H$56</f>
        <v>15000</v>
      </c>
      <c r="AH15" s="125">
        <f>AH11 * ASSUMPTIONS!$H$56</f>
        <v>15000</v>
      </c>
      <c r="AI15" s="125">
        <f>AI11 * ASSUMPTIONS!$H$56</f>
        <v>15000</v>
      </c>
      <c r="AJ15" s="125">
        <f>AJ11 * ASSUMPTIONS!$H$56</f>
        <v>15000</v>
      </c>
      <c r="AK15" s="125">
        <f>AK11 * ASSUMPTIONS!$H$56</f>
        <v>15000</v>
      </c>
      <c r="AL15" s="125">
        <f>AL11 * ASSUMPTIONS!$H$56</f>
        <v>15000</v>
      </c>
      <c r="AM15" s="125">
        <f>AM11 * ASSUMPTIONS!$H$56</f>
        <v>15000</v>
      </c>
      <c r="AN15" s="125">
        <f>AN11 * ASSUMPTIONS!$H$56</f>
        <v>15000</v>
      </c>
      <c r="AO15" s="125">
        <f>AO11 * ASSUMPTIONS!$H$56</f>
        <v>45000</v>
      </c>
      <c r="AP15" s="125">
        <f>AP11 * ASSUMPTIONS!$H$56</f>
        <v>45000</v>
      </c>
      <c r="AQ15" s="125">
        <f>AQ11 * ASSUMPTIONS!$H$56</f>
        <v>45000</v>
      </c>
      <c r="AR15" s="125">
        <f>AR11 * ASSUMPTIONS!$H$56</f>
        <v>45000</v>
      </c>
      <c r="AS15" s="125">
        <f>AS11 * ASSUMPTIONS!$H$56</f>
        <v>45000</v>
      </c>
      <c r="AT15" s="125">
        <f>AT11 * ASSUMPTIONS!$H$56</f>
        <v>45000</v>
      </c>
      <c r="AU15" s="125">
        <f>AU11 * ASSUMPTIONS!$H$56</f>
        <v>45000</v>
      </c>
      <c r="AV15" s="125">
        <f>AV11 * ASSUMPTIONS!$H$56</f>
        <v>45000</v>
      </c>
      <c r="AW15" s="125">
        <f>AW11 * ASSUMPTIONS!$H$56</f>
        <v>45000</v>
      </c>
      <c r="AX15" s="125">
        <f>AX11 * ASSUMPTIONS!$H$56</f>
        <v>45000</v>
      </c>
      <c r="AY15" s="125">
        <f>AY11 * ASSUMPTIONS!$H$56</f>
        <v>45000</v>
      </c>
      <c r="AZ15" s="125">
        <f>AZ11 * ASSUMPTIONS!$H$56</f>
        <v>45000</v>
      </c>
      <c r="BA15" s="125">
        <f>BA11 * ASSUMPTIONS!$H$56</f>
        <v>45000</v>
      </c>
      <c r="BB15" s="125">
        <f>BB11 * ASSUMPTIONS!$H$56</f>
        <v>45000</v>
      </c>
      <c r="BC15" s="125">
        <f>BC11 * ASSUMPTIONS!$H$56</f>
        <v>45000</v>
      </c>
      <c r="BD15" s="125">
        <f>BD11 * ASSUMPTIONS!$H$56</f>
        <v>45000</v>
      </c>
      <c r="BE15" s="125">
        <f>BE11 * ASSUMPTIONS!$H$56</f>
        <v>45000</v>
      </c>
      <c r="BF15" s="125">
        <f>BF11 * ASSUMPTIONS!$H$56</f>
        <v>45000</v>
      </c>
      <c r="BG15" s="125">
        <f>BG11 * ASSUMPTIONS!$H$56</f>
        <v>45000</v>
      </c>
      <c r="BH15" s="125">
        <f>BH11 * ASSUMPTIONS!$H$56</f>
        <v>45000</v>
      </c>
      <c r="BI15" s="125">
        <f>BI11 * ASSUMPTIONS!$H$56</f>
        <v>45000</v>
      </c>
      <c r="BJ15" s="125">
        <f>BJ11 * ASSUMPTIONS!$H$56</f>
        <v>45000</v>
      </c>
      <c r="BK15" s="125">
        <f>BK11 * ASSUMPTIONS!$H$56</f>
        <v>45000</v>
      </c>
      <c r="BL15" s="125">
        <f>BL11 * ASSUMPTIONS!$H$56</f>
        <v>45000</v>
      </c>
    </row>
    <row r="16" ht="15.75" customHeight="1">
      <c r="A16" s="64"/>
      <c r="B16" s="64"/>
      <c r="C16" s="64"/>
      <c r="D16" s="124" t="s">
        <v>137</v>
      </c>
      <c r="E16" s="125">
        <f>E11 * ASSUMPTIONS!$H$14</f>
        <v>0</v>
      </c>
      <c r="F16" s="125">
        <f>F11 * ASSUMPTIONS!$H$14</f>
        <v>0</v>
      </c>
      <c r="G16" s="125">
        <f>G11 * ASSUMPTIONS!$H$14</f>
        <v>0</v>
      </c>
      <c r="H16" s="125">
        <f>H11 * ASSUMPTIONS!$H$14</f>
        <v>0</v>
      </c>
      <c r="I16" s="125">
        <f>I11 * ASSUMPTIONS!$H$14</f>
        <v>0</v>
      </c>
      <c r="J16" s="125">
        <f>J11 * ASSUMPTIONS!$H$14</f>
        <v>0</v>
      </c>
      <c r="K16" s="125">
        <f>K11 * ASSUMPTIONS!$H$14</f>
        <v>1500</v>
      </c>
      <c r="L16" s="125">
        <f>L11 * ASSUMPTIONS!$H$14</f>
        <v>1500</v>
      </c>
      <c r="M16" s="125">
        <f>M11 * ASSUMPTIONS!$H$14</f>
        <v>1500</v>
      </c>
      <c r="N16" s="125">
        <f>N11 * ASSUMPTIONS!$H$14</f>
        <v>1500</v>
      </c>
      <c r="O16" s="125">
        <f>O11 * ASSUMPTIONS!$H$14</f>
        <v>1500</v>
      </c>
      <c r="P16" s="125">
        <f>P11 * ASSUMPTIONS!$H$14</f>
        <v>1500</v>
      </c>
      <c r="Q16" s="125">
        <f>Q11 * ASSUMPTIONS!$H$14</f>
        <v>1500</v>
      </c>
      <c r="R16" s="125">
        <f>R11 * ASSUMPTIONS!$H$14</f>
        <v>1500</v>
      </c>
      <c r="S16" s="125">
        <f>S11 * ASSUMPTIONS!$H$14</f>
        <v>1500</v>
      </c>
      <c r="T16" s="125">
        <f>T11 * ASSUMPTIONS!$H$14</f>
        <v>1500</v>
      </c>
      <c r="U16" s="125">
        <f>U11 * ASSUMPTIONS!$H$14</f>
        <v>1500</v>
      </c>
      <c r="V16" s="125">
        <f>V11 * ASSUMPTIONS!$H$14</f>
        <v>1500</v>
      </c>
      <c r="W16" s="125">
        <f>W11 * ASSUMPTIONS!$H$14</f>
        <v>1500</v>
      </c>
      <c r="X16" s="125">
        <f>X11 * ASSUMPTIONS!$H$14</f>
        <v>1500</v>
      </c>
      <c r="Y16" s="125">
        <f>Y11 * ASSUMPTIONS!$H$14</f>
        <v>1500</v>
      </c>
      <c r="Z16" s="125">
        <f>Z11 * ASSUMPTIONS!$H$14</f>
        <v>1500</v>
      </c>
      <c r="AA16" s="125">
        <f>AA11 * ASSUMPTIONS!$H$14</f>
        <v>1500</v>
      </c>
      <c r="AB16" s="125">
        <f>AB11 * ASSUMPTIONS!$H$14</f>
        <v>1500</v>
      </c>
      <c r="AC16" s="125">
        <f>AC11 * ASSUMPTIONS!$H$14</f>
        <v>3000</v>
      </c>
      <c r="AD16" s="125">
        <f>AD11 * ASSUMPTIONS!$H$14</f>
        <v>3000</v>
      </c>
      <c r="AE16" s="125">
        <f>AE11 * ASSUMPTIONS!$H$14</f>
        <v>3000</v>
      </c>
      <c r="AF16" s="125">
        <f>AF11 * ASSUMPTIONS!$H$14</f>
        <v>3000</v>
      </c>
      <c r="AG16" s="125">
        <f>AG11 * ASSUMPTIONS!$H$14</f>
        <v>3000</v>
      </c>
      <c r="AH16" s="125">
        <f>AH11 * ASSUMPTIONS!$H$14</f>
        <v>3000</v>
      </c>
      <c r="AI16" s="125">
        <f>AI11 * ASSUMPTIONS!$H$14</f>
        <v>3000</v>
      </c>
      <c r="AJ16" s="125">
        <f>AJ11 * ASSUMPTIONS!$H$14</f>
        <v>3000</v>
      </c>
      <c r="AK16" s="125">
        <f>AK11 * ASSUMPTIONS!$H$14</f>
        <v>3000</v>
      </c>
      <c r="AL16" s="125">
        <f>AL11 * ASSUMPTIONS!$H$14</f>
        <v>3000</v>
      </c>
      <c r="AM16" s="125">
        <f>AM11 * ASSUMPTIONS!$H$14</f>
        <v>3000</v>
      </c>
      <c r="AN16" s="125">
        <f>AN11 * ASSUMPTIONS!$H$14</f>
        <v>3000</v>
      </c>
      <c r="AO16" s="125">
        <f>AO11 * ASSUMPTIONS!$H$14</f>
        <v>9000</v>
      </c>
      <c r="AP16" s="125">
        <f>AP11 * ASSUMPTIONS!$H$14</f>
        <v>9000</v>
      </c>
      <c r="AQ16" s="125">
        <f>AQ11 * ASSUMPTIONS!$H$14</f>
        <v>9000</v>
      </c>
      <c r="AR16" s="125">
        <f>AR11 * ASSUMPTIONS!$H$14</f>
        <v>9000</v>
      </c>
      <c r="AS16" s="125">
        <f>AS11 * ASSUMPTIONS!$H$14</f>
        <v>9000</v>
      </c>
      <c r="AT16" s="125">
        <f>AT11 * ASSUMPTIONS!$H$14</f>
        <v>9000</v>
      </c>
      <c r="AU16" s="125">
        <f>AU11 * ASSUMPTIONS!$H$14</f>
        <v>9000</v>
      </c>
      <c r="AV16" s="125">
        <f>AV11 * ASSUMPTIONS!$H$14</f>
        <v>9000</v>
      </c>
      <c r="AW16" s="125">
        <f>AW11 * ASSUMPTIONS!$H$14</f>
        <v>9000</v>
      </c>
      <c r="AX16" s="125">
        <f>AX11 * ASSUMPTIONS!$H$14</f>
        <v>9000</v>
      </c>
      <c r="AY16" s="125">
        <f>AY11 * ASSUMPTIONS!$H$14</f>
        <v>9000</v>
      </c>
      <c r="AZ16" s="125">
        <f>AZ11 * ASSUMPTIONS!$H$14</f>
        <v>9000</v>
      </c>
      <c r="BA16" s="125">
        <f>BA11 * ASSUMPTIONS!$H$14</f>
        <v>9000</v>
      </c>
      <c r="BB16" s="125">
        <f>BB11 * ASSUMPTIONS!$H$14</f>
        <v>9000</v>
      </c>
      <c r="BC16" s="125">
        <f>BC11 * ASSUMPTIONS!$H$14</f>
        <v>9000</v>
      </c>
      <c r="BD16" s="125">
        <f>BD11 * ASSUMPTIONS!$H$14</f>
        <v>9000</v>
      </c>
      <c r="BE16" s="125">
        <f>BE11 * ASSUMPTIONS!$H$14</f>
        <v>9000</v>
      </c>
      <c r="BF16" s="125">
        <f>BF11 * ASSUMPTIONS!$H$14</f>
        <v>9000</v>
      </c>
      <c r="BG16" s="125">
        <f>BG11 * ASSUMPTIONS!$H$14</f>
        <v>9000</v>
      </c>
      <c r="BH16" s="125">
        <f>BH11 * ASSUMPTIONS!$H$14</f>
        <v>9000</v>
      </c>
      <c r="BI16" s="125">
        <f>BI11 * ASSUMPTIONS!$H$14</f>
        <v>9000</v>
      </c>
      <c r="BJ16" s="125">
        <f>BJ11 * ASSUMPTIONS!$H$14</f>
        <v>9000</v>
      </c>
      <c r="BK16" s="125">
        <f>BK11 * ASSUMPTIONS!$H$14</f>
        <v>9000</v>
      </c>
      <c r="BL16" s="125">
        <f>BL11 * ASSUMPTIONS!$H$14</f>
        <v>9000</v>
      </c>
    </row>
    <row r="17" ht="15.75" customHeight="1">
      <c r="A17" s="64"/>
      <c r="B17" s="64"/>
      <c r="C17" s="64"/>
      <c r="D17" s="124" t="s">
        <v>138</v>
      </c>
      <c r="E17" s="125">
        <f t="shared" ref="E17:BL17" si="5">E11 - E15 - E16</f>
        <v>0</v>
      </c>
      <c r="F17" s="125">
        <f t="shared" si="5"/>
        <v>0</v>
      </c>
      <c r="G17" s="125">
        <f t="shared" si="5"/>
        <v>0</v>
      </c>
      <c r="H17" s="125">
        <f t="shared" si="5"/>
        <v>0</v>
      </c>
      <c r="I17" s="125">
        <f t="shared" si="5"/>
        <v>0</v>
      </c>
      <c r="J17" s="125">
        <f t="shared" si="5"/>
        <v>0</v>
      </c>
      <c r="K17" s="125">
        <f t="shared" si="5"/>
        <v>141000</v>
      </c>
      <c r="L17" s="125">
        <f t="shared" si="5"/>
        <v>141000</v>
      </c>
      <c r="M17" s="125">
        <f t="shared" si="5"/>
        <v>141000</v>
      </c>
      <c r="N17" s="125">
        <f t="shared" si="5"/>
        <v>141000</v>
      </c>
      <c r="O17" s="125">
        <f t="shared" si="5"/>
        <v>141000</v>
      </c>
      <c r="P17" s="125">
        <f t="shared" si="5"/>
        <v>141000</v>
      </c>
      <c r="Q17" s="125">
        <f t="shared" si="5"/>
        <v>141000</v>
      </c>
      <c r="R17" s="125">
        <f t="shared" si="5"/>
        <v>141000</v>
      </c>
      <c r="S17" s="125">
        <f t="shared" si="5"/>
        <v>141000</v>
      </c>
      <c r="T17" s="125">
        <f t="shared" si="5"/>
        <v>141000</v>
      </c>
      <c r="U17" s="125">
        <f t="shared" si="5"/>
        <v>141000</v>
      </c>
      <c r="V17" s="125">
        <f t="shared" si="5"/>
        <v>141000</v>
      </c>
      <c r="W17" s="125">
        <f t="shared" si="5"/>
        <v>141000</v>
      </c>
      <c r="X17" s="125">
        <f t="shared" si="5"/>
        <v>141000</v>
      </c>
      <c r="Y17" s="125">
        <f t="shared" si="5"/>
        <v>141000</v>
      </c>
      <c r="Z17" s="125">
        <f t="shared" si="5"/>
        <v>141000</v>
      </c>
      <c r="AA17" s="125">
        <f t="shared" si="5"/>
        <v>141000</v>
      </c>
      <c r="AB17" s="125">
        <f t="shared" si="5"/>
        <v>141000</v>
      </c>
      <c r="AC17" s="125">
        <f t="shared" si="5"/>
        <v>282000</v>
      </c>
      <c r="AD17" s="125">
        <f t="shared" si="5"/>
        <v>282000</v>
      </c>
      <c r="AE17" s="125">
        <f t="shared" si="5"/>
        <v>282000</v>
      </c>
      <c r="AF17" s="125">
        <f t="shared" si="5"/>
        <v>282000</v>
      </c>
      <c r="AG17" s="125">
        <f t="shared" si="5"/>
        <v>282000</v>
      </c>
      <c r="AH17" s="125">
        <f t="shared" si="5"/>
        <v>282000</v>
      </c>
      <c r="AI17" s="125">
        <f t="shared" si="5"/>
        <v>282000</v>
      </c>
      <c r="AJ17" s="125">
        <f t="shared" si="5"/>
        <v>282000</v>
      </c>
      <c r="AK17" s="125">
        <f t="shared" si="5"/>
        <v>282000</v>
      </c>
      <c r="AL17" s="125">
        <f t="shared" si="5"/>
        <v>282000</v>
      </c>
      <c r="AM17" s="125">
        <f t="shared" si="5"/>
        <v>282000</v>
      </c>
      <c r="AN17" s="125">
        <f t="shared" si="5"/>
        <v>282000</v>
      </c>
      <c r="AO17" s="125">
        <f t="shared" si="5"/>
        <v>846000</v>
      </c>
      <c r="AP17" s="125">
        <f t="shared" si="5"/>
        <v>846000</v>
      </c>
      <c r="AQ17" s="125">
        <f t="shared" si="5"/>
        <v>846000</v>
      </c>
      <c r="AR17" s="125">
        <f t="shared" si="5"/>
        <v>846000</v>
      </c>
      <c r="AS17" s="125">
        <f t="shared" si="5"/>
        <v>846000</v>
      </c>
      <c r="AT17" s="125">
        <f t="shared" si="5"/>
        <v>846000</v>
      </c>
      <c r="AU17" s="125">
        <f t="shared" si="5"/>
        <v>846000</v>
      </c>
      <c r="AV17" s="125">
        <f t="shared" si="5"/>
        <v>846000</v>
      </c>
      <c r="AW17" s="125">
        <f t="shared" si="5"/>
        <v>846000</v>
      </c>
      <c r="AX17" s="125">
        <f t="shared" si="5"/>
        <v>846000</v>
      </c>
      <c r="AY17" s="125">
        <f t="shared" si="5"/>
        <v>846000</v>
      </c>
      <c r="AZ17" s="125">
        <f t="shared" si="5"/>
        <v>846000</v>
      </c>
      <c r="BA17" s="125">
        <f t="shared" si="5"/>
        <v>846000</v>
      </c>
      <c r="BB17" s="125">
        <f t="shared" si="5"/>
        <v>846000</v>
      </c>
      <c r="BC17" s="125">
        <f t="shared" si="5"/>
        <v>846000</v>
      </c>
      <c r="BD17" s="125">
        <f t="shared" si="5"/>
        <v>846000</v>
      </c>
      <c r="BE17" s="125">
        <f t="shared" si="5"/>
        <v>846000</v>
      </c>
      <c r="BF17" s="125">
        <f t="shared" si="5"/>
        <v>846000</v>
      </c>
      <c r="BG17" s="125">
        <f t="shared" si="5"/>
        <v>846000</v>
      </c>
      <c r="BH17" s="125">
        <f t="shared" si="5"/>
        <v>846000</v>
      </c>
      <c r="BI17" s="125">
        <f t="shared" si="5"/>
        <v>846000</v>
      </c>
      <c r="BJ17" s="125">
        <f t="shared" si="5"/>
        <v>846000</v>
      </c>
      <c r="BK17" s="125">
        <f t="shared" si="5"/>
        <v>846000</v>
      </c>
      <c r="BL17" s="125">
        <f t="shared" si="5"/>
        <v>846000</v>
      </c>
    </row>
    <row r="18" ht="15.75" customHeight="1">
      <c r="A18" s="64"/>
      <c r="B18" s="64"/>
      <c r="C18" s="64"/>
      <c r="D18" s="123" t="s">
        <v>139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5"/>
    </row>
    <row r="19" ht="15.75" customHeight="1">
      <c r="A19" s="64"/>
      <c r="B19" s="64"/>
      <c r="C19" s="64"/>
      <c r="D19" s="124" t="s">
        <v>140</v>
      </c>
      <c r="E19" s="125">
        <f t="shared" ref="E19:BL19" si="6">IF(E$4 &lt;= 6, E$14, E$14)</f>
        <v>0</v>
      </c>
      <c r="F19" s="125">
        <f t="shared" si="6"/>
        <v>0</v>
      </c>
      <c r="G19" s="125">
        <f t="shared" si="6"/>
        <v>0</v>
      </c>
      <c r="H19" s="125">
        <f t="shared" si="6"/>
        <v>0</v>
      </c>
      <c r="I19" s="125">
        <f t="shared" si="6"/>
        <v>47520</v>
      </c>
      <c r="J19" s="125">
        <f t="shared" si="6"/>
        <v>95040</v>
      </c>
      <c r="K19" s="125">
        <f t="shared" si="6"/>
        <v>142560</v>
      </c>
      <c r="L19" s="125">
        <f t="shared" si="6"/>
        <v>190080</v>
      </c>
      <c r="M19" s="125">
        <f t="shared" si="6"/>
        <v>237600</v>
      </c>
      <c r="N19" s="125">
        <f t="shared" si="6"/>
        <v>285120</v>
      </c>
      <c r="O19" s="125">
        <f t="shared" si="6"/>
        <v>332640</v>
      </c>
      <c r="P19" s="125">
        <f t="shared" si="6"/>
        <v>380160</v>
      </c>
      <c r="Q19" s="125">
        <f t="shared" si="6"/>
        <v>427680</v>
      </c>
      <c r="R19" s="125">
        <f t="shared" si="6"/>
        <v>475200</v>
      </c>
      <c r="S19" s="125">
        <f t="shared" si="6"/>
        <v>522720</v>
      </c>
      <c r="T19" s="125">
        <f t="shared" si="6"/>
        <v>570240</v>
      </c>
      <c r="U19" s="125">
        <f t="shared" si="6"/>
        <v>617760</v>
      </c>
      <c r="V19" s="125">
        <f t="shared" si="6"/>
        <v>665280</v>
      </c>
      <c r="W19" s="125">
        <f t="shared" si="6"/>
        <v>712800</v>
      </c>
      <c r="X19" s="125">
        <f t="shared" si="6"/>
        <v>760320</v>
      </c>
      <c r="Y19" s="125">
        <f t="shared" si="6"/>
        <v>807840</v>
      </c>
      <c r="Z19" s="125">
        <f t="shared" si="6"/>
        <v>855360</v>
      </c>
      <c r="AA19" s="125">
        <f t="shared" si="6"/>
        <v>902880</v>
      </c>
      <c r="AB19" s="125">
        <f t="shared" si="6"/>
        <v>950400</v>
      </c>
      <c r="AC19" s="125">
        <f t="shared" si="6"/>
        <v>997920</v>
      </c>
      <c r="AD19" s="125">
        <f t="shared" si="6"/>
        <v>1045440</v>
      </c>
      <c r="AE19" s="125">
        <f t="shared" si="6"/>
        <v>1092960</v>
      </c>
      <c r="AF19" s="125">
        <f t="shared" si="6"/>
        <v>1140480</v>
      </c>
      <c r="AG19" s="125">
        <f t="shared" si="6"/>
        <v>1188000</v>
      </c>
      <c r="AH19" s="125">
        <f t="shared" si="6"/>
        <v>1235520</v>
      </c>
      <c r="AI19" s="125">
        <f t="shared" si="6"/>
        <v>1283040</v>
      </c>
      <c r="AJ19" s="125">
        <f t="shared" si="6"/>
        <v>1330560</v>
      </c>
      <c r="AK19" s="125">
        <f t="shared" si="6"/>
        <v>1378080</v>
      </c>
      <c r="AL19" s="125">
        <f t="shared" si="6"/>
        <v>1425600</v>
      </c>
      <c r="AM19" s="125">
        <f t="shared" si="6"/>
        <v>1473120</v>
      </c>
      <c r="AN19" s="125">
        <f t="shared" si="6"/>
        <v>1520640</v>
      </c>
      <c r="AO19" s="125">
        <f t="shared" si="6"/>
        <v>1663200</v>
      </c>
      <c r="AP19" s="125">
        <f t="shared" si="6"/>
        <v>1805760</v>
      </c>
      <c r="AQ19" s="125">
        <f t="shared" si="6"/>
        <v>1948320</v>
      </c>
      <c r="AR19" s="125">
        <f t="shared" si="6"/>
        <v>2090880</v>
      </c>
      <c r="AS19" s="125">
        <f t="shared" si="6"/>
        <v>2233440</v>
      </c>
      <c r="AT19" s="125">
        <f t="shared" si="6"/>
        <v>2376000</v>
      </c>
      <c r="AU19" s="125">
        <f t="shared" si="6"/>
        <v>2518560</v>
      </c>
      <c r="AV19" s="125">
        <f t="shared" si="6"/>
        <v>2661120</v>
      </c>
      <c r="AW19" s="125">
        <f t="shared" si="6"/>
        <v>2661120</v>
      </c>
      <c r="AX19" s="125">
        <f t="shared" si="6"/>
        <v>2661120</v>
      </c>
      <c r="AY19" s="125">
        <f t="shared" si="6"/>
        <v>2661120</v>
      </c>
      <c r="AZ19" s="125">
        <f t="shared" si="6"/>
        <v>2661120</v>
      </c>
      <c r="BA19" s="125">
        <f t="shared" si="6"/>
        <v>2661120</v>
      </c>
      <c r="BB19" s="125">
        <f t="shared" si="6"/>
        <v>2661120</v>
      </c>
      <c r="BC19" s="125">
        <f t="shared" si="6"/>
        <v>2661120</v>
      </c>
      <c r="BD19" s="125">
        <f t="shared" si="6"/>
        <v>2661120</v>
      </c>
      <c r="BE19" s="125">
        <f t="shared" si="6"/>
        <v>2661120</v>
      </c>
      <c r="BF19" s="125">
        <f t="shared" si="6"/>
        <v>2661120</v>
      </c>
      <c r="BG19" s="125">
        <f t="shared" si="6"/>
        <v>2661120</v>
      </c>
      <c r="BH19" s="125">
        <f t="shared" si="6"/>
        <v>2661120</v>
      </c>
      <c r="BI19" s="125">
        <f t="shared" si="6"/>
        <v>2661120</v>
      </c>
      <c r="BJ19" s="125">
        <f t="shared" si="6"/>
        <v>2661120</v>
      </c>
      <c r="BK19" s="125">
        <f t="shared" si="6"/>
        <v>2661120</v>
      </c>
      <c r="BL19" s="125">
        <f t="shared" si="6"/>
        <v>2661120</v>
      </c>
    </row>
    <row r="20" ht="15.75" customHeight="1">
      <c r="A20" s="64"/>
      <c r="B20" s="64"/>
      <c r="C20" s="64"/>
      <c r="D20" s="124" t="s">
        <v>19</v>
      </c>
      <c r="E20" s="125">
        <f>IF( E$4 &lt;= 6, 0, E$17 * ASSUMPTIONS!$L$9)</f>
        <v>0</v>
      </c>
      <c r="F20" s="125">
        <f>IF( F$4 &lt;= 6, 0, F$17 * ASSUMPTIONS!$L$9)</f>
        <v>0</v>
      </c>
      <c r="G20" s="125">
        <f>IF( G$4 &lt;= 6, 0, G$17 * ASSUMPTIONS!$L$9)</f>
        <v>0</v>
      </c>
      <c r="H20" s="125">
        <f>IF( H$4 &lt;= 6, 0, H$17 * ASSUMPTIONS!$L$9)</f>
        <v>0</v>
      </c>
      <c r="I20" s="125">
        <f>IF( I$4 &lt;= 6, 0, I$17 * ASSUMPTIONS!$L$9)</f>
        <v>0</v>
      </c>
      <c r="J20" s="125">
        <f>IF( J$4 &lt;= 6, 0, J$17 * ASSUMPTIONS!$L$9)</f>
        <v>0</v>
      </c>
      <c r="K20" s="125">
        <f>IF( K$4 &lt;= 6, 0, K$17 * ASSUMPTIONS!$L$9)</f>
        <v>14100</v>
      </c>
      <c r="L20" s="125">
        <f>IF( L$4 &lt;= 6, 0, L$17 * ASSUMPTIONS!$L$9)</f>
        <v>14100</v>
      </c>
      <c r="M20" s="125">
        <f>IF( M$4 &lt;= 6, 0, M$17 * ASSUMPTIONS!$L$9)</f>
        <v>14100</v>
      </c>
      <c r="N20" s="125">
        <f>IF( N$4 &lt;= 6, 0, N$17 * ASSUMPTIONS!$L$9)</f>
        <v>14100</v>
      </c>
      <c r="O20" s="125">
        <f>IF( O$4 &lt;= 6, 0, O$17 * ASSUMPTIONS!$L$9)</f>
        <v>14100</v>
      </c>
      <c r="P20" s="125">
        <f>IF( P$4 &lt;= 6, 0, P$17 * ASSUMPTIONS!$L$9)</f>
        <v>14100</v>
      </c>
      <c r="Q20" s="125">
        <f>IF( Q$4 &lt;= 6, 0, Q$17 * ASSUMPTIONS!$L$9)</f>
        <v>14100</v>
      </c>
      <c r="R20" s="125">
        <f>IF( R$4 &lt;= 6, 0, R$17 * ASSUMPTIONS!$L$9)</f>
        <v>14100</v>
      </c>
      <c r="S20" s="125">
        <f>IF( S$4 &lt;= 6, 0, S$17 * ASSUMPTIONS!$L$9)</f>
        <v>14100</v>
      </c>
      <c r="T20" s="125">
        <f>IF( T$4 &lt;= 6, 0, T$17 * ASSUMPTIONS!$L$9)</f>
        <v>14100</v>
      </c>
      <c r="U20" s="125">
        <f>IF( U$4 &lt;= 6, 0, U$17 * ASSUMPTIONS!$L$9)</f>
        <v>14100</v>
      </c>
      <c r="V20" s="125">
        <f>IF( V$4 &lt;= 6, 0, V$17 * ASSUMPTIONS!$L$9)</f>
        <v>14100</v>
      </c>
      <c r="W20" s="125">
        <f>IF( W$4 &lt;= 6, 0, W$17 * ASSUMPTIONS!$L$9)</f>
        <v>14100</v>
      </c>
      <c r="X20" s="125">
        <f>IF( X$4 &lt;= 6, 0, X$17 * ASSUMPTIONS!$L$9)</f>
        <v>14100</v>
      </c>
      <c r="Y20" s="125">
        <f>IF( Y$4 &lt;= 6, 0, Y$17 * ASSUMPTIONS!$L$9)</f>
        <v>14100</v>
      </c>
      <c r="Z20" s="125">
        <f>IF( Z$4 &lt;= 6, 0, Z$17 * ASSUMPTIONS!$L$9)</f>
        <v>14100</v>
      </c>
      <c r="AA20" s="125">
        <f>IF( AA$4 &lt;= 6, 0, AA$17 * ASSUMPTIONS!$L$9)</f>
        <v>14100</v>
      </c>
      <c r="AB20" s="125">
        <f>IF( AB$4 &lt;= 6, 0, AB$17 * ASSUMPTIONS!$L$9)</f>
        <v>14100</v>
      </c>
      <c r="AC20" s="125">
        <f>IF( AC$4 &lt;= 6, 0, AC$17 * ASSUMPTIONS!$L$9)</f>
        <v>28200</v>
      </c>
      <c r="AD20" s="125">
        <f>IF( AD$4 &lt;= 6, 0, AD$17 * ASSUMPTIONS!$L$9)</f>
        <v>28200</v>
      </c>
      <c r="AE20" s="125">
        <f>IF( AE$4 &lt;= 6, 0, AE$17 * ASSUMPTIONS!$L$9)</f>
        <v>28200</v>
      </c>
      <c r="AF20" s="125">
        <f>IF( AF$4 &lt;= 6, 0, AF$17 * ASSUMPTIONS!$L$9)</f>
        <v>28200</v>
      </c>
      <c r="AG20" s="125">
        <f>IF( AG$4 &lt;= 6, 0, AG$17 * ASSUMPTIONS!$L$9)</f>
        <v>28200</v>
      </c>
      <c r="AH20" s="125">
        <f>IF( AH$4 &lt;= 6, 0, AH$17 * ASSUMPTIONS!$L$9)</f>
        <v>28200</v>
      </c>
      <c r="AI20" s="125">
        <f>IF( AI$4 &lt;= 6, 0, AI$17 * ASSUMPTIONS!$L$9)</f>
        <v>28200</v>
      </c>
      <c r="AJ20" s="125">
        <f>IF( AJ$4 &lt;= 6, 0, AJ$17 * ASSUMPTIONS!$L$9)</f>
        <v>28200</v>
      </c>
      <c r="AK20" s="125">
        <f>IF( AK$4 &lt;= 6, 0, AK$17 * ASSUMPTIONS!$L$9)</f>
        <v>28200</v>
      </c>
      <c r="AL20" s="125">
        <f>IF( AL$4 &lt;= 6, 0, AL$17 * ASSUMPTIONS!$L$9)</f>
        <v>28200</v>
      </c>
      <c r="AM20" s="125">
        <f>IF( AM$4 &lt;= 6, 0, AM$17 * ASSUMPTIONS!$L$9)</f>
        <v>28200</v>
      </c>
      <c r="AN20" s="125">
        <f>IF( AN$4 &lt;= 6, 0, AN$17 * ASSUMPTIONS!$L$9)</f>
        <v>28200</v>
      </c>
      <c r="AO20" s="125">
        <f>IF( AO$4 &lt;= 6, 0, AO$17 * ASSUMPTIONS!$L$9)</f>
        <v>84600</v>
      </c>
      <c r="AP20" s="125">
        <f>IF( AP$4 &lt;= 6, 0, AP$17 * ASSUMPTIONS!$L$9)</f>
        <v>84600</v>
      </c>
      <c r="AQ20" s="125">
        <f>IF( AQ$4 &lt;= 6, 0, AQ$17 * ASSUMPTIONS!$L$9)</f>
        <v>84600</v>
      </c>
      <c r="AR20" s="125">
        <f>IF( AR$4 &lt;= 6, 0, AR$17 * ASSUMPTIONS!$L$9)</f>
        <v>84600</v>
      </c>
      <c r="AS20" s="125">
        <f>IF( AS$4 &lt;= 6, 0, AS$17 * ASSUMPTIONS!$L$9)</f>
        <v>84600</v>
      </c>
      <c r="AT20" s="125">
        <f>IF( AT$4 &lt;= 6, 0, AT$17 * ASSUMPTIONS!$L$9)</f>
        <v>84600</v>
      </c>
      <c r="AU20" s="125">
        <f>IF( AU$4 &lt;= 6, 0, AU$17 * ASSUMPTIONS!$L$9)</f>
        <v>84600</v>
      </c>
      <c r="AV20" s="125">
        <f>IF( AV$4 &lt;= 6, 0, AV$17 * ASSUMPTIONS!$L$9)</f>
        <v>84600</v>
      </c>
      <c r="AW20" s="125">
        <f>IF( AW$4 &lt;= 6, 0, AW$17 * ASSUMPTIONS!$L$9)</f>
        <v>84600</v>
      </c>
      <c r="AX20" s="125">
        <f>IF( AX$4 &lt;= 6, 0, AX$17 * ASSUMPTIONS!$L$9)</f>
        <v>84600</v>
      </c>
      <c r="AY20" s="125">
        <f>IF( AY$4 &lt;= 6, 0, AY$17 * ASSUMPTIONS!$L$9)</f>
        <v>84600</v>
      </c>
      <c r="AZ20" s="125">
        <f>IF( AZ$4 &lt;= 6, 0, AZ$17 * ASSUMPTIONS!$L$9)</f>
        <v>84600</v>
      </c>
      <c r="BA20" s="125">
        <f>IF( BA$4 &lt;= 6, 0, BA$17 * ASSUMPTIONS!$L$9)</f>
        <v>84600</v>
      </c>
      <c r="BB20" s="125">
        <f>IF( BB$4 &lt;= 6, 0, BB$17 * ASSUMPTIONS!$L$9)</f>
        <v>84600</v>
      </c>
      <c r="BC20" s="125">
        <f>IF( BC$4 &lt;= 6, 0, BC$17 * ASSUMPTIONS!$L$9)</f>
        <v>84600</v>
      </c>
      <c r="BD20" s="125">
        <f>IF( BD$4 &lt;= 6, 0, BD$17 * ASSUMPTIONS!$L$9)</f>
        <v>84600</v>
      </c>
      <c r="BE20" s="125">
        <f>IF( BE$4 &lt;= 6, 0, BE$17 * ASSUMPTIONS!$L$9)</f>
        <v>84600</v>
      </c>
      <c r="BF20" s="125">
        <f>IF( BF$4 &lt;= 6, 0, BF$17 * ASSUMPTIONS!$L$9)</f>
        <v>84600</v>
      </c>
      <c r="BG20" s="125">
        <f>IF( BG$4 &lt;= 6, 0, BG$17 * ASSUMPTIONS!$L$9)</f>
        <v>84600</v>
      </c>
      <c r="BH20" s="125">
        <f>IF( BH$4 &lt;= 6, 0, BH$17 * ASSUMPTIONS!$L$9)</f>
        <v>84600</v>
      </c>
      <c r="BI20" s="125">
        <f>IF( BI$4 &lt;= 6, 0, BI$17 * ASSUMPTIONS!$L$9)</f>
        <v>84600</v>
      </c>
      <c r="BJ20" s="125">
        <f>IF( BJ$4 &lt;= 6, 0, BJ$17 * ASSUMPTIONS!$L$9)</f>
        <v>84600</v>
      </c>
      <c r="BK20" s="125">
        <f>IF( BK$4 &lt;= 6, 0, BK$17 * ASSUMPTIONS!$L$9)</f>
        <v>84600</v>
      </c>
      <c r="BL20" s="125">
        <f>IF( BL$4 &lt;= 6, 0, BL$17 * ASSUMPTIONS!$L$9)</f>
        <v>84600</v>
      </c>
    </row>
    <row r="21" ht="15.75" customHeight="1">
      <c r="A21" s="64"/>
      <c r="B21" s="64"/>
      <c r="C21" s="64"/>
      <c r="D21" s="124" t="s">
        <v>22</v>
      </c>
      <c r="E21" s="125">
        <f>IF( E$4 &lt;= 6, 0, E$17 * ASSUMPTIONS!$L$10)</f>
        <v>0</v>
      </c>
      <c r="F21" s="125">
        <f>IF( F$4 &lt;= 6, 0, F$17 * ASSUMPTIONS!$L$10)</f>
        <v>0</v>
      </c>
      <c r="G21" s="125">
        <f>IF( G$4 &lt;= 6, 0, G$17 * ASSUMPTIONS!$L$10)</f>
        <v>0</v>
      </c>
      <c r="H21" s="125">
        <f>IF( H$4 &lt;= 6, 0, H$17 * ASSUMPTIONS!$L$10)</f>
        <v>0</v>
      </c>
      <c r="I21" s="125">
        <f>IF( I$4 &lt;= 6, 0, I$17 * ASSUMPTIONS!$L$10)</f>
        <v>0</v>
      </c>
      <c r="J21" s="125">
        <f>IF( J$4 &lt;= 6, 0, J$17 * ASSUMPTIONS!$L$10)</f>
        <v>0</v>
      </c>
      <c r="K21" s="125">
        <f>IF( K$4 &lt;= 6, 0, K$17 * ASSUMPTIONS!$L$10)</f>
        <v>28200</v>
      </c>
      <c r="L21" s="125">
        <f>IF( L$4 &lt;= 6, 0, L$17 * ASSUMPTIONS!$L$10)</f>
        <v>28200</v>
      </c>
      <c r="M21" s="125">
        <f>IF( M$4 &lt;= 6, 0, M$17 * ASSUMPTIONS!$L$10)</f>
        <v>28200</v>
      </c>
      <c r="N21" s="125">
        <f>IF( N$4 &lt;= 6, 0, N$17 * ASSUMPTIONS!$L$10)</f>
        <v>28200</v>
      </c>
      <c r="O21" s="125">
        <f>IF( O$4 &lt;= 6, 0, O$17 * ASSUMPTIONS!$L$10)</f>
        <v>28200</v>
      </c>
      <c r="P21" s="125">
        <f>IF( P$4 &lt;= 6, 0, P$17 * ASSUMPTIONS!$L$10)</f>
        <v>28200</v>
      </c>
      <c r="Q21" s="125">
        <f>IF( Q$4 &lt;= 6, 0, Q$17 * ASSUMPTIONS!$L$10)</f>
        <v>28200</v>
      </c>
      <c r="R21" s="125">
        <f>IF( R$4 &lt;= 6, 0, R$17 * ASSUMPTIONS!$L$10)</f>
        <v>28200</v>
      </c>
      <c r="S21" s="125">
        <f>IF( S$4 &lt;= 6, 0, S$17 * ASSUMPTIONS!$L$10)</f>
        <v>28200</v>
      </c>
      <c r="T21" s="125">
        <f>IF( T$4 &lt;= 6, 0, T$17 * ASSUMPTIONS!$L$10)</f>
        <v>28200</v>
      </c>
      <c r="U21" s="125">
        <f>IF( U$4 &lt;= 6, 0, U$17 * ASSUMPTIONS!$L$10)</f>
        <v>28200</v>
      </c>
      <c r="V21" s="125">
        <f>IF( V$4 &lt;= 6, 0, V$17 * ASSUMPTIONS!$L$10)</f>
        <v>28200</v>
      </c>
      <c r="W21" s="125">
        <f>IF( W$4 &lt;= 6, 0, W$17 * ASSUMPTIONS!$L$10)</f>
        <v>28200</v>
      </c>
      <c r="X21" s="125">
        <f>IF( X$4 &lt;= 6, 0, X$17 * ASSUMPTIONS!$L$10)</f>
        <v>28200</v>
      </c>
      <c r="Y21" s="125">
        <f>IF( Y$4 &lt;= 6, 0, Y$17 * ASSUMPTIONS!$L$10)</f>
        <v>28200</v>
      </c>
      <c r="Z21" s="125">
        <f>IF( Z$4 &lt;= 6, 0, Z$17 * ASSUMPTIONS!$L$10)</f>
        <v>28200</v>
      </c>
      <c r="AA21" s="125">
        <f>IF( AA$4 &lt;= 6, 0, AA$17 * ASSUMPTIONS!$L$10)</f>
        <v>28200</v>
      </c>
      <c r="AB21" s="125">
        <f>IF( AB$4 &lt;= 6, 0, AB$17 * ASSUMPTIONS!$L$10)</f>
        <v>28200</v>
      </c>
      <c r="AC21" s="125">
        <f>IF( AC$4 &lt;= 6, 0, AC$17 * ASSUMPTIONS!$L$10)</f>
        <v>56400</v>
      </c>
      <c r="AD21" s="125">
        <f>IF( AD$4 &lt;= 6, 0, AD$17 * ASSUMPTIONS!$L$10)</f>
        <v>56400</v>
      </c>
      <c r="AE21" s="125">
        <f>IF( AE$4 &lt;= 6, 0, AE$17 * ASSUMPTIONS!$L$10)</f>
        <v>56400</v>
      </c>
      <c r="AF21" s="125">
        <f>IF( AF$4 &lt;= 6, 0, AF$17 * ASSUMPTIONS!$L$10)</f>
        <v>56400</v>
      </c>
      <c r="AG21" s="125">
        <f>IF( AG$4 &lt;= 6, 0, AG$17 * ASSUMPTIONS!$L$10)</f>
        <v>56400</v>
      </c>
      <c r="AH21" s="125">
        <f>IF( AH$4 &lt;= 6, 0, AH$17 * ASSUMPTIONS!$L$10)</f>
        <v>56400</v>
      </c>
      <c r="AI21" s="125">
        <f>IF( AI$4 &lt;= 6, 0, AI$17 * ASSUMPTIONS!$L$10)</f>
        <v>56400</v>
      </c>
      <c r="AJ21" s="125">
        <f>IF( AJ$4 &lt;= 6, 0, AJ$17 * ASSUMPTIONS!$L$10)</f>
        <v>56400</v>
      </c>
      <c r="AK21" s="125">
        <f>IF( AK$4 &lt;= 6, 0, AK$17 * ASSUMPTIONS!$L$10)</f>
        <v>56400</v>
      </c>
      <c r="AL21" s="125">
        <f>IF( AL$4 &lt;= 6, 0, AL$17 * ASSUMPTIONS!$L$10)</f>
        <v>56400</v>
      </c>
      <c r="AM21" s="125">
        <f>IF( AM$4 &lt;= 6, 0, AM$17 * ASSUMPTIONS!$L$10)</f>
        <v>56400</v>
      </c>
      <c r="AN21" s="125">
        <f>IF( AN$4 &lt;= 6, 0, AN$17 * ASSUMPTIONS!$L$10)</f>
        <v>56400</v>
      </c>
      <c r="AO21" s="125">
        <f>IF( AO$4 &lt;= 6, 0, AO$17 * ASSUMPTIONS!$L$10)</f>
        <v>169200</v>
      </c>
      <c r="AP21" s="125">
        <f>IF( AP$4 &lt;= 6, 0, AP$17 * ASSUMPTIONS!$L$10)</f>
        <v>169200</v>
      </c>
      <c r="AQ21" s="125">
        <f>IF( AQ$4 &lt;= 6, 0, AQ$17 * ASSUMPTIONS!$L$10)</f>
        <v>169200</v>
      </c>
      <c r="AR21" s="125">
        <f>IF( AR$4 &lt;= 6, 0, AR$17 * ASSUMPTIONS!$L$10)</f>
        <v>169200</v>
      </c>
      <c r="AS21" s="125">
        <f>IF( AS$4 &lt;= 6, 0, AS$17 * ASSUMPTIONS!$L$10)</f>
        <v>169200</v>
      </c>
      <c r="AT21" s="125">
        <f>IF( AT$4 &lt;= 6, 0, AT$17 * ASSUMPTIONS!$L$10)</f>
        <v>169200</v>
      </c>
      <c r="AU21" s="125">
        <f>IF( AU$4 &lt;= 6, 0, AU$17 * ASSUMPTIONS!$L$10)</f>
        <v>169200</v>
      </c>
      <c r="AV21" s="125">
        <f>IF( AV$4 &lt;= 6, 0, AV$17 * ASSUMPTIONS!$L$10)</f>
        <v>169200</v>
      </c>
      <c r="AW21" s="125">
        <f>IF( AW$4 &lt;= 6, 0, AW$17 * ASSUMPTIONS!$L$10)</f>
        <v>169200</v>
      </c>
      <c r="AX21" s="125">
        <f>IF( AX$4 &lt;= 6, 0, AX$17 * ASSUMPTIONS!$L$10)</f>
        <v>169200</v>
      </c>
      <c r="AY21" s="125">
        <f>IF( AY$4 &lt;= 6, 0, AY$17 * ASSUMPTIONS!$L$10)</f>
        <v>169200</v>
      </c>
      <c r="AZ21" s="125">
        <f>IF( AZ$4 &lt;= 6, 0, AZ$17 * ASSUMPTIONS!$L$10)</f>
        <v>169200</v>
      </c>
      <c r="BA21" s="125">
        <f>IF( BA$4 &lt;= 6, 0, BA$17 * ASSUMPTIONS!$L$10)</f>
        <v>169200</v>
      </c>
      <c r="BB21" s="125">
        <f>IF( BB$4 &lt;= 6, 0, BB$17 * ASSUMPTIONS!$L$10)</f>
        <v>169200</v>
      </c>
      <c r="BC21" s="125">
        <f>IF( BC$4 &lt;= 6, 0, BC$17 * ASSUMPTIONS!$L$10)</f>
        <v>169200</v>
      </c>
      <c r="BD21" s="125">
        <f>IF( BD$4 &lt;= 6, 0, BD$17 * ASSUMPTIONS!$L$10)</f>
        <v>169200</v>
      </c>
      <c r="BE21" s="125">
        <f>IF( BE$4 &lt;= 6, 0, BE$17 * ASSUMPTIONS!$L$10)</f>
        <v>169200</v>
      </c>
      <c r="BF21" s="125">
        <f>IF( BF$4 &lt;= 6, 0, BF$17 * ASSUMPTIONS!$L$10)</f>
        <v>169200</v>
      </c>
      <c r="BG21" s="125">
        <f>IF( BG$4 &lt;= 6, 0, BG$17 * ASSUMPTIONS!$L$10)</f>
        <v>169200</v>
      </c>
      <c r="BH21" s="125">
        <f>IF( BH$4 &lt;= 6, 0, BH$17 * ASSUMPTIONS!$L$10)</f>
        <v>169200</v>
      </c>
      <c r="BI21" s="125">
        <f>IF( BI$4 &lt;= 6, 0, BI$17 * ASSUMPTIONS!$L$10)</f>
        <v>169200</v>
      </c>
      <c r="BJ21" s="125">
        <f>IF( BJ$4 &lt;= 6, 0, BJ$17 * ASSUMPTIONS!$L$10)</f>
        <v>169200</v>
      </c>
      <c r="BK21" s="125">
        <f>IF( BK$4 &lt;= 6, 0, BK$17 * ASSUMPTIONS!$L$10)</f>
        <v>169200</v>
      </c>
      <c r="BL21" s="125">
        <f>IF( BL$4 &lt;= 6, 0, BL$17 * ASSUMPTIONS!$L$10)</f>
        <v>169200</v>
      </c>
    </row>
    <row r="22" ht="15.75" customHeight="1">
      <c r="A22" s="64"/>
      <c r="B22" s="64"/>
      <c r="C22" s="64"/>
      <c r="D22" s="124" t="s">
        <v>40</v>
      </c>
      <c r="E22" s="125">
        <f>IF( E$4 &lt;= 6, 0, E$17 * ASSUMPTIONS!$L$12)</f>
        <v>0</v>
      </c>
      <c r="F22" s="125">
        <f>IF( F$4 &lt;= 6, 0, F$17 * ASSUMPTIONS!$L$12)</f>
        <v>0</v>
      </c>
      <c r="G22" s="125">
        <f>IF( G$4 &lt;= 6, 0, G$17 * ASSUMPTIONS!$L$12)</f>
        <v>0</v>
      </c>
      <c r="H22" s="125">
        <f>IF( H$4 &lt;= 6, 0, H$17 * ASSUMPTIONS!$L$12)</f>
        <v>0</v>
      </c>
      <c r="I22" s="125">
        <f>IF( I$4 &lt;= 6, 0, I$17 * ASSUMPTIONS!$L$12)</f>
        <v>0</v>
      </c>
      <c r="J22" s="125">
        <f>IF( J$4 &lt;= 6, 0, J$17 * ASSUMPTIONS!$L$12)</f>
        <v>0</v>
      </c>
      <c r="K22" s="125">
        <f>IF( K$4 &lt;= 6, 0, K$17 * ASSUMPTIONS!$L$12)</f>
        <v>14100</v>
      </c>
      <c r="L22" s="125">
        <f>IF( L$4 &lt;= 6, 0, L$17 * ASSUMPTIONS!$L$12)</f>
        <v>14100</v>
      </c>
      <c r="M22" s="125">
        <f>IF( M$4 &lt;= 6, 0, M$17 * ASSUMPTIONS!$L$12)</f>
        <v>14100</v>
      </c>
      <c r="N22" s="125">
        <f>IF( N$4 &lt;= 6, 0, N$17 * ASSUMPTIONS!$L$12)</f>
        <v>14100</v>
      </c>
      <c r="O22" s="125">
        <f>IF( O$4 &lt;= 6, 0, O$17 * ASSUMPTIONS!$L$12)</f>
        <v>14100</v>
      </c>
      <c r="P22" s="125">
        <f>IF( P$4 &lt;= 6, 0, P$17 * ASSUMPTIONS!$L$12)</f>
        <v>14100</v>
      </c>
      <c r="Q22" s="125">
        <f>IF( Q$4 &lt;= 6, 0, Q$17 * ASSUMPTIONS!$L$12)</f>
        <v>14100</v>
      </c>
      <c r="R22" s="125">
        <f>IF( R$4 &lt;= 6, 0, R$17 * ASSUMPTIONS!$L$12)</f>
        <v>14100</v>
      </c>
      <c r="S22" s="125">
        <f>IF( S$4 &lt;= 6, 0, S$17 * ASSUMPTIONS!$L$12)</f>
        <v>14100</v>
      </c>
      <c r="T22" s="125">
        <f>IF( T$4 &lt;= 6, 0, T$17 * ASSUMPTIONS!$L$12)</f>
        <v>14100</v>
      </c>
      <c r="U22" s="125">
        <f>IF( U$4 &lt;= 6, 0, U$17 * ASSUMPTIONS!$L$12)</f>
        <v>14100</v>
      </c>
      <c r="V22" s="125">
        <f>IF( V$4 &lt;= 6, 0, V$17 * ASSUMPTIONS!$L$12)</f>
        <v>14100</v>
      </c>
      <c r="W22" s="125">
        <f>IF( W$4 &lt;= 6, 0, W$17 * ASSUMPTIONS!$L$12)</f>
        <v>14100</v>
      </c>
      <c r="X22" s="125">
        <f>IF( X$4 &lt;= 6, 0, X$17 * ASSUMPTIONS!$L$12)</f>
        <v>14100</v>
      </c>
      <c r="Y22" s="125">
        <f>IF( Y$4 &lt;= 6, 0, Y$17 * ASSUMPTIONS!$L$12)</f>
        <v>14100</v>
      </c>
      <c r="Z22" s="125">
        <f>IF( Z$4 &lt;= 6, 0, Z$17 * ASSUMPTIONS!$L$12)</f>
        <v>14100</v>
      </c>
      <c r="AA22" s="125">
        <f>IF( AA$4 &lt;= 6, 0, AA$17 * ASSUMPTIONS!$L$12)</f>
        <v>14100</v>
      </c>
      <c r="AB22" s="125">
        <f>IF( AB$4 &lt;= 6, 0, AB$17 * ASSUMPTIONS!$L$12)</f>
        <v>14100</v>
      </c>
      <c r="AC22" s="125">
        <f>IF( AC$4 &lt;= 6, 0, AC$17 * ASSUMPTIONS!$L$12)</f>
        <v>28200</v>
      </c>
      <c r="AD22" s="125">
        <f>IF( AD$4 &lt;= 6, 0, AD$17 * ASSUMPTIONS!$L$12)</f>
        <v>28200</v>
      </c>
      <c r="AE22" s="125">
        <f>IF( AE$4 &lt;= 6, 0, AE$17 * ASSUMPTIONS!$L$12)</f>
        <v>28200</v>
      </c>
      <c r="AF22" s="125">
        <f>IF( AF$4 &lt;= 6, 0, AF$17 * ASSUMPTIONS!$L$12)</f>
        <v>28200</v>
      </c>
      <c r="AG22" s="125">
        <f>IF( AG$4 &lt;= 6, 0, AG$17 * ASSUMPTIONS!$L$12)</f>
        <v>28200</v>
      </c>
      <c r="AH22" s="125">
        <f>IF( AH$4 &lt;= 6, 0, AH$17 * ASSUMPTIONS!$L$12)</f>
        <v>28200</v>
      </c>
      <c r="AI22" s="125">
        <f>IF( AI$4 &lt;= 6, 0, AI$17 * ASSUMPTIONS!$L$12)</f>
        <v>28200</v>
      </c>
      <c r="AJ22" s="125">
        <f>IF( AJ$4 &lt;= 6, 0, AJ$17 * ASSUMPTIONS!$L$12)</f>
        <v>28200</v>
      </c>
      <c r="AK22" s="125">
        <f>IF( AK$4 &lt;= 6, 0, AK$17 * ASSUMPTIONS!$L$12)</f>
        <v>28200</v>
      </c>
      <c r="AL22" s="125">
        <f>IF( AL$4 &lt;= 6, 0, AL$17 * ASSUMPTIONS!$L$12)</f>
        <v>28200</v>
      </c>
      <c r="AM22" s="125">
        <f>IF( AM$4 &lt;= 6, 0, AM$17 * ASSUMPTIONS!$L$12)</f>
        <v>28200</v>
      </c>
      <c r="AN22" s="125">
        <f>IF( AN$4 &lt;= 6, 0, AN$17 * ASSUMPTIONS!$L$12)</f>
        <v>28200</v>
      </c>
      <c r="AO22" s="125">
        <f>IF( AO$4 &lt;= 6, 0, AO$17 * ASSUMPTIONS!$L$12)</f>
        <v>84600</v>
      </c>
      <c r="AP22" s="125">
        <f>IF( AP$4 &lt;= 6, 0, AP$17 * ASSUMPTIONS!$L$12)</f>
        <v>84600</v>
      </c>
      <c r="AQ22" s="125">
        <f>IF( AQ$4 &lt;= 6, 0, AQ$17 * ASSUMPTIONS!$L$12)</f>
        <v>84600</v>
      </c>
      <c r="AR22" s="125">
        <f>IF( AR$4 &lt;= 6, 0, AR$17 * ASSUMPTIONS!$L$12)</f>
        <v>84600</v>
      </c>
      <c r="AS22" s="125">
        <f>IF( AS$4 &lt;= 6, 0, AS$17 * ASSUMPTIONS!$L$12)</f>
        <v>84600</v>
      </c>
      <c r="AT22" s="125">
        <f>IF( AT$4 &lt;= 6, 0, AT$17 * ASSUMPTIONS!$L$12)</f>
        <v>84600</v>
      </c>
      <c r="AU22" s="125">
        <f>IF( AU$4 &lt;= 6, 0, AU$17 * ASSUMPTIONS!$L$12)</f>
        <v>84600</v>
      </c>
      <c r="AV22" s="125">
        <f>IF( AV$4 &lt;= 6, 0, AV$17 * ASSUMPTIONS!$L$12)</f>
        <v>84600</v>
      </c>
      <c r="AW22" s="125">
        <f>IF( AW$4 &lt;= 6, 0, AW$17 * ASSUMPTIONS!$L$12)</f>
        <v>84600</v>
      </c>
      <c r="AX22" s="125">
        <f>IF( AX$4 &lt;= 6, 0, AX$17 * ASSUMPTIONS!$L$12)</f>
        <v>84600</v>
      </c>
      <c r="AY22" s="125">
        <f>IF( AY$4 &lt;= 6, 0, AY$17 * ASSUMPTIONS!$L$12)</f>
        <v>84600</v>
      </c>
      <c r="AZ22" s="125">
        <f>IF( AZ$4 &lt;= 6, 0, AZ$17 * ASSUMPTIONS!$L$12)</f>
        <v>84600</v>
      </c>
      <c r="BA22" s="125">
        <f>IF( BA$4 &lt;= 6, 0, BA$17 * ASSUMPTIONS!$L$12)</f>
        <v>84600</v>
      </c>
      <c r="BB22" s="125">
        <f>IF( BB$4 &lt;= 6, 0, BB$17 * ASSUMPTIONS!$L$12)</f>
        <v>84600</v>
      </c>
      <c r="BC22" s="125">
        <f>IF( BC$4 &lt;= 6, 0, BC$17 * ASSUMPTIONS!$L$12)</f>
        <v>84600</v>
      </c>
      <c r="BD22" s="125">
        <f>IF( BD$4 &lt;= 6, 0, BD$17 * ASSUMPTIONS!$L$12)</f>
        <v>84600</v>
      </c>
      <c r="BE22" s="125">
        <f>IF( BE$4 &lt;= 6, 0, BE$17 * ASSUMPTIONS!$L$12)</f>
        <v>84600</v>
      </c>
      <c r="BF22" s="125">
        <f>IF( BF$4 &lt;= 6, 0, BF$17 * ASSUMPTIONS!$L$12)</f>
        <v>84600</v>
      </c>
      <c r="BG22" s="125">
        <f>IF( BG$4 &lt;= 6, 0, BG$17 * ASSUMPTIONS!$L$12)</f>
        <v>84600</v>
      </c>
      <c r="BH22" s="125">
        <f>IF( BH$4 &lt;= 6, 0, BH$17 * ASSUMPTIONS!$L$12)</f>
        <v>84600</v>
      </c>
      <c r="BI22" s="125">
        <f>IF( BI$4 &lt;= 6, 0, BI$17 * ASSUMPTIONS!$L$12)</f>
        <v>84600</v>
      </c>
      <c r="BJ22" s="125">
        <f>IF( BJ$4 &lt;= 6, 0, BJ$17 * ASSUMPTIONS!$L$12)</f>
        <v>84600</v>
      </c>
      <c r="BK22" s="125">
        <f>IF( BK$4 &lt;= 6, 0, BK$17 * ASSUMPTIONS!$L$12)</f>
        <v>84600</v>
      </c>
      <c r="BL22" s="125">
        <f>IF( BL$4 &lt;= 6, 0, BL$17 * ASSUMPTIONS!$L$12)</f>
        <v>84600</v>
      </c>
    </row>
    <row r="23" ht="15.75" customHeight="1">
      <c r="A23" s="64"/>
      <c r="B23" s="64"/>
      <c r="C23" s="64"/>
      <c r="D23" s="124" t="s">
        <v>42</v>
      </c>
      <c r="E23" s="125">
        <f>IF( E$4 &lt;= 6, 0, E$17 * ASSUMPTIONS!$L$12)</f>
        <v>0</v>
      </c>
      <c r="F23" s="125">
        <f>IF( F$4 &lt;= 6, 0, F$17 * ASSUMPTIONS!$L$12)</f>
        <v>0</v>
      </c>
      <c r="G23" s="125">
        <f>IF( G$4 &lt;= 6, 0, G$17 * ASSUMPTIONS!$L$12)</f>
        <v>0</v>
      </c>
      <c r="H23" s="125">
        <f>IF( H$4 &lt;= 6, 0, H$17 * ASSUMPTIONS!$L$12)</f>
        <v>0</v>
      </c>
      <c r="I23" s="125">
        <f>IF( I$4 &lt;= 6, 0, I$17 * ASSUMPTIONS!$L$12)</f>
        <v>0</v>
      </c>
      <c r="J23" s="125">
        <f>IF( J$4 &lt;= 6, 0, J$17 * ASSUMPTIONS!$L$12)</f>
        <v>0</v>
      </c>
      <c r="K23" s="125">
        <f>IF( K$4 &lt;= 6, 0, K$17 * ASSUMPTIONS!$L$12)</f>
        <v>14100</v>
      </c>
      <c r="L23" s="125">
        <f>IF( L$4 &lt;= 6, 0, L$17 * ASSUMPTIONS!$L$12)</f>
        <v>14100</v>
      </c>
      <c r="M23" s="125">
        <f>IF( M$4 &lt;= 6, 0, M$17 * ASSUMPTIONS!$L$12)</f>
        <v>14100</v>
      </c>
      <c r="N23" s="125">
        <f>IF( N$4 &lt;= 6, 0, N$17 * ASSUMPTIONS!$L$12)</f>
        <v>14100</v>
      </c>
      <c r="O23" s="125">
        <f>IF( O$4 &lt;= 6, 0, O$17 * ASSUMPTIONS!$L$12)</f>
        <v>14100</v>
      </c>
      <c r="P23" s="125">
        <f>IF( P$4 &lt;= 6, 0, P$17 * ASSUMPTIONS!$L$12)</f>
        <v>14100</v>
      </c>
      <c r="Q23" s="125">
        <f>IF( Q$4 &lt;= 6, 0, Q$17 * ASSUMPTIONS!$L$12)</f>
        <v>14100</v>
      </c>
      <c r="R23" s="125">
        <f>IF( R$4 &lt;= 6, 0, R$17 * ASSUMPTIONS!$L$12)</f>
        <v>14100</v>
      </c>
      <c r="S23" s="125">
        <f>IF( S$4 &lt;= 6, 0, S$17 * ASSUMPTIONS!$L$12)</f>
        <v>14100</v>
      </c>
      <c r="T23" s="125">
        <f>IF( T$4 &lt;= 6, 0, T$17 * ASSUMPTIONS!$L$12)</f>
        <v>14100</v>
      </c>
      <c r="U23" s="125">
        <f>IF( U$4 &lt;= 6, 0, U$17 * ASSUMPTIONS!$L$12)</f>
        <v>14100</v>
      </c>
      <c r="V23" s="125">
        <f>IF( V$4 &lt;= 6, 0, V$17 * ASSUMPTIONS!$L$12)</f>
        <v>14100</v>
      </c>
      <c r="W23" s="125">
        <f>IF( W$4 &lt;= 6, 0, W$17 * ASSUMPTIONS!$L$12)</f>
        <v>14100</v>
      </c>
      <c r="X23" s="125">
        <f>IF( X$4 &lt;= 6, 0, X$17 * ASSUMPTIONS!$L$12)</f>
        <v>14100</v>
      </c>
      <c r="Y23" s="125">
        <f>IF( Y$4 &lt;= 6, 0, Y$17 * ASSUMPTIONS!$L$12)</f>
        <v>14100</v>
      </c>
      <c r="Z23" s="125">
        <f>IF( Z$4 &lt;= 6, 0, Z$17 * ASSUMPTIONS!$L$12)</f>
        <v>14100</v>
      </c>
      <c r="AA23" s="125">
        <f>IF( AA$4 &lt;= 6, 0, AA$17 * ASSUMPTIONS!$L$12)</f>
        <v>14100</v>
      </c>
      <c r="AB23" s="125">
        <f>IF( AB$4 &lt;= 6, 0, AB$17 * ASSUMPTIONS!$L$12)</f>
        <v>14100</v>
      </c>
      <c r="AC23" s="125">
        <f>IF( AC$4 &lt;= 6, 0, AC$17 * ASSUMPTIONS!$L$12)</f>
        <v>28200</v>
      </c>
      <c r="AD23" s="125">
        <f>IF( AD$4 &lt;= 6, 0, AD$17 * ASSUMPTIONS!$L$12)</f>
        <v>28200</v>
      </c>
      <c r="AE23" s="125">
        <f>IF( AE$4 &lt;= 6, 0, AE$17 * ASSUMPTIONS!$L$12)</f>
        <v>28200</v>
      </c>
      <c r="AF23" s="125">
        <f>IF( AF$4 &lt;= 6, 0, AF$17 * ASSUMPTIONS!$L$12)</f>
        <v>28200</v>
      </c>
      <c r="AG23" s="125">
        <f>IF( AG$4 &lt;= 6, 0, AG$17 * ASSUMPTIONS!$L$12)</f>
        <v>28200</v>
      </c>
      <c r="AH23" s="125">
        <f>IF( AH$4 &lt;= 6, 0, AH$17 * ASSUMPTIONS!$L$12)</f>
        <v>28200</v>
      </c>
      <c r="AI23" s="125">
        <f>IF( AI$4 &lt;= 6, 0, AI$17 * ASSUMPTIONS!$L$12)</f>
        <v>28200</v>
      </c>
      <c r="AJ23" s="125">
        <f>IF( AJ$4 &lt;= 6, 0, AJ$17 * ASSUMPTIONS!$L$12)</f>
        <v>28200</v>
      </c>
      <c r="AK23" s="125">
        <f>IF( AK$4 &lt;= 6, 0, AK$17 * ASSUMPTIONS!$L$12)</f>
        <v>28200</v>
      </c>
      <c r="AL23" s="125">
        <f>IF( AL$4 &lt;= 6, 0, AL$17 * ASSUMPTIONS!$L$12)</f>
        <v>28200</v>
      </c>
      <c r="AM23" s="125">
        <f>IF( AM$4 &lt;= 6, 0, AM$17 * ASSUMPTIONS!$L$12)</f>
        <v>28200</v>
      </c>
      <c r="AN23" s="125">
        <f>IF( AN$4 &lt;= 6, 0, AN$17 * ASSUMPTIONS!$L$12)</f>
        <v>28200</v>
      </c>
      <c r="AO23" s="125">
        <f>IF( AO$4 &lt;= 6, 0, AO$17 * ASSUMPTIONS!$L$12)</f>
        <v>84600</v>
      </c>
      <c r="AP23" s="125">
        <f>IF( AP$4 &lt;= 6, 0, AP$17 * ASSUMPTIONS!$L$12)</f>
        <v>84600</v>
      </c>
      <c r="AQ23" s="125">
        <f>IF( AQ$4 &lt;= 6, 0, AQ$17 * ASSUMPTIONS!$L$12)</f>
        <v>84600</v>
      </c>
      <c r="AR23" s="125">
        <f>IF( AR$4 &lt;= 6, 0, AR$17 * ASSUMPTIONS!$L$12)</f>
        <v>84600</v>
      </c>
      <c r="AS23" s="125">
        <f>IF( AS$4 &lt;= 6, 0, AS$17 * ASSUMPTIONS!$L$12)</f>
        <v>84600</v>
      </c>
      <c r="AT23" s="125">
        <f>IF( AT$4 &lt;= 6, 0, AT$17 * ASSUMPTIONS!$L$12)</f>
        <v>84600</v>
      </c>
      <c r="AU23" s="125">
        <f>IF( AU$4 &lt;= 6, 0, AU$17 * ASSUMPTIONS!$L$12)</f>
        <v>84600</v>
      </c>
      <c r="AV23" s="125">
        <f>IF( AV$4 &lt;= 6, 0, AV$17 * ASSUMPTIONS!$L$12)</f>
        <v>84600</v>
      </c>
      <c r="AW23" s="125">
        <f>IF( AW$4 &lt;= 6, 0, AW$17 * ASSUMPTIONS!$L$12)</f>
        <v>84600</v>
      </c>
      <c r="AX23" s="125">
        <f>IF( AX$4 &lt;= 6, 0, AX$17 * ASSUMPTIONS!$L$12)</f>
        <v>84600</v>
      </c>
      <c r="AY23" s="125">
        <f>IF( AY$4 &lt;= 6, 0, AY$17 * ASSUMPTIONS!$L$12)</f>
        <v>84600</v>
      </c>
      <c r="AZ23" s="125">
        <f>IF( AZ$4 &lt;= 6, 0, AZ$17 * ASSUMPTIONS!$L$12)</f>
        <v>84600</v>
      </c>
      <c r="BA23" s="125">
        <f>IF( BA$4 &lt;= 6, 0, BA$17 * ASSUMPTIONS!$L$12)</f>
        <v>84600</v>
      </c>
      <c r="BB23" s="125">
        <f>IF( BB$4 &lt;= 6, 0, BB$17 * ASSUMPTIONS!$L$12)</f>
        <v>84600</v>
      </c>
      <c r="BC23" s="125">
        <f>IF( BC$4 &lt;= 6, 0, BC$17 * ASSUMPTIONS!$L$12)</f>
        <v>84600</v>
      </c>
      <c r="BD23" s="125">
        <f>IF( BD$4 &lt;= 6, 0, BD$17 * ASSUMPTIONS!$L$12)</f>
        <v>84600</v>
      </c>
      <c r="BE23" s="125">
        <f>IF( BE$4 &lt;= 6, 0, BE$17 * ASSUMPTIONS!$L$12)</f>
        <v>84600</v>
      </c>
      <c r="BF23" s="125">
        <f>IF( BF$4 &lt;= 6, 0, BF$17 * ASSUMPTIONS!$L$12)</f>
        <v>84600</v>
      </c>
      <c r="BG23" s="125">
        <f>IF( BG$4 &lt;= 6, 0, BG$17 * ASSUMPTIONS!$L$12)</f>
        <v>84600</v>
      </c>
      <c r="BH23" s="125">
        <f>IF( BH$4 &lt;= 6, 0, BH$17 * ASSUMPTIONS!$L$12)</f>
        <v>84600</v>
      </c>
      <c r="BI23" s="125">
        <f>IF( BI$4 &lt;= 6, 0, BI$17 * ASSUMPTIONS!$L$12)</f>
        <v>84600</v>
      </c>
      <c r="BJ23" s="125">
        <f>IF( BJ$4 &lt;= 6, 0, BJ$17 * ASSUMPTIONS!$L$12)</f>
        <v>84600</v>
      </c>
      <c r="BK23" s="125">
        <f>IF( BK$4 &lt;= 6, 0, BK$17 * ASSUMPTIONS!$L$12)</f>
        <v>84600</v>
      </c>
      <c r="BL23" s="125">
        <f>IF( BL$4 &lt;= 6, 0, BL$17 * ASSUMPTIONS!$L$12)</f>
        <v>84600</v>
      </c>
    </row>
    <row r="24" ht="15.75" customHeight="1">
      <c r="A24" s="64"/>
      <c r="B24" s="64"/>
      <c r="C24" s="64"/>
      <c r="D24" s="124" t="s">
        <v>141</v>
      </c>
      <c r="E24" s="125">
        <f>IF( E$4 &lt;= 6, 0, E$17 * ASSUMPTIONS!$L$11)</f>
        <v>0</v>
      </c>
      <c r="F24" s="125">
        <f>IF( F$4 &lt;= 6, 0, F$17 * ASSUMPTIONS!$L$11)</f>
        <v>0</v>
      </c>
      <c r="G24" s="125">
        <f>IF( G$4 &lt;= 6, 0, G$17 * ASSUMPTIONS!$L$11)</f>
        <v>0</v>
      </c>
      <c r="H24" s="125">
        <f>IF( H$4 &lt;= 6, 0, H$17 * ASSUMPTIONS!$L$11)</f>
        <v>0</v>
      </c>
      <c r="I24" s="125">
        <f>IF( I$4 &lt;= 6, 0, I$17 * ASSUMPTIONS!$L$11)</f>
        <v>0</v>
      </c>
      <c r="J24" s="125">
        <f>IF( J$4 &lt;= 6, 0, J$17 * ASSUMPTIONS!$L$11)</f>
        <v>0</v>
      </c>
      <c r="K24" s="125">
        <f>IF( K$4 &lt;= 6, 0, K$17 * ASSUMPTIONS!$L$11)</f>
        <v>28200</v>
      </c>
      <c r="L24" s="125">
        <f>IF( L$4 &lt;= 6, 0, L$17 * ASSUMPTIONS!$L$11)</f>
        <v>28200</v>
      </c>
      <c r="M24" s="125">
        <f>IF( M$4 &lt;= 6, 0, M$17 * ASSUMPTIONS!$L$11)</f>
        <v>28200</v>
      </c>
      <c r="N24" s="125">
        <f>IF( N$4 &lt;= 6, 0, N$17 * ASSUMPTIONS!$L$11)</f>
        <v>28200</v>
      </c>
      <c r="O24" s="125">
        <f>IF( O$4 &lt;= 6, 0, O$17 * ASSUMPTIONS!$L$11)</f>
        <v>28200</v>
      </c>
      <c r="P24" s="125">
        <f>IF( P$4 &lt;= 6, 0, P$17 * ASSUMPTIONS!$L$11)</f>
        <v>28200</v>
      </c>
      <c r="Q24" s="125">
        <f>IF( Q$4 &lt;= 6, 0, Q$17 * ASSUMPTIONS!$L$11)</f>
        <v>28200</v>
      </c>
      <c r="R24" s="125">
        <f>IF( R$4 &lt;= 6, 0, R$17 * ASSUMPTIONS!$L$11)</f>
        <v>28200</v>
      </c>
      <c r="S24" s="125">
        <f>IF( S$4 &lt;= 6, 0, S$17 * ASSUMPTIONS!$L$11)</f>
        <v>28200</v>
      </c>
      <c r="T24" s="125">
        <f>IF( T$4 &lt;= 6, 0, T$17 * ASSUMPTIONS!$L$11)</f>
        <v>28200</v>
      </c>
      <c r="U24" s="125">
        <f>IF( U$4 &lt;= 6, 0, U$17 * ASSUMPTIONS!$L$11)</f>
        <v>28200</v>
      </c>
      <c r="V24" s="125">
        <f>IF( V$4 &lt;= 6, 0, V$17 * ASSUMPTIONS!$L$11)</f>
        <v>28200</v>
      </c>
      <c r="W24" s="125">
        <f>IF( W$4 &lt;= 6, 0, W$17 * ASSUMPTIONS!$L$11)</f>
        <v>28200</v>
      </c>
      <c r="X24" s="125">
        <f>IF( X$4 &lt;= 6, 0, X$17 * ASSUMPTIONS!$L$11)</f>
        <v>28200</v>
      </c>
      <c r="Y24" s="125">
        <f>IF( Y$4 &lt;= 6, 0, Y$17 * ASSUMPTIONS!$L$11)</f>
        <v>28200</v>
      </c>
      <c r="Z24" s="125">
        <f>IF( Z$4 &lt;= 6, 0, Z$17 * ASSUMPTIONS!$L$11)</f>
        <v>28200</v>
      </c>
      <c r="AA24" s="125">
        <f>IF( AA$4 &lt;= 6, 0, AA$17 * ASSUMPTIONS!$L$11)</f>
        <v>28200</v>
      </c>
      <c r="AB24" s="125">
        <f>IF( AB$4 &lt;= 6, 0, AB$17 * ASSUMPTIONS!$L$11)</f>
        <v>28200</v>
      </c>
      <c r="AC24" s="125">
        <f>IF( AC$4 &lt;= 6, 0, AC$17 * ASSUMPTIONS!$L$11)</f>
        <v>56400</v>
      </c>
      <c r="AD24" s="125">
        <f>IF( AD$4 &lt;= 6, 0, AD$17 * ASSUMPTIONS!$L$11)</f>
        <v>56400</v>
      </c>
      <c r="AE24" s="125">
        <f>IF( AE$4 &lt;= 6, 0, AE$17 * ASSUMPTIONS!$L$11)</f>
        <v>56400</v>
      </c>
      <c r="AF24" s="125">
        <f>IF( AF$4 &lt;= 6, 0, AF$17 * ASSUMPTIONS!$L$11)</f>
        <v>56400</v>
      </c>
      <c r="AG24" s="125">
        <f>IF( AG$4 &lt;= 6, 0, AG$17 * ASSUMPTIONS!$L$11)</f>
        <v>56400</v>
      </c>
      <c r="AH24" s="125">
        <f>IF( AH$4 &lt;= 6, 0, AH$17 * ASSUMPTIONS!$L$11)</f>
        <v>56400</v>
      </c>
      <c r="AI24" s="125">
        <f>IF( AI$4 &lt;= 6, 0, AI$17 * ASSUMPTIONS!$L$11)</f>
        <v>56400</v>
      </c>
      <c r="AJ24" s="125">
        <f>IF( AJ$4 &lt;= 6, 0, AJ$17 * ASSUMPTIONS!$L$11)</f>
        <v>56400</v>
      </c>
      <c r="AK24" s="125">
        <f>IF( AK$4 &lt;= 6, 0, AK$17 * ASSUMPTIONS!$L$11)</f>
        <v>56400</v>
      </c>
      <c r="AL24" s="125">
        <f>IF( AL$4 &lt;= 6, 0, AL$17 * ASSUMPTIONS!$L$11)</f>
        <v>56400</v>
      </c>
      <c r="AM24" s="125">
        <f>IF( AM$4 &lt;= 6, 0, AM$17 * ASSUMPTIONS!$L$11)</f>
        <v>56400</v>
      </c>
      <c r="AN24" s="125">
        <f>IF( AN$4 &lt;= 6, 0, AN$17 * ASSUMPTIONS!$L$11)</f>
        <v>56400</v>
      </c>
      <c r="AO24" s="125">
        <f>IF( AO$4 &lt;= 6, 0, AO$17 * ASSUMPTIONS!$L$11)</f>
        <v>169200</v>
      </c>
      <c r="AP24" s="125">
        <f>IF( AP$4 &lt;= 6, 0, AP$17 * ASSUMPTIONS!$L$11)</f>
        <v>169200</v>
      </c>
      <c r="AQ24" s="125">
        <f>IF( AQ$4 &lt;= 6, 0, AQ$17 * ASSUMPTIONS!$L$11)</f>
        <v>169200</v>
      </c>
      <c r="AR24" s="125">
        <f>IF( AR$4 &lt;= 6, 0, AR$17 * ASSUMPTIONS!$L$11)</f>
        <v>169200</v>
      </c>
      <c r="AS24" s="125">
        <f>IF( AS$4 &lt;= 6, 0, AS$17 * ASSUMPTIONS!$L$11)</f>
        <v>169200</v>
      </c>
      <c r="AT24" s="125">
        <f>IF( AT$4 &lt;= 6, 0, AT$17 * ASSUMPTIONS!$L$11)</f>
        <v>169200</v>
      </c>
      <c r="AU24" s="125">
        <f>IF( AU$4 &lt;= 6, 0, AU$17 * ASSUMPTIONS!$L$11)</f>
        <v>169200</v>
      </c>
      <c r="AV24" s="125">
        <f>IF( AV$4 &lt;= 6, 0, AV$17 * ASSUMPTIONS!$L$11)</f>
        <v>169200</v>
      </c>
      <c r="AW24" s="125">
        <f>IF( AW$4 &lt;= 6, 0, AW$17 * ASSUMPTIONS!$L$11)</f>
        <v>169200</v>
      </c>
      <c r="AX24" s="125">
        <f>IF( AX$4 &lt;= 6, 0, AX$17 * ASSUMPTIONS!$L$11)</f>
        <v>169200</v>
      </c>
      <c r="AY24" s="125">
        <f>IF( AY$4 &lt;= 6, 0, AY$17 * ASSUMPTIONS!$L$11)</f>
        <v>169200</v>
      </c>
      <c r="AZ24" s="125">
        <f>IF( AZ$4 &lt;= 6, 0, AZ$17 * ASSUMPTIONS!$L$11)</f>
        <v>169200</v>
      </c>
      <c r="BA24" s="125">
        <f>IF( BA$4 &lt;= 6, 0, BA$17 * ASSUMPTIONS!$L$11)</f>
        <v>169200</v>
      </c>
      <c r="BB24" s="125">
        <f>IF( BB$4 &lt;= 6, 0, BB$17 * ASSUMPTIONS!$L$11)</f>
        <v>169200</v>
      </c>
      <c r="BC24" s="125">
        <f>IF( BC$4 &lt;= 6, 0, BC$17 * ASSUMPTIONS!$L$11)</f>
        <v>169200</v>
      </c>
      <c r="BD24" s="125">
        <f>IF( BD$4 &lt;= 6, 0, BD$17 * ASSUMPTIONS!$L$11)</f>
        <v>169200</v>
      </c>
      <c r="BE24" s="125">
        <f>IF( BE$4 &lt;= 6, 0, BE$17 * ASSUMPTIONS!$L$11)</f>
        <v>169200</v>
      </c>
      <c r="BF24" s="125">
        <f>IF( BF$4 &lt;= 6, 0, BF$17 * ASSUMPTIONS!$L$11)</f>
        <v>169200</v>
      </c>
      <c r="BG24" s="125">
        <f>IF( BG$4 &lt;= 6, 0, BG$17 * ASSUMPTIONS!$L$11)</f>
        <v>169200</v>
      </c>
      <c r="BH24" s="125">
        <f>IF( BH$4 &lt;= 6, 0, BH$17 * ASSUMPTIONS!$L$11)</f>
        <v>169200</v>
      </c>
      <c r="BI24" s="125">
        <f>IF( BI$4 &lt;= 6, 0, BI$17 * ASSUMPTIONS!$L$11)</f>
        <v>169200</v>
      </c>
      <c r="BJ24" s="125">
        <f>IF( BJ$4 &lt;= 6, 0, BJ$17 * ASSUMPTIONS!$L$11)</f>
        <v>169200</v>
      </c>
      <c r="BK24" s="125">
        <f>IF( BK$4 &lt;= 6, 0, BK$17 * ASSUMPTIONS!$L$11)</f>
        <v>169200</v>
      </c>
      <c r="BL24" s="125">
        <f>IF( BL$4 &lt;= 6, 0, BL$17 * ASSUMPTIONS!$L$11)</f>
        <v>169200</v>
      </c>
    </row>
    <row r="25" ht="15.75" customHeight="1">
      <c r="A25" s="64"/>
      <c r="B25" s="64"/>
      <c r="C25" s="64"/>
      <c r="D25" s="124" t="s">
        <v>46</v>
      </c>
      <c r="E25" s="125">
        <f>IF( E$4 &lt;= 6, 0, E$17 * ASSUMPTIONS!$L$11)</f>
        <v>0</v>
      </c>
      <c r="F25" s="125">
        <f>IF( F$4 &lt;= 6, 0, F$17 * ASSUMPTIONS!$L$11)</f>
        <v>0</v>
      </c>
      <c r="G25" s="125">
        <f>IF( G$4 &lt;= 6, 0, G$17 * ASSUMPTIONS!$L$11)</f>
        <v>0</v>
      </c>
      <c r="H25" s="125">
        <f>IF( H$4 &lt;= 6, 0, H$17 * ASSUMPTIONS!$L$11)</f>
        <v>0</v>
      </c>
      <c r="I25" s="125">
        <f>IF( I$4 &lt;= 6, 0, I$17 * ASSUMPTIONS!$L$11)</f>
        <v>0</v>
      </c>
      <c r="J25" s="125">
        <f>IF( J$4 &lt;= 6, 0, J$17 * ASSUMPTIONS!$L$11)</f>
        <v>0</v>
      </c>
      <c r="K25" s="125">
        <f>IF( K$4 &lt;= 6, 0, K$17 * ASSUMPTIONS!$L$11)</f>
        <v>28200</v>
      </c>
      <c r="L25" s="125">
        <f>IF( L$4 &lt;= 6, 0, L$17 * ASSUMPTIONS!$L$11)</f>
        <v>28200</v>
      </c>
      <c r="M25" s="125">
        <f>IF( M$4 &lt;= 6, 0, M$17 * ASSUMPTIONS!$L$11)</f>
        <v>28200</v>
      </c>
      <c r="N25" s="125">
        <f>IF( N$4 &lt;= 6, 0, N$17 * ASSUMPTIONS!$L$11)</f>
        <v>28200</v>
      </c>
      <c r="O25" s="125">
        <f>IF( O$4 &lt;= 6, 0, O$17 * ASSUMPTIONS!$L$11)</f>
        <v>28200</v>
      </c>
      <c r="P25" s="125">
        <f>IF( P$4 &lt;= 6, 0, P$17 * ASSUMPTIONS!$L$11)</f>
        <v>28200</v>
      </c>
      <c r="Q25" s="125">
        <f>IF( Q$4 &lt;= 6, 0, Q$17 * ASSUMPTIONS!$L$11)</f>
        <v>28200</v>
      </c>
      <c r="R25" s="125">
        <f>IF( R$4 &lt;= 6, 0, R$17 * ASSUMPTIONS!$L$11)</f>
        <v>28200</v>
      </c>
      <c r="S25" s="125">
        <f>IF( S$4 &lt;= 6, 0, S$17 * ASSUMPTIONS!$L$11)</f>
        <v>28200</v>
      </c>
      <c r="T25" s="125">
        <f>IF( T$4 &lt;= 6, 0, T$17 * ASSUMPTIONS!$L$11)</f>
        <v>28200</v>
      </c>
      <c r="U25" s="125">
        <f>IF( U$4 &lt;= 6, 0, U$17 * ASSUMPTIONS!$L$11)</f>
        <v>28200</v>
      </c>
      <c r="V25" s="125">
        <f>IF( V$4 &lt;= 6, 0, V$17 * ASSUMPTIONS!$L$11)</f>
        <v>28200</v>
      </c>
      <c r="W25" s="125">
        <f>IF( W$4 &lt;= 6, 0, W$17 * ASSUMPTIONS!$L$11)</f>
        <v>28200</v>
      </c>
      <c r="X25" s="125">
        <f>IF( X$4 &lt;= 6, 0, X$17 * ASSUMPTIONS!$L$11)</f>
        <v>28200</v>
      </c>
      <c r="Y25" s="125">
        <f>IF( Y$4 &lt;= 6, 0, Y$17 * ASSUMPTIONS!$L$11)</f>
        <v>28200</v>
      </c>
      <c r="Z25" s="125">
        <f>IF( Z$4 &lt;= 6, 0, Z$17 * ASSUMPTIONS!$L$11)</f>
        <v>28200</v>
      </c>
      <c r="AA25" s="125">
        <f>IF( AA$4 &lt;= 6, 0, AA$17 * ASSUMPTIONS!$L$11)</f>
        <v>28200</v>
      </c>
      <c r="AB25" s="125">
        <f>IF( AB$4 &lt;= 6, 0, AB$17 * ASSUMPTIONS!$L$11)</f>
        <v>28200</v>
      </c>
      <c r="AC25" s="125">
        <f>IF( AC$4 &lt;= 6, 0, AC$17 * ASSUMPTIONS!$L$11)</f>
        <v>56400</v>
      </c>
      <c r="AD25" s="125">
        <f>IF( AD$4 &lt;= 6, 0, AD$17 * ASSUMPTIONS!$L$11)</f>
        <v>56400</v>
      </c>
      <c r="AE25" s="125">
        <f>IF( AE$4 &lt;= 6, 0, AE$17 * ASSUMPTIONS!$L$11)</f>
        <v>56400</v>
      </c>
      <c r="AF25" s="125">
        <f>IF( AF$4 &lt;= 6, 0, AF$17 * ASSUMPTIONS!$L$11)</f>
        <v>56400</v>
      </c>
      <c r="AG25" s="125">
        <f>IF( AG$4 &lt;= 6, 0, AG$17 * ASSUMPTIONS!$L$11)</f>
        <v>56400</v>
      </c>
      <c r="AH25" s="125">
        <f>IF( AH$4 &lt;= 6, 0, AH$17 * ASSUMPTIONS!$L$11)</f>
        <v>56400</v>
      </c>
      <c r="AI25" s="125">
        <f>IF( AI$4 &lt;= 6, 0, AI$17 * ASSUMPTIONS!$L$11)</f>
        <v>56400</v>
      </c>
      <c r="AJ25" s="125">
        <f>IF( AJ$4 &lt;= 6, 0, AJ$17 * ASSUMPTIONS!$L$11)</f>
        <v>56400</v>
      </c>
      <c r="AK25" s="125">
        <f>IF( AK$4 &lt;= 6, 0, AK$17 * ASSUMPTIONS!$L$11)</f>
        <v>56400</v>
      </c>
      <c r="AL25" s="125">
        <f>IF( AL$4 &lt;= 6, 0, AL$17 * ASSUMPTIONS!$L$11)</f>
        <v>56400</v>
      </c>
      <c r="AM25" s="125">
        <f>IF( AM$4 &lt;= 6, 0, AM$17 * ASSUMPTIONS!$L$11)</f>
        <v>56400</v>
      </c>
      <c r="AN25" s="125">
        <f>IF( AN$4 &lt;= 6, 0, AN$17 * ASSUMPTIONS!$L$11)</f>
        <v>56400</v>
      </c>
      <c r="AO25" s="125">
        <f>IF( AO$4 &lt;= 6, 0, AO$17 * ASSUMPTIONS!$L$11)</f>
        <v>169200</v>
      </c>
      <c r="AP25" s="125">
        <f>IF( AP$4 &lt;= 6, 0, AP$17 * ASSUMPTIONS!$L$11)</f>
        <v>169200</v>
      </c>
      <c r="AQ25" s="125">
        <f>IF( AQ$4 &lt;= 6, 0, AQ$17 * ASSUMPTIONS!$L$11)</f>
        <v>169200</v>
      </c>
      <c r="AR25" s="125">
        <f>IF( AR$4 &lt;= 6, 0, AR$17 * ASSUMPTIONS!$L$11)</f>
        <v>169200</v>
      </c>
      <c r="AS25" s="125">
        <f>IF( AS$4 &lt;= 6, 0, AS$17 * ASSUMPTIONS!$L$11)</f>
        <v>169200</v>
      </c>
      <c r="AT25" s="125">
        <f>IF( AT$4 &lt;= 6, 0, AT$17 * ASSUMPTIONS!$L$11)</f>
        <v>169200</v>
      </c>
      <c r="AU25" s="125">
        <f>IF( AU$4 &lt;= 6, 0, AU$17 * ASSUMPTIONS!$L$11)</f>
        <v>169200</v>
      </c>
      <c r="AV25" s="125">
        <f>IF( AV$4 &lt;= 6, 0, AV$17 * ASSUMPTIONS!$L$11)</f>
        <v>169200</v>
      </c>
      <c r="AW25" s="125">
        <f>IF( AW$4 &lt;= 6, 0, AW$17 * ASSUMPTIONS!$L$11)</f>
        <v>169200</v>
      </c>
      <c r="AX25" s="125">
        <f>IF( AX$4 &lt;= 6, 0, AX$17 * ASSUMPTIONS!$L$11)</f>
        <v>169200</v>
      </c>
      <c r="AY25" s="125">
        <f>IF( AY$4 &lt;= 6, 0, AY$17 * ASSUMPTIONS!$L$11)</f>
        <v>169200</v>
      </c>
      <c r="AZ25" s="125">
        <f>IF( AZ$4 &lt;= 6, 0, AZ$17 * ASSUMPTIONS!$L$11)</f>
        <v>169200</v>
      </c>
      <c r="BA25" s="125">
        <f>IF( BA$4 &lt;= 6, 0, BA$17 * ASSUMPTIONS!$L$11)</f>
        <v>169200</v>
      </c>
      <c r="BB25" s="125">
        <f>IF( BB$4 &lt;= 6, 0, BB$17 * ASSUMPTIONS!$L$11)</f>
        <v>169200</v>
      </c>
      <c r="BC25" s="125">
        <f>IF( BC$4 &lt;= 6, 0, BC$17 * ASSUMPTIONS!$L$11)</f>
        <v>169200</v>
      </c>
      <c r="BD25" s="125">
        <f>IF( BD$4 &lt;= 6, 0, BD$17 * ASSUMPTIONS!$L$11)</f>
        <v>169200</v>
      </c>
      <c r="BE25" s="125">
        <f>IF( BE$4 &lt;= 6, 0, BE$17 * ASSUMPTIONS!$L$11)</f>
        <v>169200</v>
      </c>
      <c r="BF25" s="125">
        <f>IF( BF$4 &lt;= 6, 0, BF$17 * ASSUMPTIONS!$L$11)</f>
        <v>169200</v>
      </c>
      <c r="BG25" s="125">
        <f>IF( BG$4 &lt;= 6, 0, BG$17 * ASSUMPTIONS!$L$11)</f>
        <v>169200</v>
      </c>
      <c r="BH25" s="125">
        <f>IF( BH$4 &lt;= 6, 0, BH$17 * ASSUMPTIONS!$L$11)</f>
        <v>169200</v>
      </c>
      <c r="BI25" s="125">
        <f>IF( BI$4 &lt;= 6, 0, BI$17 * ASSUMPTIONS!$L$11)</f>
        <v>169200</v>
      </c>
      <c r="BJ25" s="125">
        <f>IF( BJ$4 &lt;= 6, 0, BJ$17 * ASSUMPTIONS!$L$11)</f>
        <v>169200</v>
      </c>
      <c r="BK25" s="125">
        <f>IF( BK$4 &lt;= 6, 0, BK$17 * ASSUMPTIONS!$L$11)</f>
        <v>169200</v>
      </c>
      <c r="BL25" s="125">
        <f>IF( BL$4 &lt;= 6, 0, BL$17 * ASSUMPTIONS!$L$11)</f>
        <v>169200</v>
      </c>
    </row>
    <row r="26" ht="15.75" customHeight="1">
      <c r="A26" s="64"/>
      <c r="B26" s="64"/>
      <c r="C26" s="64"/>
      <c r="D26" s="124" t="s">
        <v>28</v>
      </c>
      <c r="E26" s="125">
        <f>IF( E$4 &lt;= 6, 0, E$17 * ASSUMPTIONS!$L$13)</f>
        <v>0</v>
      </c>
      <c r="F26" s="125">
        <f>IF( F$4 &lt;= 6, 0, F$17 * ASSUMPTIONS!$L$13)</f>
        <v>0</v>
      </c>
      <c r="G26" s="125">
        <f>IF( G$4 &lt;= 6, 0, G$17 * ASSUMPTIONS!$L$13)</f>
        <v>0</v>
      </c>
      <c r="H26" s="125">
        <f>IF( H$4 &lt;= 6, 0, H$17 * ASSUMPTIONS!$L$13)</f>
        <v>0</v>
      </c>
      <c r="I26" s="125">
        <f>IF( I$4 &lt;= 6, 0, I$17 * ASSUMPTIONS!$L$13)</f>
        <v>0</v>
      </c>
      <c r="J26" s="125">
        <f>IF( J$4 &lt;= 6, 0, J$17 * ASSUMPTIONS!$L$13)</f>
        <v>0</v>
      </c>
      <c r="K26" s="125">
        <f>IF( K$4 &lt;= 6, 0, K$17 * ASSUMPTIONS!$L$13)</f>
        <v>28200</v>
      </c>
      <c r="L26" s="125">
        <f>IF( L$4 &lt;= 6, 0, L$17 * ASSUMPTIONS!$L$13)</f>
        <v>28200</v>
      </c>
      <c r="M26" s="125">
        <f>IF( M$4 &lt;= 6, 0, M$17 * ASSUMPTIONS!$L$13)</f>
        <v>28200</v>
      </c>
      <c r="N26" s="125">
        <f>IF( N$4 &lt;= 6, 0, N$17 * ASSUMPTIONS!$L$13)</f>
        <v>28200</v>
      </c>
      <c r="O26" s="125">
        <f>IF( O$4 &lt;= 6, 0, O$17 * ASSUMPTIONS!$L$13)</f>
        <v>28200</v>
      </c>
      <c r="P26" s="125">
        <f>IF( P$4 &lt;= 6, 0, P$17 * ASSUMPTIONS!$L$13)</f>
        <v>28200</v>
      </c>
      <c r="Q26" s="125">
        <f>IF( Q$4 &lt;= 6, 0, Q$17 * ASSUMPTIONS!$L$13)</f>
        <v>28200</v>
      </c>
      <c r="R26" s="125">
        <f>IF( R$4 &lt;= 6, 0, R$17 * ASSUMPTIONS!$L$13)</f>
        <v>28200</v>
      </c>
      <c r="S26" s="125">
        <f>IF( S$4 &lt;= 6, 0, S$17 * ASSUMPTIONS!$L$13)</f>
        <v>28200</v>
      </c>
      <c r="T26" s="125">
        <f>IF( T$4 &lt;= 6, 0, T$17 * ASSUMPTIONS!$L$13)</f>
        <v>28200</v>
      </c>
      <c r="U26" s="125">
        <f>IF( U$4 &lt;= 6, 0, U$17 * ASSUMPTIONS!$L$13)</f>
        <v>28200</v>
      </c>
      <c r="V26" s="125">
        <f>IF( V$4 &lt;= 6, 0, V$17 * ASSUMPTIONS!$L$13)</f>
        <v>28200</v>
      </c>
      <c r="W26" s="125">
        <f>IF( W$4 &lt;= 6, 0, W$17 * ASSUMPTIONS!$L$13)</f>
        <v>28200</v>
      </c>
      <c r="X26" s="125">
        <f>IF( X$4 &lt;= 6, 0, X$17 * ASSUMPTIONS!$L$13)</f>
        <v>28200</v>
      </c>
      <c r="Y26" s="125">
        <f>IF( Y$4 &lt;= 6, 0, Y$17 * ASSUMPTIONS!$L$13)</f>
        <v>28200</v>
      </c>
      <c r="Z26" s="125">
        <f>IF( Z$4 &lt;= 6, 0, Z$17 * ASSUMPTIONS!$L$13)</f>
        <v>28200</v>
      </c>
      <c r="AA26" s="125">
        <f>IF( AA$4 &lt;= 6, 0, AA$17 * ASSUMPTIONS!$L$13)</f>
        <v>28200</v>
      </c>
      <c r="AB26" s="125">
        <f>IF( AB$4 &lt;= 6, 0, AB$17 * ASSUMPTIONS!$L$13)</f>
        <v>28200</v>
      </c>
      <c r="AC26" s="125">
        <f>IF( AC$4 &lt;= 6, 0, AC$17 * ASSUMPTIONS!$L$13)</f>
        <v>56400</v>
      </c>
      <c r="AD26" s="125">
        <f>IF( AD$4 &lt;= 6, 0, AD$17 * ASSUMPTIONS!$L$13)</f>
        <v>56400</v>
      </c>
      <c r="AE26" s="125">
        <f>IF( AE$4 &lt;= 6, 0, AE$17 * ASSUMPTIONS!$L$13)</f>
        <v>56400</v>
      </c>
      <c r="AF26" s="125">
        <f>IF( AF$4 &lt;= 6, 0, AF$17 * ASSUMPTIONS!$L$13)</f>
        <v>56400</v>
      </c>
      <c r="AG26" s="125">
        <f>IF( AG$4 &lt;= 6, 0, AG$17 * ASSUMPTIONS!$L$13)</f>
        <v>56400</v>
      </c>
      <c r="AH26" s="125">
        <f>IF( AH$4 &lt;= 6, 0, AH$17 * ASSUMPTIONS!$L$13)</f>
        <v>56400</v>
      </c>
      <c r="AI26" s="125">
        <f>IF( AI$4 &lt;= 6, 0, AI$17 * ASSUMPTIONS!$L$13)</f>
        <v>56400</v>
      </c>
      <c r="AJ26" s="125">
        <f>IF( AJ$4 &lt;= 6, 0, AJ$17 * ASSUMPTIONS!$L$13)</f>
        <v>56400</v>
      </c>
      <c r="AK26" s="125">
        <f>IF( AK$4 &lt;= 6, 0, AK$17 * ASSUMPTIONS!$L$13)</f>
        <v>56400</v>
      </c>
      <c r="AL26" s="125">
        <f>IF( AL$4 &lt;= 6, 0, AL$17 * ASSUMPTIONS!$L$13)</f>
        <v>56400</v>
      </c>
      <c r="AM26" s="125">
        <f>IF( AM$4 &lt;= 6, 0, AM$17 * ASSUMPTIONS!$L$13)</f>
        <v>56400</v>
      </c>
      <c r="AN26" s="125">
        <f>IF( AN$4 &lt;= 6, 0, AN$17 * ASSUMPTIONS!$L$13)</f>
        <v>56400</v>
      </c>
      <c r="AO26" s="125">
        <f>IF( AO$4 &lt;= 6, 0, AO$17 * ASSUMPTIONS!$L$13)</f>
        <v>169200</v>
      </c>
      <c r="AP26" s="125">
        <f>IF( AP$4 &lt;= 6, 0, AP$17 * ASSUMPTIONS!$L$13)</f>
        <v>169200</v>
      </c>
      <c r="AQ26" s="125">
        <f>IF( AQ$4 &lt;= 6, 0, AQ$17 * ASSUMPTIONS!$L$13)</f>
        <v>169200</v>
      </c>
      <c r="AR26" s="125">
        <f>IF( AR$4 &lt;= 6, 0, AR$17 * ASSUMPTIONS!$L$13)</f>
        <v>169200</v>
      </c>
      <c r="AS26" s="125">
        <f>IF( AS$4 &lt;= 6, 0, AS$17 * ASSUMPTIONS!$L$13)</f>
        <v>169200</v>
      </c>
      <c r="AT26" s="125">
        <f>IF( AT$4 &lt;= 6, 0, AT$17 * ASSUMPTIONS!$L$13)</f>
        <v>169200</v>
      </c>
      <c r="AU26" s="125">
        <f>IF( AU$4 &lt;= 6, 0, AU$17 * ASSUMPTIONS!$L$13)</f>
        <v>169200</v>
      </c>
      <c r="AV26" s="125">
        <f>IF( AV$4 &lt;= 6, 0, AV$17 * ASSUMPTIONS!$L$13)</f>
        <v>169200</v>
      </c>
      <c r="AW26" s="125">
        <f>IF( AW$4 &lt;= 6, 0, AW$17 * ASSUMPTIONS!$L$13)</f>
        <v>169200</v>
      </c>
      <c r="AX26" s="125">
        <f>IF( AX$4 &lt;= 6, 0, AX$17 * ASSUMPTIONS!$L$13)</f>
        <v>169200</v>
      </c>
      <c r="AY26" s="125">
        <f>IF( AY$4 &lt;= 6, 0, AY$17 * ASSUMPTIONS!$L$13)</f>
        <v>169200</v>
      </c>
      <c r="AZ26" s="125">
        <f>IF( AZ$4 &lt;= 6, 0, AZ$17 * ASSUMPTIONS!$L$13)</f>
        <v>169200</v>
      </c>
      <c r="BA26" s="125">
        <f>IF( BA$4 &lt;= 6, 0, BA$17 * ASSUMPTIONS!$L$13)</f>
        <v>169200</v>
      </c>
      <c r="BB26" s="125">
        <f>IF( BB$4 &lt;= 6, 0, BB$17 * ASSUMPTIONS!$L$13)</f>
        <v>169200</v>
      </c>
      <c r="BC26" s="125">
        <f>IF( BC$4 &lt;= 6, 0, BC$17 * ASSUMPTIONS!$L$13)</f>
        <v>169200</v>
      </c>
      <c r="BD26" s="125">
        <f>IF( BD$4 &lt;= 6, 0, BD$17 * ASSUMPTIONS!$L$13)</f>
        <v>169200</v>
      </c>
      <c r="BE26" s="125">
        <f>IF( BE$4 &lt;= 6, 0, BE$17 * ASSUMPTIONS!$L$13)</f>
        <v>169200</v>
      </c>
      <c r="BF26" s="125">
        <f>IF( BF$4 &lt;= 6, 0, BF$17 * ASSUMPTIONS!$L$13)</f>
        <v>169200</v>
      </c>
      <c r="BG26" s="125">
        <f>IF( BG$4 &lt;= 6, 0, BG$17 * ASSUMPTIONS!$L$13)</f>
        <v>169200</v>
      </c>
      <c r="BH26" s="125">
        <f>IF( BH$4 &lt;= 6, 0, BH$17 * ASSUMPTIONS!$L$13)</f>
        <v>169200</v>
      </c>
      <c r="BI26" s="125">
        <f>IF( BI$4 &lt;= 6, 0, BI$17 * ASSUMPTIONS!$L$13)</f>
        <v>169200</v>
      </c>
      <c r="BJ26" s="125">
        <f>IF( BJ$4 &lt;= 6, 0, BJ$17 * ASSUMPTIONS!$L$13)</f>
        <v>169200</v>
      </c>
      <c r="BK26" s="125">
        <f>IF( BK$4 &lt;= 6, 0, BK$17 * ASSUMPTIONS!$L$13)</f>
        <v>169200</v>
      </c>
      <c r="BL26" s="125">
        <f>IF( BL$4 &lt;= 6, 0, BL$17 * ASSUMPTIONS!$L$13)</f>
        <v>169200</v>
      </c>
    </row>
    <row r="27" ht="15.75" customHeight="1">
      <c r="A27" s="64"/>
      <c r="B27" s="64"/>
      <c r="C27" s="64"/>
      <c r="D27" s="124" t="s">
        <v>30</v>
      </c>
      <c r="E27" s="125">
        <f>IF( E$4 &lt;= 6, 0, E$17 * ASSUMPTIONS!$L$14)</f>
        <v>0</v>
      </c>
      <c r="F27" s="125">
        <f>IF( F$4 &lt;= 6, 0, F$17 * ASSUMPTIONS!$L$14)</f>
        <v>0</v>
      </c>
      <c r="G27" s="125">
        <f>IF( G$4 &lt;= 6, 0, G$17 * ASSUMPTIONS!$L$14)</f>
        <v>0</v>
      </c>
      <c r="H27" s="125">
        <f>IF( H$4 &lt;= 6, 0, H$17 * ASSUMPTIONS!$L$14)</f>
        <v>0</v>
      </c>
      <c r="I27" s="125">
        <f>IF( I$4 &lt;= 6, 0, I$17 * ASSUMPTIONS!$L$14)</f>
        <v>0</v>
      </c>
      <c r="J27" s="125">
        <f>IF( J$4 &lt;= 6, 0, J$17 * ASSUMPTIONS!$L$14)</f>
        <v>0</v>
      </c>
      <c r="K27" s="125">
        <f>IF( K$4 &lt;= 6, 0, K$17 * ASSUMPTIONS!$L$14)</f>
        <v>28200</v>
      </c>
      <c r="L27" s="125">
        <f>IF( L$4 &lt;= 6, 0, L$17 * ASSUMPTIONS!$L$14)</f>
        <v>28200</v>
      </c>
      <c r="M27" s="125">
        <f>IF( M$4 &lt;= 6, 0, M$17 * ASSUMPTIONS!$L$14)</f>
        <v>28200</v>
      </c>
      <c r="N27" s="125">
        <f>IF( N$4 &lt;= 6, 0, N$17 * ASSUMPTIONS!$L$14)</f>
        <v>28200</v>
      </c>
      <c r="O27" s="125">
        <f>IF( O$4 &lt;= 6, 0, O$17 * ASSUMPTIONS!$L$14)</f>
        <v>28200</v>
      </c>
      <c r="P27" s="125">
        <f>IF( P$4 &lt;= 6, 0, P$17 * ASSUMPTIONS!$L$14)</f>
        <v>28200</v>
      </c>
      <c r="Q27" s="125">
        <f>IF( Q$4 &lt;= 6, 0, Q$17 * ASSUMPTIONS!$L$14)</f>
        <v>28200</v>
      </c>
      <c r="R27" s="125">
        <f>IF( R$4 &lt;= 6, 0, R$17 * ASSUMPTIONS!$L$14)</f>
        <v>28200</v>
      </c>
      <c r="S27" s="125">
        <f>IF( S$4 &lt;= 6, 0, S$17 * ASSUMPTIONS!$L$14)</f>
        <v>28200</v>
      </c>
      <c r="T27" s="125">
        <f>IF( T$4 &lt;= 6, 0, T$17 * ASSUMPTIONS!$L$14)</f>
        <v>28200</v>
      </c>
      <c r="U27" s="125">
        <f>IF( U$4 &lt;= 6, 0, U$17 * ASSUMPTIONS!$L$14)</f>
        <v>28200</v>
      </c>
      <c r="V27" s="125">
        <f>IF( V$4 &lt;= 6, 0, V$17 * ASSUMPTIONS!$L$14)</f>
        <v>28200</v>
      </c>
      <c r="W27" s="125">
        <f>IF( W$4 &lt;= 6, 0, W$17 * ASSUMPTIONS!$L$14)</f>
        <v>28200</v>
      </c>
      <c r="X27" s="125">
        <f>IF( X$4 &lt;= 6, 0, X$17 * ASSUMPTIONS!$L$14)</f>
        <v>28200</v>
      </c>
      <c r="Y27" s="125">
        <f>IF( Y$4 &lt;= 6, 0, Y$17 * ASSUMPTIONS!$L$14)</f>
        <v>28200</v>
      </c>
      <c r="Z27" s="125">
        <f>IF( Z$4 &lt;= 6, 0, Z$17 * ASSUMPTIONS!$L$14)</f>
        <v>28200</v>
      </c>
      <c r="AA27" s="125">
        <f>IF( AA$4 &lt;= 6, 0, AA$17 * ASSUMPTIONS!$L$14)</f>
        <v>28200</v>
      </c>
      <c r="AB27" s="125">
        <f>IF( AB$4 &lt;= 6, 0, AB$17 * ASSUMPTIONS!$L$14)</f>
        <v>28200</v>
      </c>
      <c r="AC27" s="125">
        <f>IF( AC$4 &lt;= 6, 0, AC$17 * ASSUMPTIONS!$L$14)</f>
        <v>56400</v>
      </c>
      <c r="AD27" s="125">
        <f>IF( AD$4 &lt;= 6, 0, AD$17 * ASSUMPTIONS!$L$14)</f>
        <v>56400</v>
      </c>
      <c r="AE27" s="125">
        <f>IF( AE$4 &lt;= 6, 0, AE$17 * ASSUMPTIONS!$L$14)</f>
        <v>56400</v>
      </c>
      <c r="AF27" s="125">
        <f>IF( AF$4 &lt;= 6, 0, AF$17 * ASSUMPTIONS!$L$14)</f>
        <v>56400</v>
      </c>
      <c r="AG27" s="125">
        <f>IF( AG$4 &lt;= 6, 0, AG$17 * ASSUMPTIONS!$L$14)</f>
        <v>56400</v>
      </c>
      <c r="AH27" s="125">
        <f>IF( AH$4 &lt;= 6, 0, AH$17 * ASSUMPTIONS!$L$14)</f>
        <v>56400</v>
      </c>
      <c r="AI27" s="125">
        <f>IF( AI$4 &lt;= 6, 0, AI$17 * ASSUMPTIONS!$L$14)</f>
        <v>56400</v>
      </c>
      <c r="AJ27" s="125">
        <f>IF( AJ$4 &lt;= 6, 0, AJ$17 * ASSUMPTIONS!$L$14)</f>
        <v>56400</v>
      </c>
      <c r="AK27" s="125">
        <f>IF( AK$4 &lt;= 6, 0, AK$17 * ASSUMPTIONS!$L$14)</f>
        <v>56400</v>
      </c>
      <c r="AL27" s="125">
        <f>IF( AL$4 &lt;= 6, 0, AL$17 * ASSUMPTIONS!$L$14)</f>
        <v>56400</v>
      </c>
      <c r="AM27" s="125">
        <f>IF( AM$4 &lt;= 6, 0, AM$17 * ASSUMPTIONS!$L$14)</f>
        <v>56400</v>
      </c>
      <c r="AN27" s="125">
        <f>IF( AN$4 &lt;= 6, 0, AN$17 * ASSUMPTIONS!$L$14)</f>
        <v>56400</v>
      </c>
      <c r="AO27" s="125">
        <f>IF( AO$4 &lt;= 6, 0, AO$17 * ASSUMPTIONS!$L$14)</f>
        <v>169200</v>
      </c>
      <c r="AP27" s="125">
        <f>IF( AP$4 &lt;= 6, 0, AP$17 * ASSUMPTIONS!$L$14)</f>
        <v>169200</v>
      </c>
      <c r="AQ27" s="125">
        <f>IF( AQ$4 &lt;= 6, 0, AQ$17 * ASSUMPTIONS!$L$14)</f>
        <v>169200</v>
      </c>
      <c r="AR27" s="125">
        <f>IF( AR$4 &lt;= 6, 0, AR$17 * ASSUMPTIONS!$L$14)</f>
        <v>169200</v>
      </c>
      <c r="AS27" s="125">
        <f>IF( AS$4 &lt;= 6, 0, AS$17 * ASSUMPTIONS!$L$14)</f>
        <v>169200</v>
      </c>
      <c r="AT27" s="125">
        <f>IF( AT$4 &lt;= 6, 0, AT$17 * ASSUMPTIONS!$L$14)</f>
        <v>169200</v>
      </c>
      <c r="AU27" s="125">
        <f>IF( AU$4 &lt;= 6, 0, AU$17 * ASSUMPTIONS!$L$14)</f>
        <v>169200</v>
      </c>
      <c r="AV27" s="125">
        <f>IF( AV$4 &lt;= 6, 0, AV$17 * ASSUMPTIONS!$L$14)</f>
        <v>169200</v>
      </c>
      <c r="AW27" s="125">
        <f>IF( AW$4 &lt;= 6, 0, AW$17 * ASSUMPTIONS!$L$14)</f>
        <v>169200</v>
      </c>
      <c r="AX27" s="125">
        <f>IF( AX$4 &lt;= 6, 0, AX$17 * ASSUMPTIONS!$L$14)</f>
        <v>169200</v>
      </c>
      <c r="AY27" s="125">
        <f>IF( AY$4 &lt;= 6, 0, AY$17 * ASSUMPTIONS!$L$14)</f>
        <v>169200</v>
      </c>
      <c r="AZ27" s="125">
        <f>IF( AZ$4 &lt;= 6, 0, AZ$17 * ASSUMPTIONS!$L$14)</f>
        <v>169200</v>
      </c>
      <c r="BA27" s="125">
        <f>IF( BA$4 &lt;= 6, 0, BA$17 * ASSUMPTIONS!$L$14)</f>
        <v>169200</v>
      </c>
      <c r="BB27" s="125">
        <f>IF( BB$4 &lt;= 6, 0, BB$17 * ASSUMPTIONS!$L$14)</f>
        <v>169200</v>
      </c>
      <c r="BC27" s="125">
        <f>IF( BC$4 &lt;= 6, 0, BC$17 * ASSUMPTIONS!$L$14)</f>
        <v>169200</v>
      </c>
      <c r="BD27" s="125">
        <f>IF( BD$4 &lt;= 6, 0, BD$17 * ASSUMPTIONS!$L$14)</f>
        <v>169200</v>
      </c>
      <c r="BE27" s="125">
        <f>IF( BE$4 &lt;= 6, 0, BE$17 * ASSUMPTIONS!$L$14)</f>
        <v>169200</v>
      </c>
      <c r="BF27" s="125">
        <f>IF( BF$4 &lt;= 6, 0, BF$17 * ASSUMPTIONS!$L$14)</f>
        <v>169200</v>
      </c>
      <c r="BG27" s="125">
        <f>IF( BG$4 &lt;= 6, 0, BG$17 * ASSUMPTIONS!$L$14)</f>
        <v>169200</v>
      </c>
      <c r="BH27" s="125">
        <f>IF( BH$4 &lt;= 6, 0, BH$17 * ASSUMPTIONS!$L$14)</f>
        <v>169200</v>
      </c>
      <c r="BI27" s="125">
        <f>IF( BI$4 &lt;= 6, 0, BI$17 * ASSUMPTIONS!$L$14)</f>
        <v>169200</v>
      </c>
      <c r="BJ27" s="125">
        <f>IF( BJ$4 &lt;= 6, 0, BJ$17 * ASSUMPTIONS!$L$14)</f>
        <v>169200</v>
      </c>
      <c r="BK27" s="125">
        <f>IF( BK$4 &lt;= 6, 0, BK$17 * ASSUMPTIONS!$L$14)</f>
        <v>169200</v>
      </c>
      <c r="BL27" s="125">
        <f>IF( BL$4 &lt;= 6, 0, BL$17 * ASSUMPTIONS!$L$14)</f>
        <v>169200</v>
      </c>
    </row>
    <row r="28" ht="15.75" customHeight="1">
      <c r="A28" s="64"/>
      <c r="B28" s="64"/>
      <c r="C28" s="64"/>
      <c r="D28" s="123" t="s">
        <v>142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5"/>
    </row>
    <row r="29" ht="15.75" customHeight="1">
      <c r="A29" s="64"/>
      <c r="B29" s="64"/>
      <c r="C29" s="64"/>
      <c r="D29" s="124" t="s">
        <v>140</v>
      </c>
      <c r="E29" s="125">
        <f>E19 * ASSUMPTIONS!$K$17</f>
        <v>0</v>
      </c>
      <c r="F29" s="125">
        <f>F19 * ASSUMPTIONS!$K$17</f>
        <v>0</v>
      </c>
      <c r="G29" s="125">
        <f>G19 * ASSUMPTIONS!$K$17</f>
        <v>0</v>
      </c>
      <c r="H29" s="125">
        <f>H19 * ASSUMPTIONS!$K$17</f>
        <v>0</v>
      </c>
      <c r="I29" s="125">
        <f>I19 * ASSUMPTIONS!$K$17</f>
        <v>47520</v>
      </c>
      <c r="J29" s="125">
        <f>J19 * ASSUMPTIONS!$K$17</f>
        <v>95040</v>
      </c>
      <c r="K29" s="125">
        <f>K19 * ASSUMPTIONS!$K$17</f>
        <v>142560</v>
      </c>
      <c r="L29" s="125">
        <f>L19 * ASSUMPTIONS!$K$17</f>
        <v>190080</v>
      </c>
      <c r="M29" s="125">
        <f>M19 * ASSUMPTIONS!$K$17</f>
        <v>237600</v>
      </c>
      <c r="N29" s="125">
        <f>N19 * ASSUMPTIONS!$K$17</f>
        <v>285120</v>
      </c>
      <c r="O29" s="125">
        <f>O19 * ASSUMPTIONS!$K$17</f>
        <v>332640</v>
      </c>
      <c r="P29" s="125">
        <f>P19 * ASSUMPTIONS!$K$17</f>
        <v>380160</v>
      </c>
      <c r="Q29" s="125">
        <f>Q19 * ASSUMPTIONS!$K$17</f>
        <v>427680</v>
      </c>
      <c r="R29" s="125">
        <f>R19 * ASSUMPTIONS!$K$17</f>
        <v>475200</v>
      </c>
      <c r="S29" s="125">
        <f>S19 * ASSUMPTIONS!$K$17</f>
        <v>522720</v>
      </c>
      <c r="T29" s="125">
        <f>T19 * ASSUMPTIONS!$K$17</f>
        <v>570240</v>
      </c>
      <c r="U29" s="125">
        <f>U19 * ASSUMPTIONS!$K$17</f>
        <v>617760</v>
      </c>
      <c r="V29" s="125">
        <f>V19 * ASSUMPTIONS!$K$17</f>
        <v>665280</v>
      </c>
      <c r="W29" s="125">
        <f>W19 * ASSUMPTIONS!$K$17</f>
        <v>712800</v>
      </c>
      <c r="X29" s="125">
        <f>X19 * ASSUMPTIONS!$K$17</f>
        <v>760320</v>
      </c>
      <c r="Y29" s="125">
        <f>Y19 * ASSUMPTIONS!$K$17</f>
        <v>807840</v>
      </c>
      <c r="Z29" s="125">
        <f>Z19 * ASSUMPTIONS!$K$17</f>
        <v>855360</v>
      </c>
      <c r="AA29" s="125">
        <f>AA19 * ASSUMPTIONS!$K$17</f>
        <v>902880</v>
      </c>
      <c r="AB29" s="125">
        <f>AB19 * ASSUMPTIONS!$K$17</f>
        <v>950400</v>
      </c>
      <c r="AC29" s="125">
        <f>AC19 * ASSUMPTIONS!$K$17</f>
        <v>997920</v>
      </c>
      <c r="AD29" s="125">
        <f>AD19 * ASSUMPTIONS!$K$17</f>
        <v>1045440</v>
      </c>
      <c r="AE29" s="125">
        <f>AE19 * ASSUMPTIONS!$K$17</f>
        <v>1092960</v>
      </c>
      <c r="AF29" s="125">
        <f>AF19 * ASSUMPTIONS!$K$17</f>
        <v>1140480</v>
      </c>
      <c r="AG29" s="125">
        <f>AG19 * ASSUMPTIONS!$K$17</f>
        <v>1188000</v>
      </c>
      <c r="AH29" s="125">
        <f>AH19 * ASSUMPTIONS!$K$17</f>
        <v>1235520</v>
      </c>
      <c r="AI29" s="125">
        <f>AI19 * ASSUMPTIONS!$K$17</f>
        <v>1283040</v>
      </c>
      <c r="AJ29" s="125">
        <f>AJ19 * ASSUMPTIONS!$K$17</f>
        <v>1330560</v>
      </c>
      <c r="AK29" s="125">
        <f>AK19 * ASSUMPTIONS!$K$17</f>
        <v>1378080</v>
      </c>
      <c r="AL29" s="125">
        <f>AL19 * ASSUMPTIONS!$K$17</f>
        <v>1425600</v>
      </c>
      <c r="AM29" s="125">
        <f>AM19 * ASSUMPTIONS!$K$17</f>
        <v>1473120</v>
      </c>
      <c r="AN29" s="125">
        <f>AN19 * ASSUMPTIONS!$K$17</f>
        <v>1520640</v>
      </c>
      <c r="AO29" s="125">
        <f>AO19 * ASSUMPTIONS!$K$17</f>
        <v>1663200</v>
      </c>
      <c r="AP29" s="125">
        <f>AP19 * ASSUMPTIONS!$K$17</f>
        <v>1805760</v>
      </c>
      <c r="AQ29" s="125">
        <f>AQ19 * ASSUMPTIONS!$K$17</f>
        <v>1948320</v>
      </c>
      <c r="AR29" s="125">
        <f>AR19 * ASSUMPTIONS!$K$17</f>
        <v>2090880</v>
      </c>
      <c r="AS29" s="125">
        <f>AS19 * ASSUMPTIONS!$K$17</f>
        <v>2233440</v>
      </c>
      <c r="AT29" s="125">
        <f>AT19 * ASSUMPTIONS!$K$17</f>
        <v>2376000</v>
      </c>
      <c r="AU29" s="125">
        <f>AU19 * ASSUMPTIONS!$K$17</f>
        <v>2518560</v>
      </c>
      <c r="AV29" s="125">
        <f>AV19 * ASSUMPTIONS!$K$17</f>
        <v>2661120</v>
      </c>
      <c r="AW29" s="125">
        <f>AW19 * ASSUMPTIONS!$K$17</f>
        <v>2661120</v>
      </c>
      <c r="AX29" s="125">
        <f>AX19 * ASSUMPTIONS!$K$17</f>
        <v>2661120</v>
      </c>
      <c r="AY29" s="125">
        <f>AY19 * ASSUMPTIONS!$K$17</f>
        <v>2661120</v>
      </c>
      <c r="AZ29" s="125">
        <f>AZ19 * ASSUMPTIONS!$K$17</f>
        <v>2661120</v>
      </c>
      <c r="BA29" s="125">
        <f>BA19 * ASSUMPTIONS!$K$17</f>
        <v>2661120</v>
      </c>
      <c r="BB29" s="125">
        <f>BB19 * ASSUMPTIONS!$K$17</f>
        <v>2661120</v>
      </c>
      <c r="BC29" s="125">
        <f>BC19 * ASSUMPTIONS!$K$17</f>
        <v>2661120</v>
      </c>
      <c r="BD29" s="125">
        <f>BD19 * ASSUMPTIONS!$K$17</f>
        <v>2661120</v>
      </c>
      <c r="BE29" s="125">
        <f>BE19 * ASSUMPTIONS!$K$17</f>
        <v>2661120</v>
      </c>
      <c r="BF29" s="125">
        <f>BF19 * ASSUMPTIONS!$K$17</f>
        <v>2661120</v>
      </c>
      <c r="BG29" s="125">
        <f>BG19 * ASSUMPTIONS!$K$17</f>
        <v>2661120</v>
      </c>
      <c r="BH29" s="125">
        <f>BH19 * ASSUMPTIONS!$K$17</f>
        <v>2661120</v>
      </c>
      <c r="BI29" s="125">
        <f>BI19 * ASSUMPTIONS!$K$17</f>
        <v>2661120</v>
      </c>
      <c r="BJ29" s="125">
        <f>BJ19 * ASSUMPTIONS!$K$17</f>
        <v>2661120</v>
      </c>
      <c r="BK29" s="125">
        <f>BK19 * ASSUMPTIONS!$K$17</f>
        <v>2661120</v>
      </c>
      <c r="BL29" s="126">
        <f>BL19 * ASSUMPTIONS!$K$17</f>
        <v>2661120</v>
      </c>
    </row>
    <row r="30" ht="15.75" customHeight="1">
      <c r="A30" s="64"/>
      <c r="B30" s="64"/>
      <c r="C30" s="64"/>
      <c r="D30" s="124" t="s">
        <v>19</v>
      </c>
      <c r="E30" s="125">
        <f>E20 * ASSUMPTIONS!$K$19</f>
        <v>0</v>
      </c>
      <c r="F30" s="125">
        <f>F20 * ASSUMPTIONS!$K$19</f>
        <v>0</v>
      </c>
      <c r="G30" s="125">
        <f>G20 * ASSUMPTIONS!$K$19</f>
        <v>0</v>
      </c>
      <c r="H30" s="125">
        <f>H20 * ASSUMPTIONS!$K$19</f>
        <v>0</v>
      </c>
      <c r="I30" s="125">
        <f>I20 * ASSUMPTIONS!$K$19</f>
        <v>0</v>
      </c>
      <c r="J30" s="125">
        <f>J20 * ASSUMPTIONS!$K$19</f>
        <v>0</v>
      </c>
      <c r="K30" s="125">
        <f>K20 * ASSUMPTIONS!$K$19</f>
        <v>13536</v>
      </c>
      <c r="L30" s="125">
        <f>L20 * ASSUMPTIONS!$K$19</f>
        <v>13536</v>
      </c>
      <c r="M30" s="125">
        <f>M20 * ASSUMPTIONS!$K$19</f>
        <v>13536</v>
      </c>
      <c r="N30" s="125">
        <f>N20 * ASSUMPTIONS!$K$19</f>
        <v>13536</v>
      </c>
      <c r="O30" s="125">
        <f>O20 * ASSUMPTIONS!$K$19</f>
        <v>13536</v>
      </c>
      <c r="P30" s="125">
        <f>P20 * ASSUMPTIONS!$K$19</f>
        <v>13536</v>
      </c>
      <c r="Q30" s="125">
        <f>Q20 * ASSUMPTIONS!$K$19</f>
        <v>13536</v>
      </c>
      <c r="R30" s="125">
        <f>R20 * ASSUMPTIONS!$K$19</f>
        <v>13536</v>
      </c>
      <c r="S30" s="125">
        <f>S20 * ASSUMPTIONS!$K$19</f>
        <v>13536</v>
      </c>
      <c r="T30" s="125">
        <f>T20 * ASSUMPTIONS!$K$19</f>
        <v>13536</v>
      </c>
      <c r="U30" s="125">
        <f>U20 * ASSUMPTIONS!$K$19</f>
        <v>13536</v>
      </c>
      <c r="V30" s="125">
        <f>V20 * ASSUMPTIONS!$K$19</f>
        <v>13536</v>
      </c>
      <c r="W30" s="125">
        <f>W20 * ASSUMPTIONS!$K$19</f>
        <v>13536</v>
      </c>
      <c r="X30" s="125">
        <f>X20 * ASSUMPTIONS!$K$19</f>
        <v>13536</v>
      </c>
      <c r="Y30" s="125">
        <f>Y20 * ASSUMPTIONS!$K$19</f>
        <v>13536</v>
      </c>
      <c r="Z30" s="125">
        <f>Z20 * ASSUMPTIONS!$K$19</f>
        <v>13536</v>
      </c>
      <c r="AA30" s="125">
        <f>AA20 * ASSUMPTIONS!$K$19</f>
        <v>13536</v>
      </c>
      <c r="AB30" s="125">
        <f>AB20 * ASSUMPTIONS!$K$19</f>
        <v>13536</v>
      </c>
      <c r="AC30" s="125">
        <f>AC20 * ASSUMPTIONS!$K$19</f>
        <v>27072</v>
      </c>
      <c r="AD30" s="125">
        <f>AD20 * ASSUMPTIONS!$K$19</f>
        <v>27072</v>
      </c>
      <c r="AE30" s="125">
        <f>AE20 * ASSUMPTIONS!$K$19</f>
        <v>27072</v>
      </c>
      <c r="AF30" s="125">
        <f>AF20 * ASSUMPTIONS!$K$19</f>
        <v>27072</v>
      </c>
      <c r="AG30" s="125">
        <f>AG20 * ASSUMPTIONS!$K$19</f>
        <v>27072</v>
      </c>
      <c r="AH30" s="125">
        <f>AH20 * ASSUMPTIONS!$K$19</f>
        <v>27072</v>
      </c>
      <c r="AI30" s="125">
        <f>AI20 * ASSUMPTIONS!$K$19</f>
        <v>27072</v>
      </c>
      <c r="AJ30" s="125">
        <f>AJ20 * ASSUMPTIONS!$K$19</f>
        <v>27072</v>
      </c>
      <c r="AK30" s="125">
        <f>AK20 * ASSUMPTIONS!$K$19</f>
        <v>27072</v>
      </c>
      <c r="AL30" s="125">
        <f>AL20 * ASSUMPTIONS!$K$19</f>
        <v>27072</v>
      </c>
      <c r="AM30" s="125">
        <f>AM20 * ASSUMPTIONS!$K$19</f>
        <v>27072</v>
      </c>
      <c r="AN30" s="125">
        <f>AN20 * ASSUMPTIONS!$K$19</f>
        <v>27072</v>
      </c>
      <c r="AO30" s="125">
        <f>AO20 * ASSUMPTIONS!$K$19</f>
        <v>81216</v>
      </c>
      <c r="AP30" s="125">
        <f>AP20 * ASSUMPTIONS!$K$19</f>
        <v>81216</v>
      </c>
      <c r="AQ30" s="125">
        <f>AQ20 * ASSUMPTIONS!$K$19</f>
        <v>81216</v>
      </c>
      <c r="AR30" s="125">
        <f>AR20 * ASSUMPTIONS!$K$19</f>
        <v>81216</v>
      </c>
      <c r="AS30" s="125">
        <f>AS20 * ASSUMPTIONS!$K$19</f>
        <v>81216</v>
      </c>
      <c r="AT30" s="125">
        <f>AT20 * ASSUMPTIONS!$K$19</f>
        <v>81216</v>
      </c>
      <c r="AU30" s="125">
        <f>AU20 * ASSUMPTIONS!$K$19</f>
        <v>81216</v>
      </c>
      <c r="AV30" s="125">
        <f>AV20 * ASSUMPTIONS!$K$19</f>
        <v>81216</v>
      </c>
      <c r="AW30" s="125">
        <f>AW20 * ASSUMPTIONS!$K$19</f>
        <v>81216</v>
      </c>
      <c r="AX30" s="125">
        <f>AX20 * ASSUMPTIONS!$K$19</f>
        <v>81216</v>
      </c>
      <c r="AY30" s="125">
        <f>AY20 * ASSUMPTIONS!$K$19</f>
        <v>81216</v>
      </c>
      <c r="AZ30" s="125">
        <f>AZ20 * ASSUMPTIONS!$K$19</f>
        <v>81216</v>
      </c>
      <c r="BA30" s="125">
        <f>BA20 * ASSUMPTIONS!$K$19</f>
        <v>81216</v>
      </c>
      <c r="BB30" s="125">
        <f>BB20 * ASSUMPTIONS!$K$19</f>
        <v>81216</v>
      </c>
      <c r="BC30" s="125">
        <f>BC20 * ASSUMPTIONS!$K$19</f>
        <v>81216</v>
      </c>
      <c r="BD30" s="125">
        <f>BD20 * ASSUMPTIONS!$K$19</f>
        <v>81216</v>
      </c>
      <c r="BE30" s="125">
        <f>BE20 * ASSUMPTIONS!$K$19</f>
        <v>81216</v>
      </c>
      <c r="BF30" s="125">
        <f>BF20 * ASSUMPTIONS!$K$19</f>
        <v>81216</v>
      </c>
      <c r="BG30" s="125">
        <f>BG20 * ASSUMPTIONS!$K$19</f>
        <v>81216</v>
      </c>
      <c r="BH30" s="125">
        <f>BH20 * ASSUMPTIONS!$K$19</f>
        <v>81216</v>
      </c>
      <c r="BI30" s="125">
        <f>BI20 * ASSUMPTIONS!$K$19</f>
        <v>81216</v>
      </c>
      <c r="BJ30" s="125">
        <f>BJ20 * ASSUMPTIONS!$K$19</f>
        <v>81216</v>
      </c>
      <c r="BK30" s="125">
        <f>BK20 * ASSUMPTIONS!$K$19</f>
        <v>81216</v>
      </c>
      <c r="BL30" s="126">
        <f>BL20 * ASSUMPTIONS!$K$19</f>
        <v>81216</v>
      </c>
    </row>
    <row r="31" ht="15.75" customHeight="1">
      <c r="A31" s="64"/>
      <c r="B31" s="64"/>
      <c r="C31" s="64"/>
      <c r="D31" s="124" t="s">
        <v>22</v>
      </c>
      <c r="E31" s="125">
        <f>E21 * ASSUMPTIONS!$K$20</f>
        <v>0</v>
      </c>
      <c r="F31" s="125">
        <f>F21 * ASSUMPTIONS!$K$20</f>
        <v>0</v>
      </c>
      <c r="G31" s="125">
        <f>G21 * ASSUMPTIONS!$K$20</f>
        <v>0</v>
      </c>
      <c r="H31" s="125">
        <f>H21 * ASSUMPTIONS!$K$20</f>
        <v>0</v>
      </c>
      <c r="I31" s="125">
        <f>I21 * ASSUMPTIONS!$K$20</f>
        <v>0</v>
      </c>
      <c r="J31" s="125">
        <f>J21 * ASSUMPTIONS!$K$20</f>
        <v>0</v>
      </c>
      <c r="K31" s="125">
        <f>K21 * ASSUMPTIONS!$K$20</f>
        <v>25380</v>
      </c>
      <c r="L31" s="125">
        <f>L21 * ASSUMPTIONS!$K$20</f>
        <v>25380</v>
      </c>
      <c r="M31" s="125">
        <f>M21 * ASSUMPTIONS!$K$20</f>
        <v>25380</v>
      </c>
      <c r="N31" s="125">
        <f>N21 * ASSUMPTIONS!$K$20</f>
        <v>25380</v>
      </c>
      <c r="O31" s="125">
        <f>O21 * ASSUMPTIONS!$K$20</f>
        <v>25380</v>
      </c>
      <c r="P31" s="125">
        <f>P21 * ASSUMPTIONS!$K$20</f>
        <v>25380</v>
      </c>
      <c r="Q31" s="125">
        <f>Q21 * ASSUMPTIONS!$K$20</f>
        <v>25380</v>
      </c>
      <c r="R31" s="125">
        <f>R21 * ASSUMPTIONS!$K$20</f>
        <v>25380</v>
      </c>
      <c r="S31" s="125">
        <f>S21 * ASSUMPTIONS!$K$20</f>
        <v>25380</v>
      </c>
      <c r="T31" s="125">
        <f>T21 * ASSUMPTIONS!$K$20</f>
        <v>25380</v>
      </c>
      <c r="U31" s="125">
        <f>U21 * ASSUMPTIONS!$K$20</f>
        <v>25380</v>
      </c>
      <c r="V31" s="125">
        <f>V21 * ASSUMPTIONS!$K$20</f>
        <v>25380</v>
      </c>
      <c r="W31" s="125">
        <f>W21 * ASSUMPTIONS!$K$20</f>
        <v>25380</v>
      </c>
      <c r="X31" s="125">
        <f>X21 * ASSUMPTIONS!$K$20</f>
        <v>25380</v>
      </c>
      <c r="Y31" s="125">
        <f>Y21 * ASSUMPTIONS!$K$20</f>
        <v>25380</v>
      </c>
      <c r="Z31" s="125">
        <f>Z21 * ASSUMPTIONS!$K$20</f>
        <v>25380</v>
      </c>
      <c r="AA31" s="125">
        <f>AA21 * ASSUMPTIONS!$K$20</f>
        <v>25380</v>
      </c>
      <c r="AB31" s="125">
        <f>AB21 * ASSUMPTIONS!$K$20</f>
        <v>25380</v>
      </c>
      <c r="AC31" s="125">
        <f>AC21 * ASSUMPTIONS!$K$20</f>
        <v>50760</v>
      </c>
      <c r="AD31" s="125">
        <f>AD21 * ASSUMPTIONS!$K$20</f>
        <v>50760</v>
      </c>
      <c r="AE31" s="125">
        <f>AE21 * ASSUMPTIONS!$K$20</f>
        <v>50760</v>
      </c>
      <c r="AF31" s="125">
        <f>AF21 * ASSUMPTIONS!$K$20</f>
        <v>50760</v>
      </c>
      <c r="AG31" s="125">
        <f>AG21 * ASSUMPTIONS!$K$20</f>
        <v>50760</v>
      </c>
      <c r="AH31" s="125">
        <f>AH21 * ASSUMPTIONS!$K$20</f>
        <v>50760</v>
      </c>
      <c r="AI31" s="125">
        <f>AI21 * ASSUMPTIONS!$K$20</f>
        <v>50760</v>
      </c>
      <c r="AJ31" s="125">
        <f>AJ21 * ASSUMPTIONS!$K$20</f>
        <v>50760</v>
      </c>
      <c r="AK31" s="125">
        <f>AK21 * ASSUMPTIONS!$K$20</f>
        <v>50760</v>
      </c>
      <c r="AL31" s="125">
        <f>AL21 * ASSUMPTIONS!$K$20</f>
        <v>50760</v>
      </c>
      <c r="AM31" s="125">
        <f>AM21 * ASSUMPTIONS!$K$20</f>
        <v>50760</v>
      </c>
      <c r="AN31" s="125">
        <f>AN21 * ASSUMPTIONS!$K$20</f>
        <v>50760</v>
      </c>
      <c r="AO31" s="125">
        <f>AO21 * ASSUMPTIONS!$K$20</f>
        <v>152280</v>
      </c>
      <c r="AP31" s="125">
        <f>AP21 * ASSUMPTIONS!$K$20</f>
        <v>152280</v>
      </c>
      <c r="AQ31" s="125">
        <f>AQ21 * ASSUMPTIONS!$K$20</f>
        <v>152280</v>
      </c>
      <c r="AR31" s="125">
        <f>AR21 * ASSUMPTIONS!$K$20</f>
        <v>152280</v>
      </c>
      <c r="AS31" s="125">
        <f>AS21 * ASSUMPTIONS!$K$20</f>
        <v>152280</v>
      </c>
      <c r="AT31" s="125">
        <f>AT21 * ASSUMPTIONS!$K$20</f>
        <v>152280</v>
      </c>
      <c r="AU31" s="125">
        <f>AU21 * ASSUMPTIONS!$K$20</f>
        <v>152280</v>
      </c>
      <c r="AV31" s="125">
        <f>AV21 * ASSUMPTIONS!$K$20</f>
        <v>152280</v>
      </c>
      <c r="AW31" s="125">
        <f>AW21 * ASSUMPTIONS!$K$20</f>
        <v>152280</v>
      </c>
      <c r="AX31" s="125">
        <f>AX21 * ASSUMPTIONS!$K$20</f>
        <v>152280</v>
      </c>
      <c r="AY31" s="125">
        <f>AY21 * ASSUMPTIONS!$K$20</f>
        <v>152280</v>
      </c>
      <c r="AZ31" s="125">
        <f>AZ21 * ASSUMPTIONS!$K$20</f>
        <v>152280</v>
      </c>
      <c r="BA31" s="125">
        <f>BA21 * ASSUMPTIONS!$K$20</f>
        <v>152280</v>
      </c>
      <c r="BB31" s="125">
        <f>BB21 * ASSUMPTIONS!$K$20</f>
        <v>152280</v>
      </c>
      <c r="BC31" s="125">
        <f>BC21 * ASSUMPTIONS!$K$20</f>
        <v>152280</v>
      </c>
      <c r="BD31" s="125">
        <f>BD21 * ASSUMPTIONS!$K$20</f>
        <v>152280</v>
      </c>
      <c r="BE31" s="125">
        <f>BE21 * ASSUMPTIONS!$K$20</f>
        <v>152280</v>
      </c>
      <c r="BF31" s="125">
        <f>BF21 * ASSUMPTIONS!$K$20</f>
        <v>152280</v>
      </c>
      <c r="BG31" s="125">
        <f>BG21 * ASSUMPTIONS!$K$20</f>
        <v>152280</v>
      </c>
      <c r="BH31" s="125">
        <f>BH21 * ASSUMPTIONS!$K$20</f>
        <v>152280</v>
      </c>
      <c r="BI31" s="125">
        <f>BI21 * ASSUMPTIONS!$K$20</f>
        <v>152280</v>
      </c>
      <c r="BJ31" s="125">
        <f>BJ21 * ASSUMPTIONS!$K$20</f>
        <v>152280</v>
      </c>
      <c r="BK31" s="125">
        <f>BK21 * ASSUMPTIONS!$K$20</f>
        <v>152280</v>
      </c>
      <c r="BL31" s="126">
        <f>BL21 * ASSUMPTIONS!$K$20</f>
        <v>152280</v>
      </c>
    </row>
    <row r="32" ht="15.75" customHeight="1">
      <c r="A32" s="64"/>
      <c r="B32" s="64"/>
      <c r="C32" s="64"/>
      <c r="D32" s="124" t="s">
        <v>40</v>
      </c>
      <c r="E32" s="125">
        <f>E22 * ASSUMPTIONS!$K$21</f>
        <v>0</v>
      </c>
      <c r="F32" s="125">
        <f>F22 * ASSUMPTIONS!$K$21</f>
        <v>0</v>
      </c>
      <c r="G32" s="125">
        <f>G22 * ASSUMPTIONS!$K$21</f>
        <v>0</v>
      </c>
      <c r="H32" s="125">
        <f>H22 * ASSUMPTIONS!$K$21</f>
        <v>0</v>
      </c>
      <c r="I32" s="125">
        <f>I22 * ASSUMPTIONS!$K$21</f>
        <v>0</v>
      </c>
      <c r="J32" s="125">
        <f>J22 * ASSUMPTIONS!$K$21</f>
        <v>0</v>
      </c>
      <c r="K32" s="125">
        <f>K22 * ASSUMPTIONS!$K$21</f>
        <v>1762.5</v>
      </c>
      <c r="L32" s="125">
        <f>L22 * ASSUMPTIONS!$K$21</f>
        <v>1762.5</v>
      </c>
      <c r="M32" s="125">
        <f>M22 * ASSUMPTIONS!$K$21</f>
        <v>1762.5</v>
      </c>
      <c r="N32" s="125">
        <f>N22 * ASSUMPTIONS!$K$21</f>
        <v>1762.5</v>
      </c>
      <c r="O32" s="125">
        <f>O22 * ASSUMPTIONS!$K$21</f>
        <v>1762.5</v>
      </c>
      <c r="P32" s="125">
        <f>P22 * ASSUMPTIONS!$K$21</f>
        <v>1762.5</v>
      </c>
      <c r="Q32" s="125">
        <f>Q22 * ASSUMPTIONS!$K$21</f>
        <v>1762.5</v>
      </c>
      <c r="R32" s="125">
        <f>R22 * ASSUMPTIONS!$K$21</f>
        <v>1762.5</v>
      </c>
      <c r="S32" s="125">
        <f>S22 * ASSUMPTIONS!$K$21</f>
        <v>1762.5</v>
      </c>
      <c r="T32" s="125">
        <f>T22 * ASSUMPTIONS!$K$21</f>
        <v>1762.5</v>
      </c>
      <c r="U32" s="125">
        <f>U22 * ASSUMPTIONS!$K$21</f>
        <v>1762.5</v>
      </c>
      <c r="V32" s="125">
        <f>V22 * ASSUMPTIONS!$K$21</f>
        <v>1762.5</v>
      </c>
      <c r="W32" s="125">
        <f>W22 * ASSUMPTIONS!$K$21</f>
        <v>1762.5</v>
      </c>
      <c r="X32" s="125">
        <f>X22 * ASSUMPTIONS!$K$21</f>
        <v>1762.5</v>
      </c>
      <c r="Y32" s="125">
        <f>Y22 * ASSUMPTIONS!$K$21</f>
        <v>1762.5</v>
      </c>
      <c r="Z32" s="125">
        <f>Z22 * ASSUMPTIONS!$K$21</f>
        <v>1762.5</v>
      </c>
      <c r="AA32" s="125">
        <f>AA22 * ASSUMPTIONS!$K$21</f>
        <v>1762.5</v>
      </c>
      <c r="AB32" s="125">
        <f>AB22 * ASSUMPTIONS!$K$21</f>
        <v>1762.5</v>
      </c>
      <c r="AC32" s="125">
        <f>AC22 * ASSUMPTIONS!$K$21</f>
        <v>3525</v>
      </c>
      <c r="AD32" s="125">
        <f>AD22 * ASSUMPTIONS!$K$21</f>
        <v>3525</v>
      </c>
      <c r="AE32" s="125">
        <f>AE22 * ASSUMPTIONS!$K$21</f>
        <v>3525</v>
      </c>
      <c r="AF32" s="125">
        <f>AF22 * ASSUMPTIONS!$K$21</f>
        <v>3525</v>
      </c>
      <c r="AG32" s="125">
        <f>AG22 * ASSUMPTIONS!$K$21</f>
        <v>3525</v>
      </c>
      <c r="AH32" s="125">
        <f>AH22 * ASSUMPTIONS!$K$21</f>
        <v>3525</v>
      </c>
      <c r="AI32" s="125">
        <f>AI22 * ASSUMPTIONS!$K$21</f>
        <v>3525</v>
      </c>
      <c r="AJ32" s="125">
        <f>AJ22 * ASSUMPTIONS!$K$21</f>
        <v>3525</v>
      </c>
      <c r="AK32" s="125">
        <f>AK22 * ASSUMPTIONS!$K$21</f>
        <v>3525</v>
      </c>
      <c r="AL32" s="125">
        <f>AL22 * ASSUMPTIONS!$K$21</f>
        <v>3525</v>
      </c>
      <c r="AM32" s="125">
        <f>AM22 * ASSUMPTIONS!$K$21</f>
        <v>3525</v>
      </c>
      <c r="AN32" s="125">
        <f>AN22 * ASSUMPTIONS!$K$21</f>
        <v>3525</v>
      </c>
      <c r="AO32" s="125">
        <f>AO22 * ASSUMPTIONS!$K$21</f>
        <v>10575</v>
      </c>
      <c r="AP32" s="125">
        <f>AP22 * ASSUMPTIONS!$K$21</f>
        <v>10575</v>
      </c>
      <c r="AQ32" s="125">
        <f>AQ22 * ASSUMPTIONS!$K$21</f>
        <v>10575</v>
      </c>
      <c r="AR32" s="125">
        <f>AR22 * ASSUMPTIONS!$K$21</f>
        <v>10575</v>
      </c>
      <c r="AS32" s="125">
        <f>AS22 * ASSUMPTIONS!$K$21</f>
        <v>10575</v>
      </c>
      <c r="AT32" s="125">
        <f>AT22 * ASSUMPTIONS!$K$21</f>
        <v>10575</v>
      </c>
      <c r="AU32" s="125">
        <f>AU22 * ASSUMPTIONS!$K$21</f>
        <v>10575</v>
      </c>
      <c r="AV32" s="125">
        <f>AV22 * ASSUMPTIONS!$K$21</f>
        <v>10575</v>
      </c>
      <c r="AW32" s="125">
        <f>AW22 * ASSUMPTIONS!$K$21</f>
        <v>10575</v>
      </c>
      <c r="AX32" s="125">
        <f>AX22 * ASSUMPTIONS!$K$21</f>
        <v>10575</v>
      </c>
      <c r="AY32" s="125">
        <f>AY22 * ASSUMPTIONS!$K$21</f>
        <v>10575</v>
      </c>
      <c r="AZ32" s="125">
        <f>AZ22 * ASSUMPTIONS!$K$21</f>
        <v>10575</v>
      </c>
      <c r="BA32" s="125">
        <f>BA22 * ASSUMPTIONS!$K$21</f>
        <v>10575</v>
      </c>
      <c r="BB32" s="125">
        <f>BB22 * ASSUMPTIONS!$K$21</f>
        <v>10575</v>
      </c>
      <c r="BC32" s="125">
        <f>BC22 * ASSUMPTIONS!$K$21</f>
        <v>10575</v>
      </c>
      <c r="BD32" s="125">
        <f>BD22 * ASSUMPTIONS!$K$21</f>
        <v>10575</v>
      </c>
      <c r="BE32" s="125">
        <f>BE22 * ASSUMPTIONS!$K$21</f>
        <v>10575</v>
      </c>
      <c r="BF32" s="125">
        <f>BF22 * ASSUMPTIONS!$K$21</f>
        <v>10575</v>
      </c>
      <c r="BG32" s="125">
        <f>BG22 * ASSUMPTIONS!$K$21</f>
        <v>10575</v>
      </c>
      <c r="BH32" s="125">
        <f>BH22 * ASSUMPTIONS!$K$21</f>
        <v>10575</v>
      </c>
      <c r="BI32" s="125">
        <f>BI22 * ASSUMPTIONS!$K$21</f>
        <v>10575</v>
      </c>
      <c r="BJ32" s="125">
        <f>BJ22 * ASSUMPTIONS!$K$21</f>
        <v>10575</v>
      </c>
      <c r="BK32" s="125">
        <f>BK22 * ASSUMPTIONS!$K$21</f>
        <v>10575</v>
      </c>
      <c r="BL32" s="126">
        <f>BL22 * ASSUMPTIONS!$K$21</f>
        <v>10575</v>
      </c>
    </row>
    <row r="33" ht="15.75" customHeight="1">
      <c r="A33" s="64"/>
      <c r="B33" s="64"/>
      <c r="C33" s="64"/>
      <c r="D33" s="124" t="s">
        <v>42</v>
      </c>
      <c r="E33" s="125">
        <f>E23 * ASSUMPTIONS!$K$22</f>
        <v>0</v>
      </c>
      <c r="F33" s="125">
        <f>F23 * ASSUMPTIONS!$K$22</f>
        <v>0</v>
      </c>
      <c r="G33" s="125">
        <f>G23 * ASSUMPTIONS!$K$22</f>
        <v>0</v>
      </c>
      <c r="H33" s="125">
        <f>H23 * ASSUMPTIONS!$K$22</f>
        <v>0</v>
      </c>
      <c r="I33" s="125">
        <f>I23 * ASSUMPTIONS!$K$22</f>
        <v>0</v>
      </c>
      <c r="J33" s="125">
        <f>J23 * ASSUMPTIONS!$K$22</f>
        <v>0</v>
      </c>
      <c r="K33" s="125">
        <f>K23 * ASSUMPTIONS!$K$22</f>
        <v>846</v>
      </c>
      <c r="L33" s="125">
        <f>L23 * ASSUMPTIONS!$K$22</f>
        <v>846</v>
      </c>
      <c r="M33" s="125">
        <f>M23 * ASSUMPTIONS!$K$22</f>
        <v>846</v>
      </c>
      <c r="N33" s="125">
        <f>N23 * ASSUMPTIONS!$K$22</f>
        <v>846</v>
      </c>
      <c r="O33" s="125">
        <f>O23 * ASSUMPTIONS!$K$22</f>
        <v>846</v>
      </c>
      <c r="P33" s="125">
        <f>P23 * ASSUMPTIONS!$K$22</f>
        <v>846</v>
      </c>
      <c r="Q33" s="125">
        <f>Q23 * ASSUMPTIONS!$K$22</f>
        <v>846</v>
      </c>
      <c r="R33" s="125">
        <f>R23 * ASSUMPTIONS!$K$22</f>
        <v>846</v>
      </c>
      <c r="S33" s="125">
        <f>S23 * ASSUMPTIONS!$K$22</f>
        <v>846</v>
      </c>
      <c r="T33" s="125">
        <f>T23 * ASSUMPTIONS!$K$22</f>
        <v>846</v>
      </c>
      <c r="U33" s="125">
        <f>U23 * ASSUMPTIONS!$K$22</f>
        <v>846</v>
      </c>
      <c r="V33" s="125">
        <f>V23 * ASSUMPTIONS!$K$22</f>
        <v>846</v>
      </c>
      <c r="W33" s="125">
        <f>W23 * ASSUMPTIONS!$K$22</f>
        <v>846</v>
      </c>
      <c r="X33" s="125">
        <f>X23 * ASSUMPTIONS!$K$22</f>
        <v>846</v>
      </c>
      <c r="Y33" s="125">
        <f>Y23 * ASSUMPTIONS!$K$22</f>
        <v>846</v>
      </c>
      <c r="Z33" s="125">
        <f>Z23 * ASSUMPTIONS!$K$22</f>
        <v>846</v>
      </c>
      <c r="AA33" s="125">
        <f>AA23 * ASSUMPTIONS!$K$22</f>
        <v>846</v>
      </c>
      <c r="AB33" s="125">
        <f>AB23 * ASSUMPTIONS!$K$22</f>
        <v>846</v>
      </c>
      <c r="AC33" s="125">
        <f>AC23 * ASSUMPTIONS!$K$22</f>
        <v>1692</v>
      </c>
      <c r="AD33" s="125">
        <f>AD23 * ASSUMPTIONS!$K$22</f>
        <v>1692</v>
      </c>
      <c r="AE33" s="125">
        <f>AE23 * ASSUMPTIONS!$K$22</f>
        <v>1692</v>
      </c>
      <c r="AF33" s="125">
        <f>AF23 * ASSUMPTIONS!$K$22</f>
        <v>1692</v>
      </c>
      <c r="AG33" s="125">
        <f>AG23 * ASSUMPTIONS!$K$22</f>
        <v>1692</v>
      </c>
      <c r="AH33" s="125">
        <f>AH23 * ASSUMPTIONS!$K$22</f>
        <v>1692</v>
      </c>
      <c r="AI33" s="125">
        <f>AI23 * ASSUMPTIONS!$K$22</f>
        <v>1692</v>
      </c>
      <c r="AJ33" s="125">
        <f>AJ23 * ASSUMPTIONS!$K$22</f>
        <v>1692</v>
      </c>
      <c r="AK33" s="125">
        <f>AK23 * ASSUMPTIONS!$K$22</f>
        <v>1692</v>
      </c>
      <c r="AL33" s="125">
        <f>AL23 * ASSUMPTIONS!$K$22</f>
        <v>1692</v>
      </c>
      <c r="AM33" s="125">
        <f>AM23 * ASSUMPTIONS!$K$22</f>
        <v>1692</v>
      </c>
      <c r="AN33" s="125">
        <f>AN23 * ASSUMPTIONS!$K$22</f>
        <v>1692</v>
      </c>
      <c r="AO33" s="125">
        <f>AO23 * ASSUMPTIONS!$K$22</f>
        <v>5076</v>
      </c>
      <c r="AP33" s="125">
        <f>AP23 * ASSUMPTIONS!$K$22</f>
        <v>5076</v>
      </c>
      <c r="AQ33" s="125">
        <f>AQ23 * ASSUMPTIONS!$K$22</f>
        <v>5076</v>
      </c>
      <c r="AR33" s="125">
        <f>AR23 * ASSUMPTIONS!$K$22</f>
        <v>5076</v>
      </c>
      <c r="AS33" s="125">
        <f>AS23 * ASSUMPTIONS!$K$22</f>
        <v>5076</v>
      </c>
      <c r="AT33" s="125">
        <f>AT23 * ASSUMPTIONS!$K$22</f>
        <v>5076</v>
      </c>
      <c r="AU33" s="125">
        <f>AU23 * ASSUMPTIONS!$K$22</f>
        <v>5076</v>
      </c>
      <c r="AV33" s="125">
        <f>AV23 * ASSUMPTIONS!$K$22</f>
        <v>5076</v>
      </c>
      <c r="AW33" s="125">
        <f>AW23 * ASSUMPTIONS!$K$22</f>
        <v>5076</v>
      </c>
      <c r="AX33" s="125">
        <f>AX23 * ASSUMPTIONS!$K$22</f>
        <v>5076</v>
      </c>
      <c r="AY33" s="125">
        <f>AY23 * ASSUMPTIONS!$K$22</f>
        <v>5076</v>
      </c>
      <c r="AZ33" s="125">
        <f>AZ23 * ASSUMPTIONS!$K$22</f>
        <v>5076</v>
      </c>
      <c r="BA33" s="125">
        <f>BA23 * ASSUMPTIONS!$K$22</f>
        <v>5076</v>
      </c>
      <c r="BB33" s="125">
        <f>BB23 * ASSUMPTIONS!$K$22</f>
        <v>5076</v>
      </c>
      <c r="BC33" s="125">
        <f>BC23 * ASSUMPTIONS!$K$22</f>
        <v>5076</v>
      </c>
      <c r="BD33" s="125">
        <f>BD23 * ASSUMPTIONS!$K$22</f>
        <v>5076</v>
      </c>
      <c r="BE33" s="125">
        <f>BE23 * ASSUMPTIONS!$K$22</f>
        <v>5076</v>
      </c>
      <c r="BF33" s="125">
        <f>BF23 * ASSUMPTIONS!$K$22</f>
        <v>5076</v>
      </c>
      <c r="BG33" s="125">
        <f>BG23 * ASSUMPTIONS!$K$22</f>
        <v>5076</v>
      </c>
      <c r="BH33" s="125">
        <f>BH23 * ASSUMPTIONS!$K$22</f>
        <v>5076</v>
      </c>
      <c r="BI33" s="125">
        <f>BI23 * ASSUMPTIONS!$K$22</f>
        <v>5076</v>
      </c>
      <c r="BJ33" s="125">
        <f>BJ23 * ASSUMPTIONS!$K$22</f>
        <v>5076</v>
      </c>
      <c r="BK33" s="125">
        <f>BK23 * ASSUMPTIONS!$K$22</f>
        <v>5076</v>
      </c>
      <c r="BL33" s="126">
        <f>BL23 * ASSUMPTIONS!$K$22</f>
        <v>5076</v>
      </c>
    </row>
    <row r="34" ht="15.75" customHeight="1">
      <c r="A34" s="64"/>
      <c r="B34" s="64"/>
      <c r="C34" s="64"/>
      <c r="D34" s="124" t="s">
        <v>141</v>
      </c>
      <c r="E34" s="125">
        <f>E24 * ASSUMPTIONS!$K$23</f>
        <v>0</v>
      </c>
      <c r="F34" s="125">
        <f>F24 * ASSUMPTIONS!$K$23</f>
        <v>0</v>
      </c>
      <c r="G34" s="125">
        <f>G24 * ASSUMPTIONS!$K$23</f>
        <v>0</v>
      </c>
      <c r="H34" s="125">
        <f>H24 * ASSUMPTIONS!$K$23</f>
        <v>0</v>
      </c>
      <c r="I34" s="125">
        <f>I24 * ASSUMPTIONS!$K$23</f>
        <v>0</v>
      </c>
      <c r="J34" s="125">
        <f>J24 * ASSUMPTIONS!$K$23</f>
        <v>0</v>
      </c>
      <c r="K34" s="125">
        <f>K24 * ASSUMPTIONS!$K$23</f>
        <v>2326.5</v>
      </c>
      <c r="L34" s="125">
        <f>L24 * ASSUMPTIONS!$K$23</f>
        <v>2326.5</v>
      </c>
      <c r="M34" s="125">
        <f>M24 * ASSUMPTIONS!$K$23</f>
        <v>2326.5</v>
      </c>
      <c r="N34" s="125">
        <f>N24 * ASSUMPTIONS!$K$23</f>
        <v>2326.5</v>
      </c>
      <c r="O34" s="125">
        <f>O24 * ASSUMPTIONS!$K$23</f>
        <v>2326.5</v>
      </c>
      <c r="P34" s="125">
        <f>P24 * ASSUMPTIONS!$K$23</f>
        <v>2326.5</v>
      </c>
      <c r="Q34" s="125">
        <f>Q24 * ASSUMPTIONS!$K$23</f>
        <v>2326.5</v>
      </c>
      <c r="R34" s="125">
        <f>R24 * ASSUMPTIONS!$K$23</f>
        <v>2326.5</v>
      </c>
      <c r="S34" s="125">
        <f>S24 * ASSUMPTIONS!$K$23</f>
        <v>2326.5</v>
      </c>
      <c r="T34" s="125">
        <f>T24 * ASSUMPTIONS!$K$23</f>
        <v>2326.5</v>
      </c>
      <c r="U34" s="125">
        <f>U24 * ASSUMPTIONS!$K$23</f>
        <v>2326.5</v>
      </c>
      <c r="V34" s="125">
        <f>V24 * ASSUMPTIONS!$K$23</f>
        <v>2326.5</v>
      </c>
      <c r="W34" s="125">
        <f>W24 * ASSUMPTIONS!$K$23</f>
        <v>2326.5</v>
      </c>
      <c r="X34" s="125">
        <f>X24 * ASSUMPTIONS!$K$23</f>
        <v>2326.5</v>
      </c>
      <c r="Y34" s="125">
        <f>Y24 * ASSUMPTIONS!$K$23</f>
        <v>2326.5</v>
      </c>
      <c r="Z34" s="125">
        <f>Z24 * ASSUMPTIONS!$K$23</f>
        <v>2326.5</v>
      </c>
      <c r="AA34" s="125">
        <f>AA24 * ASSUMPTIONS!$K$23</f>
        <v>2326.5</v>
      </c>
      <c r="AB34" s="125">
        <f>AB24 * ASSUMPTIONS!$K$23</f>
        <v>2326.5</v>
      </c>
      <c r="AC34" s="125">
        <f>AC24 * ASSUMPTIONS!$K$23</f>
        <v>4653</v>
      </c>
      <c r="AD34" s="125">
        <f>AD24 * ASSUMPTIONS!$K$23</f>
        <v>4653</v>
      </c>
      <c r="AE34" s="125">
        <f>AE24 * ASSUMPTIONS!$K$23</f>
        <v>4653</v>
      </c>
      <c r="AF34" s="125">
        <f>AF24 * ASSUMPTIONS!$K$23</f>
        <v>4653</v>
      </c>
      <c r="AG34" s="125">
        <f>AG24 * ASSUMPTIONS!$K$23</f>
        <v>4653</v>
      </c>
      <c r="AH34" s="125">
        <f>AH24 * ASSUMPTIONS!$K$23</f>
        <v>4653</v>
      </c>
      <c r="AI34" s="125">
        <f>AI24 * ASSUMPTIONS!$K$23</f>
        <v>4653</v>
      </c>
      <c r="AJ34" s="125">
        <f>AJ24 * ASSUMPTIONS!$K$23</f>
        <v>4653</v>
      </c>
      <c r="AK34" s="125">
        <f>AK24 * ASSUMPTIONS!$K$23</f>
        <v>4653</v>
      </c>
      <c r="AL34" s="125">
        <f>AL24 * ASSUMPTIONS!$K$23</f>
        <v>4653</v>
      </c>
      <c r="AM34" s="125">
        <f>AM24 * ASSUMPTIONS!$K$23</f>
        <v>4653</v>
      </c>
      <c r="AN34" s="125">
        <f>AN24 * ASSUMPTIONS!$K$23</f>
        <v>4653</v>
      </c>
      <c r="AO34" s="125">
        <f>AO24 * ASSUMPTIONS!$K$23</f>
        <v>13959</v>
      </c>
      <c r="AP34" s="125">
        <f>AP24 * ASSUMPTIONS!$K$23</f>
        <v>13959</v>
      </c>
      <c r="AQ34" s="125">
        <f>AQ24 * ASSUMPTIONS!$K$23</f>
        <v>13959</v>
      </c>
      <c r="AR34" s="125">
        <f>AR24 * ASSUMPTIONS!$K$23</f>
        <v>13959</v>
      </c>
      <c r="AS34" s="125">
        <f>AS24 * ASSUMPTIONS!$K$23</f>
        <v>13959</v>
      </c>
      <c r="AT34" s="125">
        <f>AT24 * ASSUMPTIONS!$K$23</f>
        <v>13959</v>
      </c>
      <c r="AU34" s="125">
        <f>AU24 * ASSUMPTIONS!$K$23</f>
        <v>13959</v>
      </c>
      <c r="AV34" s="125">
        <f>AV24 * ASSUMPTIONS!$K$23</f>
        <v>13959</v>
      </c>
      <c r="AW34" s="125">
        <f>AW24 * ASSUMPTIONS!$K$23</f>
        <v>13959</v>
      </c>
      <c r="AX34" s="125">
        <f>AX24 * ASSUMPTIONS!$K$23</f>
        <v>13959</v>
      </c>
      <c r="AY34" s="125">
        <f>AY24 * ASSUMPTIONS!$K$23</f>
        <v>13959</v>
      </c>
      <c r="AZ34" s="125">
        <f>AZ24 * ASSUMPTIONS!$K$23</f>
        <v>13959</v>
      </c>
      <c r="BA34" s="125">
        <f>BA24 * ASSUMPTIONS!$K$23</f>
        <v>13959</v>
      </c>
      <c r="BB34" s="125">
        <f>BB24 * ASSUMPTIONS!$K$23</f>
        <v>13959</v>
      </c>
      <c r="BC34" s="125">
        <f>BC24 * ASSUMPTIONS!$K$23</f>
        <v>13959</v>
      </c>
      <c r="BD34" s="125">
        <f>BD24 * ASSUMPTIONS!$K$23</f>
        <v>13959</v>
      </c>
      <c r="BE34" s="125">
        <f>BE24 * ASSUMPTIONS!$K$23</f>
        <v>13959</v>
      </c>
      <c r="BF34" s="125">
        <f>BF24 * ASSUMPTIONS!$K$23</f>
        <v>13959</v>
      </c>
      <c r="BG34" s="125">
        <f>BG24 * ASSUMPTIONS!$K$23</f>
        <v>13959</v>
      </c>
      <c r="BH34" s="125">
        <f>BH24 * ASSUMPTIONS!$K$23</f>
        <v>13959</v>
      </c>
      <c r="BI34" s="125">
        <f>BI24 * ASSUMPTIONS!$K$23</f>
        <v>13959</v>
      </c>
      <c r="BJ34" s="125">
        <f>BJ24 * ASSUMPTIONS!$K$23</f>
        <v>13959</v>
      </c>
      <c r="BK34" s="125">
        <f>BK24 * ASSUMPTIONS!$K$23</f>
        <v>13959</v>
      </c>
      <c r="BL34" s="126">
        <f>BL24 * ASSUMPTIONS!$K$23</f>
        <v>13959</v>
      </c>
    </row>
    <row r="35" ht="15.75" customHeight="1">
      <c r="A35" s="64"/>
      <c r="B35" s="64"/>
      <c r="C35" s="64"/>
      <c r="D35" s="124" t="s">
        <v>46</v>
      </c>
      <c r="E35" s="125">
        <f>E25 * ASSUMPTIONS!$K$24</f>
        <v>0</v>
      </c>
      <c r="F35" s="125">
        <f>F25 * ASSUMPTIONS!$K$24</f>
        <v>0</v>
      </c>
      <c r="G35" s="125">
        <f>G25 * ASSUMPTIONS!$K$24</f>
        <v>0</v>
      </c>
      <c r="H35" s="125">
        <f>H25 * ASSUMPTIONS!$K$24</f>
        <v>0</v>
      </c>
      <c r="I35" s="125">
        <f>I25 * ASSUMPTIONS!$K$24</f>
        <v>0</v>
      </c>
      <c r="J35" s="125">
        <f>J25 * ASSUMPTIONS!$K$24</f>
        <v>0</v>
      </c>
      <c r="K35" s="125">
        <f>K25 * ASSUMPTIONS!$K$24</f>
        <v>1128</v>
      </c>
      <c r="L35" s="125">
        <f>L25 * ASSUMPTIONS!$K$24</f>
        <v>1128</v>
      </c>
      <c r="M35" s="125">
        <f>M25 * ASSUMPTIONS!$K$24</f>
        <v>1128</v>
      </c>
      <c r="N35" s="125">
        <f>N25 * ASSUMPTIONS!$K$24</f>
        <v>1128</v>
      </c>
      <c r="O35" s="125">
        <f>O25 * ASSUMPTIONS!$K$24</f>
        <v>1128</v>
      </c>
      <c r="P35" s="125">
        <f>P25 * ASSUMPTIONS!$K$24</f>
        <v>1128</v>
      </c>
      <c r="Q35" s="125">
        <f>Q25 * ASSUMPTIONS!$K$24</f>
        <v>1128</v>
      </c>
      <c r="R35" s="125">
        <f>R25 * ASSUMPTIONS!$K$24</f>
        <v>1128</v>
      </c>
      <c r="S35" s="125">
        <f>S25 * ASSUMPTIONS!$K$24</f>
        <v>1128</v>
      </c>
      <c r="T35" s="125">
        <f>T25 * ASSUMPTIONS!$K$24</f>
        <v>1128</v>
      </c>
      <c r="U35" s="125">
        <f>U25 * ASSUMPTIONS!$K$24</f>
        <v>1128</v>
      </c>
      <c r="V35" s="125">
        <f>V25 * ASSUMPTIONS!$K$24</f>
        <v>1128</v>
      </c>
      <c r="W35" s="125">
        <f>W25 * ASSUMPTIONS!$K$24</f>
        <v>1128</v>
      </c>
      <c r="X35" s="125">
        <f>X25 * ASSUMPTIONS!$K$24</f>
        <v>1128</v>
      </c>
      <c r="Y35" s="125">
        <f>Y25 * ASSUMPTIONS!$K$24</f>
        <v>1128</v>
      </c>
      <c r="Z35" s="125">
        <f>Z25 * ASSUMPTIONS!$K$24</f>
        <v>1128</v>
      </c>
      <c r="AA35" s="125">
        <f>AA25 * ASSUMPTIONS!$K$24</f>
        <v>1128</v>
      </c>
      <c r="AB35" s="125">
        <f>AB25 * ASSUMPTIONS!$K$24</f>
        <v>1128</v>
      </c>
      <c r="AC35" s="125">
        <f>AC25 * ASSUMPTIONS!$K$24</f>
        <v>2256</v>
      </c>
      <c r="AD35" s="125">
        <f>AD25 * ASSUMPTIONS!$K$24</f>
        <v>2256</v>
      </c>
      <c r="AE35" s="125">
        <f>AE25 * ASSUMPTIONS!$K$24</f>
        <v>2256</v>
      </c>
      <c r="AF35" s="125">
        <f>AF25 * ASSUMPTIONS!$K$24</f>
        <v>2256</v>
      </c>
      <c r="AG35" s="125">
        <f>AG25 * ASSUMPTIONS!$K$24</f>
        <v>2256</v>
      </c>
      <c r="AH35" s="125">
        <f>AH25 * ASSUMPTIONS!$K$24</f>
        <v>2256</v>
      </c>
      <c r="AI35" s="125">
        <f>AI25 * ASSUMPTIONS!$K$24</f>
        <v>2256</v>
      </c>
      <c r="AJ35" s="125">
        <f>AJ25 * ASSUMPTIONS!$K$24</f>
        <v>2256</v>
      </c>
      <c r="AK35" s="125">
        <f>AK25 * ASSUMPTIONS!$K$24</f>
        <v>2256</v>
      </c>
      <c r="AL35" s="125">
        <f>AL25 * ASSUMPTIONS!$K$24</f>
        <v>2256</v>
      </c>
      <c r="AM35" s="125">
        <f>AM25 * ASSUMPTIONS!$K$24</f>
        <v>2256</v>
      </c>
      <c r="AN35" s="125">
        <f>AN25 * ASSUMPTIONS!$K$24</f>
        <v>2256</v>
      </c>
      <c r="AO35" s="125">
        <f>AO25 * ASSUMPTIONS!$K$24</f>
        <v>6768</v>
      </c>
      <c r="AP35" s="125">
        <f>AP25 * ASSUMPTIONS!$K$24</f>
        <v>6768</v>
      </c>
      <c r="AQ35" s="125">
        <f>AQ25 * ASSUMPTIONS!$K$24</f>
        <v>6768</v>
      </c>
      <c r="AR35" s="125">
        <f>AR25 * ASSUMPTIONS!$K$24</f>
        <v>6768</v>
      </c>
      <c r="AS35" s="125">
        <f>AS25 * ASSUMPTIONS!$K$24</f>
        <v>6768</v>
      </c>
      <c r="AT35" s="125">
        <f>AT25 * ASSUMPTIONS!$K$24</f>
        <v>6768</v>
      </c>
      <c r="AU35" s="125">
        <f>AU25 * ASSUMPTIONS!$K$24</f>
        <v>6768</v>
      </c>
      <c r="AV35" s="125">
        <f>AV25 * ASSUMPTIONS!$K$24</f>
        <v>6768</v>
      </c>
      <c r="AW35" s="125">
        <f>AW25 * ASSUMPTIONS!$K$24</f>
        <v>6768</v>
      </c>
      <c r="AX35" s="125">
        <f>AX25 * ASSUMPTIONS!$K$24</f>
        <v>6768</v>
      </c>
      <c r="AY35" s="125">
        <f>AY25 * ASSUMPTIONS!$K$24</f>
        <v>6768</v>
      </c>
      <c r="AZ35" s="125">
        <f>AZ25 * ASSUMPTIONS!$K$24</f>
        <v>6768</v>
      </c>
      <c r="BA35" s="125">
        <f>BA25 * ASSUMPTIONS!$K$24</f>
        <v>6768</v>
      </c>
      <c r="BB35" s="125">
        <f>BB25 * ASSUMPTIONS!$K$24</f>
        <v>6768</v>
      </c>
      <c r="BC35" s="125">
        <f>BC25 * ASSUMPTIONS!$K$24</f>
        <v>6768</v>
      </c>
      <c r="BD35" s="125">
        <f>BD25 * ASSUMPTIONS!$K$24</f>
        <v>6768</v>
      </c>
      <c r="BE35" s="125">
        <f>BE25 * ASSUMPTIONS!$K$24</f>
        <v>6768</v>
      </c>
      <c r="BF35" s="125">
        <f>BF25 * ASSUMPTIONS!$K$24</f>
        <v>6768</v>
      </c>
      <c r="BG35" s="125">
        <f>BG25 * ASSUMPTIONS!$K$24</f>
        <v>6768</v>
      </c>
      <c r="BH35" s="125">
        <f>BH25 * ASSUMPTIONS!$K$24</f>
        <v>6768</v>
      </c>
      <c r="BI35" s="125">
        <f>BI25 * ASSUMPTIONS!$K$24</f>
        <v>6768</v>
      </c>
      <c r="BJ35" s="125">
        <f>BJ25 * ASSUMPTIONS!$K$24</f>
        <v>6768</v>
      </c>
      <c r="BK35" s="125">
        <f>BK25 * ASSUMPTIONS!$K$24</f>
        <v>6768</v>
      </c>
      <c r="BL35" s="126">
        <f>BL25 * ASSUMPTIONS!$K$24</f>
        <v>6768</v>
      </c>
    </row>
    <row r="36" ht="15.75" customHeight="1">
      <c r="A36" s="64"/>
      <c r="B36" s="64"/>
      <c r="C36" s="64"/>
      <c r="D36" s="124" t="s">
        <v>28</v>
      </c>
      <c r="E36" s="125">
        <f>E26 * ASSUMPTIONS!$K$25</f>
        <v>0</v>
      </c>
      <c r="F36" s="125">
        <f>F26 * ASSUMPTIONS!$K$25</f>
        <v>0</v>
      </c>
      <c r="G36" s="125">
        <f>G26 * ASSUMPTIONS!$K$25</f>
        <v>0</v>
      </c>
      <c r="H36" s="125">
        <f>H26 * ASSUMPTIONS!$K$25</f>
        <v>0</v>
      </c>
      <c r="I36" s="125">
        <f>I26 * ASSUMPTIONS!$K$25</f>
        <v>0</v>
      </c>
      <c r="J36" s="125">
        <f>J26 * ASSUMPTIONS!$K$25</f>
        <v>0</v>
      </c>
      <c r="K36" s="125">
        <f>K26 * ASSUMPTIONS!$K$25</f>
        <v>27072</v>
      </c>
      <c r="L36" s="125">
        <f>L26 * ASSUMPTIONS!$K$25</f>
        <v>27072</v>
      </c>
      <c r="M36" s="125">
        <f>M26 * ASSUMPTIONS!$K$25</f>
        <v>27072</v>
      </c>
      <c r="N36" s="125">
        <f>N26 * ASSUMPTIONS!$K$25</f>
        <v>27072</v>
      </c>
      <c r="O36" s="125">
        <f>O26 * ASSUMPTIONS!$K$25</f>
        <v>27072</v>
      </c>
      <c r="P36" s="125">
        <f>P26 * ASSUMPTIONS!$K$25</f>
        <v>27072</v>
      </c>
      <c r="Q36" s="125">
        <f>Q26 * ASSUMPTIONS!$K$25</f>
        <v>27072</v>
      </c>
      <c r="R36" s="125">
        <f>R26 * ASSUMPTIONS!$K$25</f>
        <v>27072</v>
      </c>
      <c r="S36" s="125">
        <f>S26 * ASSUMPTIONS!$K$25</f>
        <v>27072</v>
      </c>
      <c r="T36" s="125">
        <f>T26 * ASSUMPTIONS!$K$25</f>
        <v>27072</v>
      </c>
      <c r="U36" s="125">
        <f>U26 * ASSUMPTIONS!$K$25</f>
        <v>27072</v>
      </c>
      <c r="V36" s="125">
        <f>V26 * ASSUMPTIONS!$K$25</f>
        <v>27072</v>
      </c>
      <c r="W36" s="125">
        <f>W26 * ASSUMPTIONS!$K$25</f>
        <v>27072</v>
      </c>
      <c r="X36" s="125">
        <f>X26 * ASSUMPTIONS!$K$25</f>
        <v>27072</v>
      </c>
      <c r="Y36" s="125">
        <f>Y26 * ASSUMPTIONS!$K$25</f>
        <v>27072</v>
      </c>
      <c r="Z36" s="125">
        <f>Z26 * ASSUMPTIONS!$K$25</f>
        <v>27072</v>
      </c>
      <c r="AA36" s="125">
        <f>AA26 * ASSUMPTIONS!$K$25</f>
        <v>27072</v>
      </c>
      <c r="AB36" s="125">
        <f>AB26 * ASSUMPTIONS!$K$25</f>
        <v>27072</v>
      </c>
      <c r="AC36" s="125">
        <f>AC26 * ASSUMPTIONS!$K$25</f>
        <v>54144</v>
      </c>
      <c r="AD36" s="125">
        <f>AD26 * ASSUMPTIONS!$K$25</f>
        <v>54144</v>
      </c>
      <c r="AE36" s="125">
        <f>AE26 * ASSUMPTIONS!$K$25</f>
        <v>54144</v>
      </c>
      <c r="AF36" s="125">
        <f>AF26 * ASSUMPTIONS!$K$25</f>
        <v>54144</v>
      </c>
      <c r="AG36" s="125">
        <f>AG26 * ASSUMPTIONS!$K$25</f>
        <v>54144</v>
      </c>
      <c r="AH36" s="125">
        <f>AH26 * ASSUMPTIONS!$K$25</f>
        <v>54144</v>
      </c>
      <c r="AI36" s="125">
        <f>AI26 * ASSUMPTIONS!$K$25</f>
        <v>54144</v>
      </c>
      <c r="AJ36" s="125">
        <f>AJ26 * ASSUMPTIONS!$K$25</f>
        <v>54144</v>
      </c>
      <c r="AK36" s="125">
        <f>AK26 * ASSUMPTIONS!$K$25</f>
        <v>54144</v>
      </c>
      <c r="AL36" s="125">
        <f>AL26 * ASSUMPTIONS!$K$25</f>
        <v>54144</v>
      </c>
      <c r="AM36" s="125">
        <f>AM26 * ASSUMPTIONS!$K$25</f>
        <v>54144</v>
      </c>
      <c r="AN36" s="125">
        <f>AN26 * ASSUMPTIONS!$K$25</f>
        <v>54144</v>
      </c>
      <c r="AO36" s="125">
        <f>AO26 * ASSUMPTIONS!$K$25</f>
        <v>162432</v>
      </c>
      <c r="AP36" s="125">
        <f>AP26 * ASSUMPTIONS!$K$25</f>
        <v>162432</v>
      </c>
      <c r="AQ36" s="125">
        <f>AQ26 * ASSUMPTIONS!$K$25</f>
        <v>162432</v>
      </c>
      <c r="AR36" s="125">
        <f>AR26 * ASSUMPTIONS!$K$25</f>
        <v>162432</v>
      </c>
      <c r="AS36" s="125">
        <f>AS26 * ASSUMPTIONS!$K$25</f>
        <v>162432</v>
      </c>
      <c r="AT36" s="125">
        <f>AT26 * ASSUMPTIONS!$K$25</f>
        <v>162432</v>
      </c>
      <c r="AU36" s="125">
        <f>AU26 * ASSUMPTIONS!$K$25</f>
        <v>162432</v>
      </c>
      <c r="AV36" s="125">
        <f>AV26 * ASSUMPTIONS!$K$25</f>
        <v>162432</v>
      </c>
      <c r="AW36" s="125">
        <f>AW26 * ASSUMPTIONS!$K$25</f>
        <v>162432</v>
      </c>
      <c r="AX36" s="125">
        <f>AX26 * ASSUMPTIONS!$K$25</f>
        <v>162432</v>
      </c>
      <c r="AY36" s="125">
        <f>AY26 * ASSUMPTIONS!$K$25</f>
        <v>162432</v>
      </c>
      <c r="AZ36" s="125">
        <f>AZ26 * ASSUMPTIONS!$K$25</f>
        <v>162432</v>
      </c>
      <c r="BA36" s="125">
        <f>BA26 * ASSUMPTIONS!$K$25</f>
        <v>162432</v>
      </c>
      <c r="BB36" s="125">
        <f>BB26 * ASSUMPTIONS!$K$25</f>
        <v>162432</v>
      </c>
      <c r="BC36" s="125">
        <f>BC26 * ASSUMPTIONS!$K$25</f>
        <v>162432</v>
      </c>
      <c r="BD36" s="125">
        <f>BD26 * ASSUMPTIONS!$K$25</f>
        <v>162432</v>
      </c>
      <c r="BE36" s="125">
        <f>BE26 * ASSUMPTIONS!$K$25</f>
        <v>162432</v>
      </c>
      <c r="BF36" s="125">
        <f>BF26 * ASSUMPTIONS!$K$25</f>
        <v>162432</v>
      </c>
      <c r="BG36" s="125">
        <f>BG26 * ASSUMPTIONS!$K$25</f>
        <v>162432</v>
      </c>
      <c r="BH36" s="125">
        <f>BH26 * ASSUMPTIONS!$K$25</f>
        <v>162432</v>
      </c>
      <c r="BI36" s="125">
        <f>BI26 * ASSUMPTIONS!$K$25</f>
        <v>162432</v>
      </c>
      <c r="BJ36" s="125">
        <f>BJ26 * ASSUMPTIONS!$K$25</f>
        <v>162432</v>
      </c>
      <c r="BK36" s="125">
        <f>BK26 * ASSUMPTIONS!$K$25</f>
        <v>162432</v>
      </c>
      <c r="BL36" s="126">
        <f>BL26 * ASSUMPTIONS!$K$25</f>
        <v>162432</v>
      </c>
    </row>
    <row r="37" ht="15.75" customHeight="1">
      <c r="A37" s="64"/>
      <c r="B37" s="64"/>
      <c r="C37" s="64"/>
      <c r="D37" s="127" t="s">
        <v>30</v>
      </c>
      <c r="E37" s="128">
        <f>E27 * ASSUMPTIONS!$K$26</f>
        <v>0</v>
      </c>
      <c r="F37" s="128">
        <f>F27 * ASSUMPTIONS!$K$26</f>
        <v>0</v>
      </c>
      <c r="G37" s="128">
        <f>G27 * ASSUMPTIONS!$K$26</f>
        <v>0</v>
      </c>
      <c r="H37" s="128">
        <f>H27 * ASSUMPTIONS!$K$26</f>
        <v>0</v>
      </c>
      <c r="I37" s="128">
        <f>I27 * ASSUMPTIONS!$K$26</f>
        <v>0</v>
      </c>
      <c r="J37" s="128">
        <f>J27 * ASSUMPTIONS!$K$26</f>
        <v>0</v>
      </c>
      <c r="K37" s="128">
        <f>K27 * ASSUMPTIONS!$K$26</f>
        <v>5076</v>
      </c>
      <c r="L37" s="128">
        <f>L27 * ASSUMPTIONS!$K$26</f>
        <v>5076</v>
      </c>
      <c r="M37" s="128">
        <f>M27 * ASSUMPTIONS!$K$26</f>
        <v>5076</v>
      </c>
      <c r="N37" s="128">
        <f>N27 * ASSUMPTIONS!$K$26</f>
        <v>5076</v>
      </c>
      <c r="O37" s="128">
        <f>O27 * ASSUMPTIONS!$K$26</f>
        <v>5076</v>
      </c>
      <c r="P37" s="128">
        <f>P27 * ASSUMPTIONS!$K$26</f>
        <v>5076</v>
      </c>
      <c r="Q37" s="128">
        <f>Q27 * ASSUMPTIONS!$K$26</f>
        <v>5076</v>
      </c>
      <c r="R37" s="128">
        <f>R27 * ASSUMPTIONS!$K$26</f>
        <v>5076</v>
      </c>
      <c r="S37" s="128">
        <f>S27 * ASSUMPTIONS!$K$26</f>
        <v>5076</v>
      </c>
      <c r="T37" s="128">
        <f>T27 * ASSUMPTIONS!$K$26</f>
        <v>5076</v>
      </c>
      <c r="U37" s="128">
        <f>U27 * ASSUMPTIONS!$K$26</f>
        <v>5076</v>
      </c>
      <c r="V37" s="128">
        <f>V27 * ASSUMPTIONS!$K$26</f>
        <v>5076</v>
      </c>
      <c r="W37" s="128">
        <f>W27 * ASSUMPTIONS!$K$26</f>
        <v>5076</v>
      </c>
      <c r="X37" s="128">
        <f>X27 * ASSUMPTIONS!$K$26</f>
        <v>5076</v>
      </c>
      <c r="Y37" s="128">
        <f>Y27 * ASSUMPTIONS!$K$26</f>
        <v>5076</v>
      </c>
      <c r="Z37" s="128">
        <f>Z27 * ASSUMPTIONS!$K$26</f>
        <v>5076</v>
      </c>
      <c r="AA37" s="128">
        <f>AA27 * ASSUMPTIONS!$K$26</f>
        <v>5076</v>
      </c>
      <c r="AB37" s="128">
        <f>AB27 * ASSUMPTIONS!$K$26</f>
        <v>5076</v>
      </c>
      <c r="AC37" s="128">
        <f>AC27 * ASSUMPTIONS!$K$26</f>
        <v>10152</v>
      </c>
      <c r="AD37" s="128">
        <f>AD27 * ASSUMPTIONS!$K$26</f>
        <v>10152</v>
      </c>
      <c r="AE37" s="128">
        <f>AE27 * ASSUMPTIONS!$K$26</f>
        <v>10152</v>
      </c>
      <c r="AF37" s="128">
        <f>AF27 * ASSUMPTIONS!$K$26</f>
        <v>10152</v>
      </c>
      <c r="AG37" s="128">
        <f>AG27 * ASSUMPTIONS!$K$26</f>
        <v>10152</v>
      </c>
      <c r="AH37" s="128">
        <f>AH27 * ASSUMPTIONS!$K$26</f>
        <v>10152</v>
      </c>
      <c r="AI37" s="128">
        <f>AI27 * ASSUMPTIONS!$K$26</f>
        <v>10152</v>
      </c>
      <c r="AJ37" s="128">
        <f>AJ27 * ASSUMPTIONS!$K$26</f>
        <v>10152</v>
      </c>
      <c r="AK37" s="128">
        <f>AK27 * ASSUMPTIONS!$K$26</f>
        <v>10152</v>
      </c>
      <c r="AL37" s="128">
        <f>AL27 * ASSUMPTIONS!$K$26</f>
        <v>10152</v>
      </c>
      <c r="AM37" s="128">
        <f>AM27 * ASSUMPTIONS!$K$26</f>
        <v>10152</v>
      </c>
      <c r="AN37" s="128">
        <f>AN27 * ASSUMPTIONS!$K$26</f>
        <v>10152</v>
      </c>
      <c r="AO37" s="128">
        <f>AO27 * ASSUMPTIONS!$K$26</f>
        <v>30456</v>
      </c>
      <c r="AP37" s="128">
        <f>AP27 * ASSUMPTIONS!$K$26</f>
        <v>30456</v>
      </c>
      <c r="AQ37" s="128">
        <f>AQ27 * ASSUMPTIONS!$K$26</f>
        <v>30456</v>
      </c>
      <c r="AR37" s="128">
        <f>AR27 * ASSUMPTIONS!$K$26</f>
        <v>30456</v>
      </c>
      <c r="AS37" s="128">
        <f>AS27 * ASSUMPTIONS!$K$26</f>
        <v>30456</v>
      </c>
      <c r="AT37" s="128">
        <f>AT27 * ASSUMPTIONS!$K$26</f>
        <v>30456</v>
      </c>
      <c r="AU37" s="128">
        <f>AU27 * ASSUMPTIONS!$K$26</f>
        <v>30456</v>
      </c>
      <c r="AV37" s="128">
        <f>AV27 * ASSUMPTIONS!$K$26</f>
        <v>30456</v>
      </c>
      <c r="AW37" s="128">
        <f>AW27 * ASSUMPTIONS!$K$26</f>
        <v>30456</v>
      </c>
      <c r="AX37" s="128">
        <f>AX27 * ASSUMPTIONS!$K$26</f>
        <v>30456</v>
      </c>
      <c r="AY37" s="128">
        <f>AY27 * ASSUMPTIONS!$K$26</f>
        <v>30456</v>
      </c>
      <c r="AZ37" s="128">
        <f>AZ27 * ASSUMPTIONS!$K$26</f>
        <v>30456</v>
      </c>
      <c r="BA37" s="128">
        <f>BA27 * ASSUMPTIONS!$K$26</f>
        <v>30456</v>
      </c>
      <c r="BB37" s="128">
        <f>BB27 * ASSUMPTIONS!$K$26</f>
        <v>30456</v>
      </c>
      <c r="BC37" s="128">
        <f>BC27 * ASSUMPTIONS!$K$26</f>
        <v>30456</v>
      </c>
      <c r="BD37" s="128">
        <f>BD27 * ASSUMPTIONS!$K$26</f>
        <v>30456</v>
      </c>
      <c r="BE37" s="128">
        <f>BE27 * ASSUMPTIONS!$K$26</f>
        <v>30456</v>
      </c>
      <c r="BF37" s="128">
        <f>BF27 * ASSUMPTIONS!$K$26</f>
        <v>30456</v>
      </c>
      <c r="BG37" s="128">
        <f>BG27 * ASSUMPTIONS!$K$26</f>
        <v>30456</v>
      </c>
      <c r="BH37" s="128">
        <f>BH27 * ASSUMPTIONS!$K$26</f>
        <v>30456</v>
      </c>
      <c r="BI37" s="128">
        <f>BI27 * ASSUMPTIONS!$K$26</f>
        <v>30456</v>
      </c>
      <c r="BJ37" s="128">
        <f>BJ27 * ASSUMPTIONS!$K$26</f>
        <v>30456</v>
      </c>
      <c r="BK37" s="128">
        <f>BK27 * ASSUMPTIONS!$K$26</f>
        <v>30456</v>
      </c>
      <c r="BL37" s="129">
        <f>BL27 * ASSUMPTIONS!$K$26</f>
        <v>30456</v>
      </c>
    </row>
    <row r="38" ht="15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</row>
    <row r="39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</row>
    <row r="40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</row>
    <row r="41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63"/>
    <col customWidth="1" min="4" max="4" width="26.13"/>
    <col customWidth="1" min="5" max="8" width="12.75"/>
    <col customWidth="1" min="9" max="10" width="14.5"/>
    <col customWidth="1" min="11" max="64" width="15.5"/>
  </cols>
  <sheetData>
    <row r="1" ht="31.5" customHeight="1">
      <c r="A1" s="93" t="str">
        <f>COVER!$B$12</f>
        <v>Narayan Dairy Project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ht="15.75" customHeight="1">
      <c r="A2" s="9" t="s">
        <v>143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ht="15.75" customHeight="1">
      <c r="A3" s="10"/>
      <c r="B3" s="10"/>
      <c r="C3" s="10"/>
      <c r="D3" s="10"/>
      <c r="E3" s="1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ht="15.75" customHeight="1">
      <c r="D4" s="130" t="s">
        <v>9</v>
      </c>
      <c r="E4" s="131" t="s">
        <v>144</v>
      </c>
      <c r="F4" s="131" t="s">
        <v>145</v>
      </c>
      <c r="G4" s="131" t="s">
        <v>52</v>
      </c>
      <c r="H4" s="131" t="s">
        <v>53</v>
      </c>
      <c r="I4" s="132" t="s">
        <v>146</v>
      </c>
    </row>
    <row r="5" ht="1.5" customHeight="1">
      <c r="D5" s="133"/>
      <c r="E5" s="134"/>
      <c r="F5" s="134"/>
      <c r="G5" s="134"/>
      <c r="H5" s="134"/>
      <c r="I5" s="135"/>
    </row>
    <row r="6" ht="1.5" customHeight="1">
      <c r="D6" s="136"/>
      <c r="E6" s="137"/>
      <c r="F6" s="137"/>
      <c r="G6" s="137"/>
      <c r="H6" s="137"/>
      <c r="I6" s="138"/>
    </row>
    <row r="7" ht="15.75" customHeight="1">
      <c r="D7" s="29" t="s">
        <v>147</v>
      </c>
      <c r="I7" s="31"/>
    </row>
    <row r="8" ht="15.75" customHeight="1">
      <c r="D8" s="35" t="s">
        <v>140</v>
      </c>
      <c r="E8" s="30" t="s">
        <v>148</v>
      </c>
      <c r="F8" s="139">
        <v>65.0</v>
      </c>
      <c r="G8" s="55">
        <v>0.08</v>
      </c>
      <c r="H8" s="55">
        <v>0.16</v>
      </c>
      <c r="I8" s="140">
        <f t="shared" ref="I8:I16" si="1">F8 * (1 - G8) * (1 - H8)</f>
        <v>50.232</v>
      </c>
    </row>
    <row r="9" ht="15.75" customHeight="1">
      <c r="D9" s="35" t="s">
        <v>19</v>
      </c>
      <c r="E9" s="30" t="s">
        <v>149</v>
      </c>
      <c r="F9" s="139">
        <v>150.0</v>
      </c>
      <c r="G9" s="55">
        <v>0.1</v>
      </c>
      <c r="H9" s="55">
        <v>0.2</v>
      </c>
      <c r="I9" s="140">
        <f t="shared" si="1"/>
        <v>108</v>
      </c>
    </row>
    <row r="10" ht="15.75" customHeight="1">
      <c r="D10" s="35" t="s">
        <v>22</v>
      </c>
      <c r="E10" s="30" t="s">
        <v>148</v>
      </c>
      <c r="F10" s="139">
        <v>160.0</v>
      </c>
      <c r="G10" s="55">
        <v>0.1</v>
      </c>
      <c r="H10" s="55">
        <v>0.2</v>
      </c>
      <c r="I10" s="140">
        <f t="shared" si="1"/>
        <v>115.2</v>
      </c>
    </row>
    <row r="11" ht="15.75" customHeight="1">
      <c r="D11" s="35" t="s">
        <v>40</v>
      </c>
      <c r="E11" s="30" t="s">
        <v>149</v>
      </c>
      <c r="F11" s="139">
        <v>320.0</v>
      </c>
      <c r="G11" s="55">
        <v>0.05</v>
      </c>
      <c r="H11" s="55">
        <v>0.1</v>
      </c>
      <c r="I11" s="140">
        <f t="shared" si="1"/>
        <v>273.6</v>
      </c>
    </row>
    <row r="12" ht="15.75" customHeight="1">
      <c r="D12" s="35" t="s">
        <v>42</v>
      </c>
      <c r="E12" s="30" t="s">
        <v>149</v>
      </c>
      <c r="F12" s="139">
        <v>600.0</v>
      </c>
      <c r="G12" s="55">
        <v>0.06</v>
      </c>
      <c r="H12" s="55">
        <v>0.14</v>
      </c>
      <c r="I12" s="140">
        <f t="shared" si="1"/>
        <v>485.04</v>
      </c>
    </row>
    <row r="13" ht="15.75" customHeight="1">
      <c r="D13" s="35" t="s">
        <v>44</v>
      </c>
      <c r="E13" s="30" t="s">
        <v>149</v>
      </c>
      <c r="F13" s="139">
        <v>1200.0</v>
      </c>
      <c r="G13" s="55">
        <v>0.08</v>
      </c>
      <c r="H13" s="55">
        <v>0.18</v>
      </c>
      <c r="I13" s="140">
        <f t="shared" si="1"/>
        <v>905.28</v>
      </c>
    </row>
    <row r="14" ht="15.75" customHeight="1">
      <c r="D14" s="35" t="s">
        <v>46</v>
      </c>
      <c r="E14" s="30" t="s">
        <v>148</v>
      </c>
      <c r="F14" s="139">
        <v>900.0</v>
      </c>
      <c r="G14" s="55">
        <v>0.08</v>
      </c>
      <c r="H14" s="55">
        <v>0.18</v>
      </c>
      <c r="I14" s="140">
        <f t="shared" si="1"/>
        <v>678.96</v>
      </c>
    </row>
    <row r="15" ht="15.75" customHeight="1">
      <c r="D15" s="35" t="s">
        <v>28</v>
      </c>
      <c r="E15" s="30" t="s">
        <v>149</v>
      </c>
      <c r="F15" s="139">
        <v>100.0</v>
      </c>
      <c r="G15" s="55">
        <v>0.08</v>
      </c>
      <c r="H15" s="55">
        <v>0.18</v>
      </c>
      <c r="I15" s="140">
        <f t="shared" si="1"/>
        <v>75.44</v>
      </c>
    </row>
    <row r="16" ht="15.75" customHeight="1">
      <c r="D16" s="47" t="s">
        <v>30</v>
      </c>
      <c r="E16" s="48" t="s">
        <v>149</v>
      </c>
      <c r="F16" s="141">
        <v>600.0</v>
      </c>
      <c r="G16" s="142">
        <v>0.1</v>
      </c>
      <c r="H16" s="142">
        <v>0.2</v>
      </c>
      <c r="I16" s="143">
        <f t="shared" si="1"/>
        <v>432</v>
      </c>
    </row>
    <row r="17" ht="15.75" customHeight="1"/>
    <row r="18" ht="15.75" customHeight="1">
      <c r="D18" s="130" t="s">
        <v>150</v>
      </c>
      <c r="E18" s="131">
        <v>1.0</v>
      </c>
      <c r="F18" s="131">
        <v>2.0</v>
      </c>
      <c r="G18" s="131">
        <v>3.0</v>
      </c>
      <c r="H18" s="131">
        <v>4.0</v>
      </c>
      <c r="I18" s="132">
        <v>5.0</v>
      </c>
    </row>
    <row r="19" ht="1.5" customHeight="1">
      <c r="D19" s="133"/>
      <c r="E19" s="134"/>
      <c r="F19" s="134"/>
      <c r="G19" s="134"/>
      <c r="H19" s="134"/>
      <c r="I19" s="135"/>
    </row>
    <row r="20" ht="1.5" customHeight="1">
      <c r="D20" s="136"/>
      <c r="E20" s="137"/>
      <c r="F20" s="137"/>
      <c r="G20" s="137"/>
      <c r="H20" s="137"/>
      <c r="I20" s="138"/>
    </row>
    <row r="21" ht="15.75" customHeight="1">
      <c r="D21" s="29" t="s">
        <v>151</v>
      </c>
      <c r="I21" s="31"/>
    </row>
    <row r="22" ht="15.75" customHeight="1">
      <c r="D22" s="35" t="s">
        <v>140</v>
      </c>
      <c r="E22" s="30">
        <f t="shared" ref="E22:E30" si="2">1</f>
        <v>1</v>
      </c>
      <c r="F22" s="30">
        <f>E22 * (1 + ASSUMPTIONS!$E$56)</f>
        <v>1.03</v>
      </c>
      <c r="G22" s="30">
        <f>F22 * (1 + ASSUMPTIONS!$E$56)</f>
        <v>1.0609</v>
      </c>
      <c r="H22" s="30">
        <f>G22 * (1 + ASSUMPTIONS!$E$56)</f>
        <v>1.092727</v>
      </c>
      <c r="I22" s="31">
        <f>H22 * (1 + ASSUMPTIONS!$E$56)</f>
        <v>1.12550881</v>
      </c>
    </row>
    <row r="23" ht="15.75" customHeight="1">
      <c r="D23" s="35" t="s">
        <v>19</v>
      </c>
      <c r="E23" s="30">
        <f t="shared" si="2"/>
        <v>1</v>
      </c>
      <c r="F23" s="30">
        <f>E23 * ( 1 + ASSUMPTIONS!$E$57)</f>
        <v>1.05</v>
      </c>
      <c r="G23" s="30">
        <f>F23 * ( 1 + ASSUMPTIONS!$E$57)</f>
        <v>1.1025</v>
      </c>
      <c r="H23" s="30">
        <f>G23 * ( 1 + ASSUMPTIONS!$E$57)</f>
        <v>1.157625</v>
      </c>
      <c r="I23" s="31">
        <f>H23 * ( 1 + ASSUMPTIONS!$E$57)</f>
        <v>1.21550625</v>
      </c>
    </row>
    <row r="24" ht="15.75" customHeight="1">
      <c r="D24" s="35" t="s">
        <v>22</v>
      </c>
      <c r="E24" s="30">
        <f t="shared" si="2"/>
        <v>1</v>
      </c>
      <c r="F24" s="30">
        <f>E24 * ( 1 + ASSUMPTIONS!$E$57)</f>
        <v>1.05</v>
      </c>
      <c r="G24" s="30">
        <f>F24 * ( 1 + ASSUMPTIONS!$E$57)</f>
        <v>1.1025</v>
      </c>
      <c r="H24" s="30">
        <f>G24 * ( 1 + ASSUMPTIONS!$E$57)</f>
        <v>1.157625</v>
      </c>
      <c r="I24" s="31">
        <f>H24 * ( 1 + ASSUMPTIONS!$E$57)</f>
        <v>1.21550625</v>
      </c>
    </row>
    <row r="25" ht="15.75" customHeight="1">
      <c r="D25" s="35" t="s">
        <v>40</v>
      </c>
      <c r="E25" s="30">
        <f t="shared" si="2"/>
        <v>1</v>
      </c>
      <c r="F25" s="30">
        <f>E25 * ( 1 + ASSUMPTIONS!$E$58)</f>
        <v>1.06</v>
      </c>
      <c r="G25" s="30">
        <f>F25 * ( 1 + ASSUMPTIONS!$E$58)</f>
        <v>1.1236</v>
      </c>
      <c r="H25" s="30">
        <f>G25 * ( 1 + ASSUMPTIONS!$E$58)</f>
        <v>1.191016</v>
      </c>
      <c r="I25" s="31">
        <f>H25 * ( 1 + ASSUMPTIONS!$E$58)</f>
        <v>1.26247696</v>
      </c>
    </row>
    <row r="26" ht="15.75" customHeight="1">
      <c r="D26" s="35" t="s">
        <v>42</v>
      </c>
      <c r="E26" s="30">
        <f t="shared" si="2"/>
        <v>1</v>
      </c>
      <c r="F26" s="30">
        <f>E26 * ( 1 + ASSUMPTIONS!$E$57)</f>
        <v>1.05</v>
      </c>
      <c r="G26" s="30">
        <f>F26 * ( 1 + ASSUMPTIONS!$E$57)</f>
        <v>1.1025</v>
      </c>
      <c r="H26" s="30">
        <f>G26 * ( 1 + ASSUMPTIONS!$E$57)</f>
        <v>1.157625</v>
      </c>
      <c r="I26" s="31">
        <f>H26 * ( 1 + ASSUMPTIONS!$E$57)</f>
        <v>1.21550625</v>
      </c>
    </row>
    <row r="27" ht="15.75" customHeight="1">
      <c r="D27" s="35" t="s">
        <v>44</v>
      </c>
      <c r="E27" s="30">
        <f t="shared" si="2"/>
        <v>1</v>
      </c>
      <c r="F27" s="30">
        <f>E27 * ( 1 + ASSUMPTIONS!$E$58)</f>
        <v>1.06</v>
      </c>
      <c r="G27" s="30">
        <f>F27 * ( 1 + ASSUMPTIONS!$E$58)</f>
        <v>1.1236</v>
      </c>
      <c r="H27" s="30">
        <f>G27 * ( 1 + ASSUMPTIONS!$E$58)</f>
        <v>1.191016</v>
      </c>
      <c r="I27" s="31">
        <f>H27 * ( 1 + ASSUMPTIONS!$E$58)</f>
        <v>1.26247696</v>
      </c>
    </row>
    <row r="28" ht="15.75" customHeight="1">
      <c r="D28" s="35" t="s">
        <v>46</v>
      </c>
      <c r="E28" s="30">
        <f t="shared" si="2"/>
        <v>1</v>
      </c>
      <c r="F28" s="30">
        <f>E28 * ( 1 + ASSUMPTIONS!$E$57)</f>
        <v>1.05</v>
      </c>
      <c r="G28" s="30">
        <f>F28 * ( 1 + ASSUMPTIONS!$E$57)</f>
        <v>1.1025</v>
      </c>
      <c r="H28" s="30">
        <f>G28 * ( 1 + ASSUMPTIONS!$E$57)</f>
        <v>1.157625</v>
      </c>
      <c r="I28" s="31">
        <f>H28 * ( 1 + ASSUMPTIONS!$E$57)</f>
        <v>1.21550625</v>
      </c>
    </row>
    <row r="29" ht="15.75" customHeight="1">
      <c r="D29" s="35" t="s">
        <v>28</v>
      </c>
      <c r="E29" s="30">
        <f t="shared" si="2"/>
        <v>1</v>
      </c>
      <c r="F29" s="30">
        <f>E29 * ( 1 + ASSUMPTIONS!$E$57)</f>
        <v>1.05</v>
      </c>
      <c r="G29" s="30">
        <f>F29 * ( 1 + ASSUMPTIONS!$E$57)</f>
        <v>1.1025</v>
      </c>
      <c r="H29" s="30">
        <f>G29 * ( 1 + ASSUMPTIONS!$E$57)</f>
        <v>1.157625</v>
      </c>
      <c r="I29" s="31">
        <f>H29 * ( 1 + ASSUMPTIONS!$E$57)</f>
        <v>1.21550625</v>
      </c>
    </row>
    <row r="30" ht="15.75" customHeight="1">
      <c r="D30" s="47" t="s">
        <v>30</v>
      </c>
      <c r="E30" s="48">
        <f t="shared" si="2"/>
        <v>1</v>
      </c>
      <c r="F30" s="48">
        <f>E30 * ( 1 + ASSUMPTIONS!$E$58)</f>
        <v>1.06</v>
      </c>
      <c r="G30" s="48">
        <f>F30 * ( 1 + ASSUMPTIONS!$E$58)</f>
        <v>1.1236</v>
      </c>
      <c r="H30" s="48">
        <f>G30 * ( 1 + ASSUMPTIONS!$E$58)</f>
        <v>1.191016</v>
      </c>
      <c r="I30" s="144">
        <f>H30 * ( 1 + ASSUMPTIONS!$E$58)</f>
        <v>1.26247696</v>
      </c>
    </row>
    <row r="31" ht="15.75" customHeight="1"/>
    <row r="32" ht="15.75" customHeight="1"/>
    <row r="33" ht="15.75" customHeight="1">
      <c r="D33" s="145" t="s">
        <v>152</v>
      </c>
      <c r="E33" s="146">
        <v>1.0</v>
      </c>
      <c r="F33" s="146">
        <f t="shared" ref="F33:BL33" si="3">E33+1</f>
        <v>2</v>
      </c>
      <c r="G33" s="146">
        <f t="shared" si="3"/>
        <v>3</v>
      </c>
      <c r="H33" s="146">
        <f t="shared" si="3"/>
        <v>4</v>
      </c>
      <c r="I33" s="146">
        <f t="shared" si="3"/>
        <v>5</v>
      </c>
      <c r="J33" s="146">
        <f t="shared" si="3"/>
        <v>6</v>
      </c>
      <c r="K33" s="146">
        <f t="shared" si="3"/>
        <v>7</v>
      </c>
      <c r="L33" s="146">
        <f t="shared" si="3"/>
        <v>8</v>
      </c>
      <c r="M33" s="146">
        <f t="shared" si="3"/>
        <v>9</v>
      </c>
      <c r="N33" s="146">
        <f t="shared" si="3"/>
        <v>10</v>
      </c>
      <c r="O33" s="146">
        <f t="shared" si="3"/>
        <v>11</v>
      </c>
      <c r="P33" s="146">
        <f t="shared" si="3"/>
        <v>12</v>
      </c>
      <c r="Q33" s="146">
        <f t="shared" si="3"/>
        <v>13</v>
      </c>
      <c r="R33" s="146">
        <f t="shared" si="3"/>
        <v>14</v>
      </c>
      <c r="S33" s="146">
        <f t="shared" si="3"/>
        <v>15</v>
      </c>
      <c r="T33" s="146">
        <f t="shared" si="3"/>
        <v>16</v>
      </c>
      <c r="U33" s="146">
        <f t="shared" si="3"/>
        <v>17</v>
      </c>
      <c r="V33" s="146">
        <f t="shared" si="3"/>
        <v>18</v>
      </c>
      <c r="W33" s="146">
        <f t="shared" si="3"/>
        <v>19</v>
      </c>
      <c r="X33" s="146">
        <f t="shared" si="3"/>
        <v>20</v>
      </c>
      <c r="Y33" s="146">
        <f t="shared" si="3"/>
        <v>21</v>
      </c>
      <c r="Z33" s="146">
        <f t="shared" si="3"/>
        <v>22</v>
      </c>
      <c r="AA33" s="146">
        <f t="shared" si="3"/>
        <v>23</v>
      </c>
      <c r="AB33" s="146">
        <f t="shared" si="3"/>
        <v>24</v>
      </c>
      <c r="AC33" s="146">
        <f t="shared" si="3"/>
        <v>25</v>
      </c>
      <c r="AD33" s="146">
        <f t="shared" si="3"/>
        <v>26</v>
      </c>
      <c r="AE33" s="146">
        <f t="shared" si="3"/>
        <v>27</v>
      </c>
      <c r="AF33" s="146">
        <f t="shared" si="3"/>
        <v>28</v>
      </c>
      <c r="AG33" s="146">
        <f t="shared" si="3"/>
        <v>29</v>
      </c>
      <c r="AH33" s="146">
        <f t="shared" si="3"/>
        <v>30</v>
      </c>
      <c r="AI33" s="146">
        <f t="shared" si="3"/>
        <v>31</v>
      </c>
      <c r="AJ33" s="146">
        <f t="shared" si="3"/>
        <v>32</v>
      </c>
      <c r="AK33" s="146">
        <f t="shared" si="3"/>
        <v>33</v>
      </c>
      <c r="AL33" s="146">
        <f t="shared" si="3"/>
        <v>34</v>
      </c>
      <c r="AM33" s="146">
        <f t="shared" si="3"/>
        <v>35</v>
      </c>
      <c r="AN33" s="146">
        <f t="shared" si="3"/>
        <v>36</v>
      </c>
      <c r="AO33" s="146">
        <f t="shared" si="3"/>
        <v>37</v>
      </c>
      <c r="AP33" s="146">
        <f t="shared" si="3"/>
        <v>38</v>
      </c>
      <c r="AQ33" s="146">
        <f t="shared" si="3"/>
        <v>39</v>
      </c>
      <c r="AR33" s="146">
        <f t="shared" si="3"/>
        <v>40</v>
      </c>
      <c r="AS33" s="146">
        <f t="shared" si="3"/>
        <v>41</v>
      </c>
      <c r="AT33" s="146">
        <f t="shared" si="3"/>
        <v>42</v>
      </c>
      <c r="AU33" s="146">
        <f t="shared" si="3"/>
        <v>43</v>
      </c>
      <c r="AV33" s="146">
        <f t="shared" si="3"/>
        <v>44</v>
      </c>
      <c r="AW33" s="146">
        <f t="shared" si="3"/>
        <v>45</v>
      </c>
      <c r="AX33" s="146">
        <f t="shared" si="3"/>
        <v>46</v>
      </c>
      <c r="AY33" s="146">
        <f t="shared" si="3"/>
        <v>47</v>
      </c>
      <c r="AZ33" s="146">
        <f t="shared" si="3"/>
        <v>48</v>
      </c>
      <c r="BA33" s="146">
        <f t="shared" si="3"/>
        <v>49</v>
      </c>
      <c r="BB33" s="146">
        <f t="shared" si="3"/>
        <v>50</v>
      </c>
      <c r="BC33" s="146">
        <f t="shared" si="3"/>
        <v>51</v>
      </c>
      <c r="BD33" s="146">
        <f t="shared" si="3"/>
        <v>52</v>
      </c>
      <c r="BE33" s="146">
        <f t="shared" si="3"/>
        <v>53</v>
      </c>
      <c r="BF33" s="146">
        <f t="shared" si="3"/>
        <v>54</v>
      </c>
      <c r="BG33" s="146">
        <f t="shared" si="3"/>
        <v>55</v>
      </c>
      <c r="BH33" s="146">
        <f t="shared" si="3"/>
        <v>56</v>
      </c>
      <c r="BI33" s="146">
        <f t="shared" si="3"/>
        <v>57</v>
      </c>
      <c r="BJ33" s="146">
        <f t="shared" si="3"/>
        <v>58</v>
      </c>
      <c r="BK33" s="146">
        <f t="shared" si="3"/>
        <v>59</v>
      </c>
      <c r="BL33" s="147">
        <f t="shared" si="3"/>
        <v>60</v>
      </c>
    </row>
    <row r="34" ht="1.5" customHeight="1">
      <c r="D34" s="148"/>
      <c r="E34" s="18"/>
      <c r="F34" s="18"/>
      <c r="G34" s="18"/>
      <c r="H34" s="18"/>
      <c r="I34" s="18"/>
      <c r="J34" s="18"/>
      <c r="K34" s="18"/>
      <c r="L34" s="18"/>
      <c r="M34" s="149"/>
      <c r="N34" s="14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49"/>
      <c r="BK34" s="149"/>
      <c r="BL34" s="150"/>
    </row>
    <row r="35" ht="1.5" customHeight="1">
      <c r="D35" s="148"/>
      <c r="E35" s="24"/>
      <c r="F35" s="24"/>
      <c r="G35" s="24"/>
      <c r="H35" s="24"/>
      <c r="I35" s="24"/>
      <c r="J35" s="24"/>
      <c r="K35" s="24"/>
      <c r="L35" s="24"/>
      <c r="M35" s="151"/>
      <c r="N35" s="151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151"/>
      <c r="BK35" s="151"/>
      <c r="BL35" s="152"/>
    </row>
    <row r="36" ht="15.75" customHeight="1">
      <c r="D36" s="148"/>
      <c r="E36" s="146">
        <f t="shared" ref="E36:BL36" si="4">INT((E33-1)/12)+1</f>
        <v>1</v>
      </c>
      <c r="F36" s="146">
        <f t="shared" si="4"/>
        <v>1</v>
      </c>
      <c r="G36" s="146">
        <f t="shared" si="4"/>
        <v>1</v>
      </c>
      <c r="H36" s="146">
        <f t="shared" si="4"/>
        <v>1</v>
      </c>
      <c r="I36" s="146">
        <f t="shared" si="4"/>
        <v>1</v>
      </c>
      <c r="J36" s="146">
        <f t="shared" si="4"/>
        <v>1</v>
      </c>
      <c r="K36" s="146">
        <f t="shared" si="4"/>
        <v>1</v>
      </c>
      <c r="L36" s="146">
        <f t="shared" si="4"/>
        <v>1</v>
      </c>
      <c r="M36" s="146">
        <f t="shared" si="4"/>
        <v>1</v>
      </c>
      <c r="N36" s="146">
        <f t="shared" si="4"/>
        <v>1</v>
      </c>
      <c r="O36" s="146">
        <f t="shared" si="4"/>
        <v>1</v>
      </c>
      <c r="P36" s="146">
        <f t="shared" si="4"/>
        <v>1</v>
      </c>
      <c r="Q36" s="146">
        <f t="shared" si="4"/>
        <v>2</v>
      </c>
      <c r="R36" s="146">
        <f t="shared" si="4"/>
        <v>2</v>
      </c>
      <c r="S36" s="146">
        <f t="shared" si="4"/>
        <v>2</v>
      </c>
      <c r="T36" s="146">
        <f t="shared" si="4"/>
        <v>2</v>
      </c>
      <c r="U36" s="146">
        <f t="shared" si="4"/>
        <v>2</v>
      </c>
      <c r="V36" s="146">
        <f t="shared" si="4"/>
        <v>2</v>
      </c>
      <c r="W36" s="146">
        <f t="shared" si="4"/>
        <v>2</v>
      </c>
      <c r="X36" s="146">
        <f t="shared" si="4"/>
        <v>2</v>
      </c>
      <c r="Y36" s="146">
        <f t="shared" si="4"/>
        <v>2</v>
      </c>
      <c r="Z36" s="146">
        <f t="shared" si="4"/>
        <v>2</v>
      </c>
      <c r="AA36" s="146">
        <f t="shared" si="4"/>
        <v>2</v>
      </c>
      <c r="AB36" s="146">
        <f t="shared" si="4"/>
        <v>2</v>
      </c>
      <c r="AC36" s="146">
        <f t="shared" si="4"/>
        <v>3</v>
      </c>
      <c r="AD36" s="146">
        <f t="shared" si="4"/>
        <v>3</v>
      </c>
      <c r="AE36" s="146">
        <f t="shared" si="4"/>
        <v>3</v>
      </c>
      <c r="AF36" s="146">
        <f t="shared" si="4"/>
        <v>3</v>
      </c>
      <c r="AG36" s="146">
        <f t="shared" si="4"/>
        <v>3</v>
      </c>
      <c r="AH36" s="146">
        <f t="shared" si="4"/>
        <v>3</v>
      </c>
      <c r="AI36" s="146">
        <f t="shared" si="4"/>
        <v>3</v>
      </c>
      <c r="AJ36" s="146">
        <f t="shared" si="4"/>
        <v>3</v>
      </c>
      <c r="AK36" s="146">
        <f t="shared" si="4"/>
        <v>3</v>
      </c>
      <c r="AL36" s="146">
        <f t="shared" si="4"/>
        <v>3</v>
      </c>
      <c r="AM36" s="146">
        <f t="shared" si="4"/>
        <v>3</v>
      </c>
      <c r="AN36" s="146">
        <f t="shared" si="4"/>
        <v>3</v>
      </c>
      <c r="AO36" s="146">
        <f t="shared" si="4"/>
        <v>4</v>
      </c>
      <c r="AP36" s="146">
        <f t="shared" si="4"/>
        <v>4</v>
      </c>
      <c r="AQ36" s="146">
        <f t="shared" si="4"/>
        <v>4</v>
      </c>
      <c r="AR36" s="146">
        <f t="shared" si="4"/>
        <v>4</v>
      </c>
      <c r="AS36" s="146">
        <f t="shared" si="4"/>
        <v>4</v>
      </c>
      <c r="AT36" s="146">
        <f t="shared" si="4"/>
        <v>4</v>
      </c>
      <c r="AU36" s="146">
        <f t="shared" si="4"/>
        <v>4</v>
      </c>
      <c r="AV36" s="146">
        <f t="shared" si="4"/>
        <v>4</v>
      </c>
      <c r="AW36" s="146">
        <f t="shared" si="4"/>
        <v>4</v>
      </c>
      <c r="AX36" s="146">
        <f t="shared" si="4"/>
        <v>4</v>
      </c>
      <c r="AY36" s="146">
        <f t="shared" si="4"/>
        <v>4</v>
      </c>
      <c r="AZ36" s="146">
        <f t="shared" si="4"/>
        <v>4</v>
      </c>
      <c r="BA36" s="146">
        <f t="shared" si="4"/>
        <v>5</v>
      </c>
      <c r="BB36" s="146">
        <f t="shared" si="4"/>
        <v>5</v>
      </c>
      <c r="BC36" s="146">
        <f t="shared" si="4"/>
        <v>5</v>
      </c>
      <c r="BD36" s="146">
        <f t="shared" si="4"/>
        <v>5</v>
      </c>
      <c r="BE36" s="146">
        <f t="shared" si="4"/>
        <v>5</v>
      </c>
      <c r="BF36" s="146">
        <f t="shared" si="4"/>
        <v>5</v>
      </c>
      <c r="BG36" s="146">
        <f t="shared" si="4"/>
        <v>5</v>
      </c>
      <c r="BH36" s="146">
        <f t="shared" si="4"/>
        <v>5</v>
      </c>
      <c r="BI36" s="146">
        <f t="shared" si="4"/>
        <v>5</v>
      </c>
      <c r="BJ36" s="146">
        <f t="shared" si="4"/>
        <v>5</v>
      </c>
      <c r="BK36" s="146">
        <f t="shared" si="4"/>
        <v>5</v>
      </c>
      <c r="BL36" s="147">
        <f t="shared" si="4"/>
        <v>5</v>
      </c>
    </row>
    <row r="37" ht="1.5" customHeight="1"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9"/>
    </row>
    <row r="38" ht="15.75" customHeight="1">
      <c r="D38" s="29" t="s">
        <v>153</v>
      </c>
      <c r="BL38" s="31"/>
    </row>
    <row r="39" ht="15.75" customHeight="1">
      <c r="D39" s="35" t="s">
        <v>140</v>
      </c>
      <c r="E39" s="64">
        <f>'MILK FLOW ENGINE'!E29</f>
        <v>0</v>
      </c>
      <c r="F39" s="64">
        <f>'MILK FLOW ENGINE'!F29</f>
        <v>0</v>
      </c>
      <c r="G39" s="64">
        <f>'MILK FLOW ENGINE'!G29</f>
        <v>0</v>
      </c>
      <c r="H39" s="64">
        <f>'MILK FLOW ENGINE'!H29</f>
        <v>0</v>
      </c>
      <c r="I39" s="64">
        <f>'MILK FLOW ENGINE'!I29</f>
        <v>47520</v>
      </c>
      <c r="J39" s="64">
        <f>'MILK FLOW ENGINE'!J29</f>
        <v>95040</v>
      </c>
      <c r="K39" s="64">
        <f>'MILK FLOW ENGINE'!K29</f>
        <v>142560</v>
      </c>
      <c r="L39" s="64">
        <f>'MILK FLOW ENGINE'!L29</f>
        <v>190080</v>
      </c>
      <c r="M39" s="64">
        <f>'MILK FLOW ENGINE'!M29</f>
        <v>237600</v>
      </c>
      <c r="N39" s="64">
        <f>'MILK FLOW ENGINE'!N29</f>
        <v>285120</v>
      </c>
      <c r="O39" s="64">
        <f>'MILK FLOW ENGINE'!O29</f>
        <v>332640</v>
      </c>
      <c r="P39" s="64">
        <f>'MILK FLOW ENGINE'!P29</f>
        <v>380160</v>
      </c>
      <c r="Q39" s="64">
        <f>'MILK FLOW ENGINE'!Q29</f>
        <v>427680</v>
      </c>
      <c r="R39" s="64">
        <f>'MILK FLOW ENGINE'!R29</f>
        <v>475200</v>
      </c>
      <c r="S39" s="64">
        <f>'MILK FLOW ENGINE'!S29</f>
        <v>522720</v>
      </c>
      <c r="T39" s="64">
        <f>'MILK FLOW ENGINE'!T29</f>
        <v>570240</v>
      </c>
      <c r="U39" s="64">
        <f>'MILK FLOW ENGINE'!U29</f>
        <v>617760</v>
      </c>
      <c r="V39" s="64">
        <f>'MILK FLOW ENGINE'!V29</f>
        <v>665280</v>
      </c>
      <c r="W39" s="64">
        <f>'MILK FLOW ENGINE'!W29</f>
        <v>712800</v>
      </c>
      <c r="X39" s="64">
        <f>'MILK FLOW ENGINE'!X29</f>
        <v>760320</v>
      </c>
      <c r="Y39" s="64">
        <f>'MILK FLOW ENGINE'!Y29</f>
        <v>807840</v>
      </c>
      <c r="Z39" s="64">
        <f>'MILK FLOW ENGINE'!Z29</f>
        <v>855360</v>
      </c>
      <c r="AA39" s="64">
        <f>'MILK FLOW ENGINE'!AA29</f>
        <v>902880</v>
      </c>
      <c r="AB39" s="64">
        <f>'MILK FLOW ENGINE'!AB29</f>
        <v>950400</v>
      </c>
      <c r="AC39" s="64">
        <f>'MILK FLOW ENGINE'!AC29</f>
        <v>997920</v>
      </c>
      <c r="AD39" s="64">
        <f>'MILK FLOW ENGINE'!AD29</f>
        <v>1045440</v>
      </c>
      <c r="AE39" s="64">
        <f>'MILK FLOW ENGINE'!AE29</f>
        <v>1092960</v>
      </c>
      <c r="AF39" s="64">
        <f>'MILK FLOW ENGINE'!AF29</f>
        <v>1140480</v>
      </c>
      <c r="AG39" s="64">
        <f>'MILK FLOW ENGINE'!AG29</f>
        <v>1188000</v>
      </c>
      <c r="AH39" s="64">
        <f>'MILK FLOW ENGINE'!AH29</f>
        <v>1235520</v>
      </c>
      <c r="AI39" s="64">
        <f>'MILK FLOW ENGINE'!AI29</f>
        <v>1283040</v>
      </c>
      <c r="AJ39" s="64">
        <f>'MILK FLOW ENGINE'!AJ29</f>
        <v>1330560</v>
      </c>
      <c r="AK39" s="64">
        <f>'MILK FLOW ENGINE'!AK29</f>
        <v>1378080</v>
      </c>
      <c r="AL39" s="64">
        <f>'MILK FLOW ENGINE'!AL29</f>
        <v>1425600</v>
      </c>
      <c r="AM39" s="64">
        <f>'MILK FLOW ENGINE'!AM29</f>
        <v>1473120</v>
      </c>
      <c r="AN39" s="64">
        <f>'MILK FLOW ENGINE'!AN29</f>
        <v>1520640</v>
      </c>
      <c r="AO39" s="64">
        <f>'MILK FLOW ENGINE'!AO29</f>
        <v>1663200</v>
      </c>
      <c r="AP39" s="64">
        <f>'MILK FLOW ENGINE'!AP29</f>
        <v>1805760</v>
      </c>
      <c r="AQ39" s="64">
        <f>'MILK FLOW ENGINE'!AQ29</f>
        <v>1948320</v>
      </c>
      <c r="AR39" s="64">
        <f>'MILK FLOW ENGINE'!AR29</f>
        <v>2090880</v>
      </c>
      <c r="AS39" s="64">
        <f>'MILK FLOW ENGINE'!AS29</f>
        <v>2233440</v>
      </c>
      <c r="AT39" s="64">
        <f>'MILK FLOW ENGINE'!AT29</f>
        <v>2376000</v>
      </c>
      <c r="AU39" s="64">
        <f>'MILK FLOW ENGINE'!AU29</f>
        <v>2518560</v>
      </c>
      <c r="AV39" s="64">
        <f>'MILK FLOW ENGINE'!AV29</f>
        <v>2661120</v>
      </c>
      <c r="AW39" s="64">
        <f>'MILK FLOW ENGINE'!AW29</f>
        <v>2661120</v>
      </c>
      <c r="AX39" s="64">
        <f>'MILK FLOW ENGINE'!AX29</f>
        <v>2661120</v>
      </c>
      <c r="AY39" s="64">
        <f>'MILK FLOW ENGINE'!AY29</f>
        <v>2661120</v>
      </c>
      <c r="AZ39" s="64">
        <f>'MILK FLOW ENGINE'!AZ29</f>
        <v>2661120</v>
      </c>
      <c r="BA39" s="64">
        <f>'MILK FLOW ENGINE'!BA29</f>
        <v>2661120</v>
      </c>
      <c r="BB39" s="64">
        <f>'MILK FLOW ENGINE'!BB29</f>
        <v>2661120</v>
      </c>
      <c r="BC39" s="64">
        <f>'MILK FLOW ENGINE'!BC29</f>
        <v>2661120</v>
      </c>
      <c r="BD39" s="64">
        <f>'MILK FLOW ENGINE'!BD29</f>
        <v>2661120</v>
      </c>
      <c r="BE39" s="64">
        <f>'MILK FLOW ENGINE'!BE29</f>
        <v>2661120</v>
      </c>
      <c r="BF39" s="64">
        <f>'MILK FLOW ENGINE'!BF29</f>
        <v>2661120</v>
      </c>
      <c r="BG39" s="64">
        <f>'MILK FLOW ENGINE'!BG29</f>
        <v>2661120</v>
      </c>
      <c r="BH39" s="64">
        <f>'MILK FLOW ENGINE'!BH29</f>
        <v>2661120</v>
      </c>
      <c r="BI39" s="64">
        <f>'MILK FLOW ENGINE'!BI29</f>
        <v>2661120</v>
      </c>
      <c r="BJ39" s="64">
        <f>'MILK FLOW ENGINE'!BJ29</f>
        <v>2661120</v>
      </c>
      <c r="BK39" s="64">
        <f>'MILK FLOW ENGINE'!BK29</f>
        <v>2661120</v>
      </c>
      <c r="BL39" s="65">
        <f>'MILK FLOW ENGINE'!BL29</f>
        <v>2661120</v>
      </c>
    </row>
    <row r="40" ht="15.75" customHeight="1">
      <c r="D40" s="35" t="s">
        <v>19</v>
      </c>
      <c r="E40" s="64">
        <f>'MILK FLOW ENGINE'!E30</f>
        <v>0</v>
      </c>
      <c r="F40" s="64">
        <f>'MILK FLOW ENGINE'!F30</f>
        <v>0</v>
      </c>
      <c r="G40" s="64">
        <f>'MILK FLOW ENGINE'!G30</f>
        <v>0</v>
      </c>
      <c r="H40" s="64">
        <f>'MILK FLOW ENGINE'!H30</f>
        <v>0</v>
      </c>
      <c r="I40" s="64">
        <f>'MILK FLOW ENGINE'!I30</f>
        <v>0</v>
      </c>
      <c r="J40" s="64">
        <f>'MILK FLOW ENGINE'!J30</f>
        <v>0</v>
      </c>
      <c r="K40" s="64">
        <f>'MILK FLOW ENGINE'!K30</f>
        <v>13536</v>
      </c>
      <c r="L40" s="64">
        <f>'MILK FLOW ENGINE'!L30</f>
        <v>13536</v>
      </c>
      <c r="M40" s="64">
        <f>'MILK FLOW ENGINE'!M30</f>
        <v>13536</v>
      </c>
      <c r="N40" s="64">
        <f>'MILK FLOW ENGINE'!N30</f>
        <v>13536</v>
      </c>
      <c r="O40" s="64">
        <f>'MILK FLOW ENGINE'!O30</f>
        <v>13536</v>
      </c>
      <c r="P40" s="64">
        <f>'MILK FLOW ENGINE'!P30</f>
        <v>13536</v>
      </c>
      <c r="Q40" s="64">
        <f>'MILK FLOW ENGINE'!Q30</f>
        <v>13536</v>
      </c>
      <c r="R40" s="64">
        <f>'MILK FLOW ENGINE'!R30</f>
        <v>13536</v>
      </c>
      <c r="S40" s="64">
        <f>'MILK FLOW ENGINE'!S30</f>
        <v>13536</v>
      </c>
      <c r="T40" s="64">
        <f>'MILK FLOW ENGINE'!T30</f>
        <v>13536</v>
      </c>
      <c r="U40" s="64">
        <f>'MILK FLOW ENGINE'!U30</f>
        <v>13536</v>
      </c>
      <c r="V40" s="64">
        <f>'MILK FLOW ENGINE'!V30</f>
        <v>13536</v>
      </c>
      <c r="W40" s="64">
        <f>'MILK FLOW ENGINE'!W30</f>
        <v>13536</v>
      </c>
      <c r="X40" s="64">
        <f>'MILK FLOW ENGINE'!X30</f>
        <v>13536</v>
      </c>
      <c r="Y40" s="64">
        <f>'MILK FLOW ENGINE'!Y30</f>
        <v>13536</v>
      </c>
      <c r="Z40" s="64">
        <f>'MILK FLOW ENGINE'!Z30</f>
        <v>13536</v>
      </c>
      <c r="AA40" s="64">
        <f>'MILK FLOW ENGINE'!AA30</f>
        <v>13536</v>
      </c>
      <c r="AB40" s="64">
        <f>'MILK FLOW ENGINE'!AB30</f>
        <v>13536</v>
      </c>
      <c r="AC40" s="64">
        <f>'MILK FLOW ENGINE'!AC30</f>
        <v>27072</v>
      </c>
      <c r="AD40" s="64">
        <f>'MILK FLOW ENGINE'!AD30</f>
        <v>27072</v>
      </c>
      <c r="AE40" s="64">
        <f>'MILK FLOW ENGINE'!AE30</f>
        <v>27072</v>
      </c>
      <c r="AF40" s="64">
        <f>'MILK FLOW ENGINE'!AF30</f>
        <v>27072</v>
      </c>
      <c r="AG40" s="64">
        <f>'MILK FLOW ENGINE'!AG30</f>
        <v>27072</v>
      </c>
      <c r="AH40" s="64">
        <f>'MILK FLOW ENGINE'!AH30</f>
        <v>27072</v>
      </c>
      <c r="AI40" s="64">
        <f>'MILK FLOW ENGINE'!AI30</f>
        <v>27072</v>
      </c>
      <c r="AJ40" s="64">
        <f>'MILK FLOW ENGINE'!AJ30</f>
        <v>27072</v>
      </c>
      <c r="AK40" s="64">
        <f>'MILK FLOW ENGINE'!AK30</f>
        <v>27072</v>
      </c>
      <c r="AL40" s="64">
        <f>'MILK FLOW ENGINE'!AL30</f>
        <v>27072</v>
      </c>
      <c r="AM40" s="64">
        <f>'MILK FLOW ENGINE'!AM30</f>
        <v>27072</v>
      </c>
      <c r="AN40" s="64">
        <f>'MILK FLOW ENGINE'!AN30</f>
        <v>27072</v>
      </c>
      <c r="AO40" s="64">
        <f>'MILK FLOW ENGINE'!AO30</f>
        <v>81216</v>
      </c>
      <c r="AP40" s="64">
        <f>'MILK FLOW ENGINE'!AP30</f>
        <v>81216</v>
      </c>
      <c r="AQ40" s="64">
        <f>'MILK FLOW ENGINE'!AQ30</f>
        <v>81216</v>
      </c>
      <c r="AR40" s="64">
        <f>'MILK FLOW ENGINE'!AR30</f>
        <v>81216</v>
      </c>
      <c r="AS40" s="64">
        <f>'MILK FLOW ENGINE'!AS30</f>
        <v>81216</v>
      </c>
      <c r="AT40" s="64">
        <f>'MILK FLOW ENGINE'!AT30</f>
        <v>81216</v>
      </c>
      <c r="AU40" s="64">
        <f>'MILK FLOW ENGINE'!AU30</f>
        <v>81216</v>
      </c>
      <c r="AV40" s="64">
        <f>'MILK FLOW ENGINE'!AV30</f>
        <v>81216</v>
      </c>
      <c r="AW40" s="64">
        <f>'MILK FLOW ENGINE'!AW30</f>
        <v>81216</v>
      </c>
      <c r="AX40" s="64">
        <f>'MILK FLOW ENGINE'!AX30</f>
        <v>81216</v>
      </c>
      <c r="AY40" s="64">
        <f>'MILK FLOW ENGINE'!AY30</f>
        <v>81216</v>
      </c>
      <c r="AZ40" s="64">
        <f>'MILK FLOW ENGINE'!AZ30</f>
        <v>81216</v>
      </c>
      <c r="BA40" s="64">
        <f>'MILK FLOW ENGINE'!BA30</f>
        <v>81216</v>
      </c>
      <c r="BB40" s="64">
        <f>'MILK FLOW ENGINE'!BB30</f>
        <v>81216</v>
      </c>
      <c r="BC40" s="64">
        <f>'MILK FLOW ENGINE'!BC30</f>
        <v>81216</v>
      </c>
      <c r="BD40" s="64">
        <f>'MILK FLOW ENGINE'!BD30</f>
        <v>81216</v>
      </c>
      <c r="BE40" s="64">
        <f>'MILK FLOW ENGINE'!BE30</f>
        <v>81216</v>
      </c>
      <c r="BF40" s="64">
        <f>'MILK FLOW ENGINE'!BF30</f>
        <v>81216</v>
      </c>
      <c r="BG40" s="64">
        <f>'MILK FLOW ENGINE'!BG30</f>
        <v>81216</v>
      </c>
      <c r="BH40" s="64">
        <f>'MILK FLOW ENGINE'!BH30</f>
        <v>81216</v>
      </c>
      <c r="BI40" s="64">
        <f>'MILK FLOW ENGINE'!BI30</f>
        <v>81216</v>
      </c>
      <c r="BJ40" s="64">
        <f>'MILK FLOW ENGINE'!BJ30</f>
        <v>81216</v>
      </c>
      <c r="BK40" s="64">
        <f>'MILK FLOW ENGINE'!BK30</f>
        <v>81216</v>
      </c>
      <c r="BL40" s="65">
        <f>'MILK FLOW ENGINE'!BL30</f>
        <v>81216</v>
      </c>
    </row>
    <row r="41" ht="15.75" customHeight="1">
      <c r="D41" s="35" t="s">
        <v>22</v>
      </c>
      <c r="E41" s="64">
        <f>'MILK FLOW ENGINE'!E31</f>
        <v>0</v>
      </c>
      <c r="F41" s="64">
        <f>'MILK FLOW ENGINE'!F31</f>
        <v>0</v>
      </c>
      <c r="G41" s="64">
        <f>'MILK FLOW ENGINE'!G31</f>
        <v>0</v>
      </c>
      <c r="H41" s="64">
        <f>'MILK FLOW ENGINE'!H31</f>
        <v>0</v>
      </c>
      <c r="I41" s="64">
        <f>'MILK FLOW ENGINE'!I31</f>
        <v>0</v>
      </c>
      <c r="J41" s="64">
        <f>'MILK FLOW ENGINE'!J31</f>
        <v>0</v>
      </c>
      <c r="K41" s="64">
        <f>'MILK FLOW ENGINE'!K31</f>
        <v>25380</v>
      </c>
      <c r="L41" s="64">
        <f>'MILK FLOW ENGINE'!L31</f>
        <v>25380</v>
      </c>
      <c r="M41" s="64">
        <f>'MILK FLOW ENGINE'!M31</f>
        <v>25380</v>
      </c>
      <c r="N41" s="64">
        <f>'MILK FLOW ENGINE'!N31</f>
        <v>25380</v>
      </c>
      <c r="O41" s="64">
        <f>'MILK FLOW ENGINE'!O31</f>
        <v>25380</v>
      </c>
      <c r="P41" s="64">
        <f>'MILK FLOW ENGINE'!P31</f>
        <v>25380</v>
      </c>
      <c r="Q41" s="64">
        <f>'MILK FLOW ENGINE'!Q31</f>
        <v>25380</v>
      </c>
      <c r="R41" s="64">
        <f>'MILK FLOW ENGINE'!R31</f>
        <v>25380</v>
      </c>
      <c r="S41" s="64">
        <f>'MILK FLOW ENGINE'!S31</f>
        <v>25380</v>
      </c>
      <c r="T41" s="64">
        <f>'MILK FLOW ENGINE'!T31</f>
        <v>25380</v>
      </c>
      <c r="U41" s="64">
        <f>'MILK FLOW ENGINE'!U31</f>
        <v>25380</v>
      </c>
      <c r="V41" s="64">
        <f>'MILK FLOW ENGINE'!V31</f>
        <v>25380</v>
      </c>
      <c r="W41" s="64">
        <f>'MILK FLOW ENGINE'!W31</f>
        <v>25380</v>
      </c>
      <c r="X41" s="64">
        <f>'MILK FLOW ENGINE'!X31</f>
        <v>25380</v>
      </c>
      <c r="Y41" s="64">
        <f>'MILK FLOW ENGINE'!Y31</f>
        <v>25380</v>
      </c>
      <c r="Z41" s="64">
        <f>'MILK FLOW ENGINE'!Z31</f>
        <v>25380</v>
      </c>
      <c r="AA41" s="64">
        <f>'MILK FLOW ENGINE'!AA31</f>
        <v>25380</v>
      </c>
      <c r="AB41" s="64">
        <f>'MILK FLOW ENGINE'!AB31</f>
        <v>25380</v>
      </c>
      <c r="AC41" s="64">
        <f>'MILK FLOW ENGINE'!AC31</f>
        <v>50760</v>
      </c>
      <c r="AD41" s="64">
        <f>'MILK FLOW ENGINE'!AD31</f>
        <v>50760</v>
      </c>
      <c r="AE41" s="64">
        <f>'MILK FLOW ENGINE'!AE31</f>
        <v>50760</v>
      </c>
      <c r="AF41" s="64">
        <f>'MILK FLOW ENGINE'!AF31</f>
        <v>50760</v>
      </c>
      <c r="AG41" s="64">
        <f>'MILK FLOW ENGINE'!AG31</f>
        <v>50760</v>
      </c>
      <c r="AH41" s="64">
        <f>'MILK FLOW ENGINE'!AH31</f>
        <v>50760</v>
      </c>
      <c r="AI41" s="64">
        <f>'MILK FLOW ENGINE'!AI31</f>
        <v>50760</v>
      </c>
      <c r="AJ41" s="64">
        <f>'MILK FLOW ENGINE'!AJ31</f>
        <v>50760</v>
      </c>
      <c r="AK41" s="64">
        <f>'MILK FLOW ENGINE'!AK31</f>
        <v>50760</v>
      </c>
      <c r="AL41" s="64">
        <f>'MILK FLOW ENGINE'!AL31</f>
        <v>50760</v>
      </c>
      <c r="AM41" s="64">
        <f>'MILK FLOW ENGINE'!AM31</f>
        <v>50760</v>
      </c>
      <c r="AN41" s="64">
        <f>'MILK FLOW ENGINE'!AN31</f>
        <v>50760</v>
      </c>
      <c r="AO41" s="64">
        <f>'MILK FLOW ENGINE'!AO31</f>
        <v>152280</v>
      </c>
      <c r="AP41" s="64">
        <f>'MILK FLOW ENGINE'!AP31</f>
        <v>152280</v>
      </c>
      <c r="AQ41" s="64">
        <f>'MILK FLOW ENGINE'!AQ31</f>
        <v>152280</v>
      </c>
      <c r="AR41" s="64">
        <f>'MILK FLOW ENGINE'!AR31</f>
        <v>152280</v>
      </c>
      <c r="AS41" s="64">
        <f>'MILK FLOW ENGINE'!AS31</f>
        <v>152280</v>
      </c>
      <c r="AT41" s="64">
        <f>'MILK FLOW ENGINE'!AT31</f>
        <v>152280</v>
      </c>
      <c r="AU41" s="64">
        <f>'MILK FLOW ENGINE'!AU31</f>
        <v>152280</v>
      </c>
      <c r="AV41" s="64">
        <f>'MILK FLOW ENGINE'!AV31</f>
        <v>152280</v>
      </c>
      <c r="AW41" s="64">
        <f>'MILK FLOW ENGINE'!AW31</f>
        <v>152280</v>
      </c>
      <c r="AX41" s="64">
        <f>'MILK FLOW ENGINE'!AX31</f>
        <v>152280</v>
      </c>
      <c r="AY41" s="64">
        <f>'MILK FLOW ENGINE'!AY31</f>
        <v>152280</v>
      </c>
      <c r="AZ41" s="64">
        <f>'MILK FLOW ENGINE'!AZ31</f>
        <v>152280</v>
      </c>
      <c r="BA41" s="64">
        <f>'MILK FLOW ENGINE'!BA31</f>
        <v>152280</v>
      </c>
      <c r="BB41" s="64">
        <f>'MILK FLOW ENGINE'!BB31</f>
        <v>152280</v>
      </c>
      <c r="BC41" s="64">
        <f>'MILK FLOW ENGINE'!BC31</f>
        <v>152280</v>
      </c>
      <c r="BD41" s="64">
        <f>'MILK FLOW ENGINE'!BD31</f>
        <v>152280</v>
      </c>
      <c r="BE41" s="64">
        <f>'MILK FLOW ENGINE'!BE31</f>
        <v>152280</v>
      </c>
      <c r="BF41" s="64">
        <f>'MILK FLOW ENGINE'!BF31</f>
        <v>152280</v>
      </c>
      <c r="BG41" s="64">
        <f>'MILK FLOW ENGINE'!BG31</f>
        <v>152280</v>
      </c>
      <c r="BH41" s="64">
        <f>'MILK FLOW ENGINE'!BH31</f>
        <v>152280</v>
      </c>
      <c r="BI41" s="64">
        <f>'MILK FLOW ENGINE'!BI31</f>
        <v>152280</v>
      </c>
      <c r="BJ41" s="64">
        <f>'MILK FLOW ENGINE'!BJ31</f>
        <v>152280</v>
      </c>
      <c r="BK41" s="64">
        <f>'MILK FLOW ENGINE'!BK31</f>
        <v>152280</v>
      </c>
      <c r="BL41" s="65">
        <f>'MILK FLOW ENGINE'!BL31</f>
        <v>152280</v>
      </c>
    </row>
    <row r="42" ht="15.75" customHeight="1">
      <c r="D42" s="35" t="s">
        <v>40</v>
      </c>
      <c r="E42" s="64">
        <f>'MILK FLOW ENGINE'!E32</f>
        <v>0</v>
      </c>
      <c r="F42" s="64">
        <f>'MILK FLOW ENGINE'!F32</f>
        <v>0</v>
      </c>
      <c r="G42" s="64">
        <f>'MILK FLOW ENGINE'!G32</f>
        <v>0</v>
      </c>
      <c r="H42" s="64">
        <f>'MILK FLOW ENGINE'!H32</f>
        <v>0</v>
      </c>
      <c r="I42" s="64">
        <f>'MILK FLOW ENGINE'!I32</f>
        <v>0</v>
      </c>
      <c r="J42" s="64">
        <f>'MILK FLOW ENGINE'!J32</f>
        <v>0</v>
      </c>
      <c r="K42" s="64">
        <f>'MILK FLOW ENGINE'!K32</f>
        <v>1762.5</v>
      </c>
      <c r="L42" s="64">
        <f>'MILK FLOW ENGINE'!L32</f>
        <v>1762.5</v>
      </c>
      <c r="M42" s="64">
        <f>'MILK FLOW ENGINE'!M32</f>
        <v>1762.5</v>
      </c>
      <c r="N42" s="64">
        <f>'MILK FLOW ENGINE'!N32</f>
        <v>1762.5</v>
      </c>
      <c r="O42" s="64">
        <f>'MILK FLOW ENGINE'!O32</f>
        <v>1762.5</v>
      </c>
      <c r="P42" s="64">
        <f>'MILK FLOW ENGINE'!P32</f>
        <v>1762.5</v>
      </c>
      <c r="Q42" s="64">
        <f>'MILK FLOW ENGINE'!Q32</f>
        <v>1762.5</v>
      </c>
      <c r="R42" s="64">
        <f>'MILK FLOW ENGINE'!R32</f>
        <v>1762.5</v>
      </c>
      <c r="S42" s="64">
        <f>'MILK FLOW ENGINE'!S32</f>
        <v>1762.5</v>
      </c>
      <c r="T42" s="64">
        <f>'MILK FLOW ENGINE'!T32</f>
        <v>1762.5</v>
      </c>
      <c r="U42" s="64">
        <f>'MILK FLOW ENGINE'!U32</f>
        <v>1762.5</v>
      </c>
      <c r="V42" s="64">
        <f>'MILK FLOW ENGINE'!V32</f>
        <v>1762.5</v>
      </c>
      <c r="W42" s="64">
        <f>'MILK FLOW ENGINE'!W32</f>
        <v>1762.5</v>
      </c>
      <c r="X42" s="64">
        <f>'MILK FLOW ENGINE'!X32</f>
        <v>1762.5</v>
      </c>
      <c r="Y42" s="64">
        <f>'MILK FLOW ENGINE'!Y32</f>
        <v>1762.5</v>
      </c>
      <c r="Z42" s="64">
        <f>'MILK FLOW ENGINE'!Z32</f>
        <v>1762.5</v>
      </c>
      <c r="AA42" s="64">
        <f>'MILK FLOW ENGINE'!AA32</f>
        <v>1762.5</v>
      </c>
      <c r="AB42" s="64">
        <f>'MILK FLOW ENGINE'!AB32</f>
        <v>1762.5</v>
      </c>
      <c r="AC42" s="64">
        <f>'MILK FLOW ENGINE'!AC32</f>
        <v>3525</v>
      </c>
      <c r="AD42" s="64">
        <f>'MILK FLOW ENGINE'!AD32</f>
        <v>3525</v>
      </c>
      <c r="AE42" s="64">
        <f>'MILK FLOW ENGINE'!AE32</f>
        <v>3525</v>
      </c>
      <c r="AF42" s="64">
        <f>'MILK FLOW ENGINE'!AF32</f>
        <v>3525</v>
      </c>
      <c r="AG42" s="64">
        <f>'MILK FLOW ENGINE'!AG32</f>
        <v>3525</v>
      </c>
      <c r="AH42" s="64">
        <f>'MILK FLOW ENGINE'!AH32</f>
        <v>3525</v>
      </c>
      <c r="AI42" s="64">
        <f>'MILK FLOW ENGINE'!AI32</f>
        <v>3525</v>
      </c>
      <c r="AJ42" s="64">
        <f>'MILK FLOW ENGINE'!AJ32</f>
        <v>3525</v>
      </c>
      <c r="AK42" s="64">
        <f>'MILK FLOW ENGINE'!AK32</f>
        <v>3525</v>
      </c>
      <c r="AL42" s="64">
        <f>'MILK FLOW ENGINE'!AL32</f>
        <v>3525</v>
      </c>
      <c r="AM42" s="64">
        <f>'MILK FLOW ENGINE'!AM32</f>
        <v>3525</v>
      </c>
      <c r="AN42" s="64">
        <f>'MILK FLOW ENGINE'!AN32</f>
        <v>3525</v>
      </c>
      <c r="AO42" s="64">
        <f>'MILK FLOW ENGINE'!AO32</f>
        <v>10575</v>
      </c>
      <c r="AP42" s="64">
        <f>'MILK FLOW ENGINE'!AP32</f>
        <v>10575</v>
      </c>
      <c r="AQ42" s="64">
        <f>'MILK FLOW ENGINE'!AQ32</f>
        <v>10575</v>
      </c>
      <c r="AR42" s="64">
        <f>'MILK FLOW ENGINE'!AR32</f>
        <v>10575</v>
      </c>
      <c r="AS42" s="64">
        <f>'MILK FLOW ENGINE'!AS32</f>
        <v>10575</v>
      </c>
      <c r="AT42" s="64">
        <f>'MILK FLOW ENGINE'!AT32</f>
        <v>10575</v>
      </c>
      <c r="AU42" s="64">
        <f>'MILK FLOW ENGINE'!AU32</f>
        <v>10575</v>
      </c>
      <c r="AV42" s="64">
        <f>'MILK FLOW ENGINE'!AV32</f>
        <v>10575</v>
      </c>
      <c r="AW42" s="64">
        <f>'MILK FLOW ENGINE'!AW32</f>
        <v>10575</v>
      </c>
      <c r="AX42" s="64">
        <f>'MILK FLOW ENGINE'!AX32</f>
        <v>10575</v>
      </c>
      <c r="AY42" s="64">
        <f>'MILK FLOW ENGINE'!AY32</f>
        <v>10575</v>
      </c>
      <c r="AZ42" s="64">
        <f>'MILK FLOW ENGINE'!AZ32</f>
        <v>10575</v>
      </c>
      <c r="BA42" s="64">
        <f>'MILK FLOW ENGINE'!BA32</f>
        <v>10575</v>
      </c>
      <c r="BB42" s="64">
        <f>'MILK FLOW ENGINE'!BB32</f>
        <v>10575</v>
      </c>
      <c r="BC42" s="64">
        <f>'MILK FLOW ENGINE'!BC32</f>
        <v>10575</v>
      </c>
      <c r="BD42" s="64">
        <f>'MILK FLOW ENGINE'!BD32</f>
        <v>10575</v>
      </c>
      <c r="BE42" s="64">
        <f>'MILK FLOW ENGINE'!BE32</f>
        <v>10575</v>
      </c>
      <c r="BF42" s="64">
        <f>'MILK FLOW ENGINE'!BF32</f>
        <v>10575</v>
      </c>
      <c r="BG42" s="64">
        <f>'MILK FLOW ENGINE'!BG32</f>
        <v>10575</v>
      </c>
      <c r="BH42" s="64">
        <f>'MILK FLOW ENGINE'!BH32</f>
        <v>10575</v>
      </c>
      <c r="BI42" s="64">
        <f>'MILK FLOW ENGINE'!BI32</f>
        <v>10575</v>
      </c>
      <c r="BJ42" s="64">
        <f>'MILK FLOW ENGINE'!BJ32</f>
        <v>10575</v>
      </c>
      <c r="BK42" s="64">
        <f>'MILK FLOW ENGINE'!BK32</f>
        <v>10575</v>
      </c>
      <c r="BL42" s="65">
        <f>'MILK FLOW ENGINE'!BL32</f>
        <v>10575</v>
      </c>
    </row>
    <row r="43" ht="15.75" customHeight="1">
      <c r="D43" s="35" t="s">
        <v>42</v>
      </c>
      <c r="E43" s="64">
        <f>'MILK FLOW ENGINE'!E33</f>
        <v>0</v>
      </c>
      <c r="F43" s="64">
        <f>'MILK FLOW ENGINE'!F33</f>
        <v>0</v>
      </c>
      <c r="G43" s="64">
        <f>'MILK FLOW ENGINE'!G33</f>
        <v>0</v>
      </c>
      <c r="H43" s="64">
        <f>'MILK FLOW ENGINE'!H33</f>
        <v>0</v>
      </c>
      <c r="I43" s="64">
        <f>'MILK FLOW ENGINE'!I33</f>
        <v>0</v>
      </c>
      <c r="J43" s="64">
        <f>'MILK FLOW ENGINE'!J33</f>
        <v>0</v>
      </c>
      <c r="K43" s="64">
        <f>'MILK FLOW ENGINE'!K33</f>
        <v>846</v>
      </c>
      <c r="L43" s="64">
        <f>'MILK FLOW ENGINE'!L33</f>
        <v>846</v>
      </c>
      <c r="M43" s="64">
        <f>'MILK FLOW ENGINE'!M33</f>
        <v>846</v>
      </c>
      <c r="N43" s="64">
        <f>'MILK FLOW ENGINE'!N33</f>
        <v>846</v>
      </c>
      <c r="O43" s="64">
        <f>'MILK FLOW ENGINE'!O33</f>
        <v>846</v>
      </c>
      <c r="P43" s="64">
        <f>'MILK FLOW ENGINE'!P33</f>
        <v>846</v>
      </c>
      <c r="Q43" s="64">
        <f>'MILK FLOW ENGINE'!Q33</f>
        <v>846</v>
      </c>
      <c r="R43" s="64">
        <f>'MILK FLOW ENGINE'!R33</f>
        <v>846</v>
      </c>
      <c r="S43" s="64">
        <f>'MILK FLOW ENGINE'!S33</f>
        <v>846</v>
      </c>
      <c r="T43" s="64">
        <f>'MILK FLOW ENGINE'!T33</f>
        <v>846</v>
      </c>
      <c r="U43" s="64">
        <f>'MILK FLOW ENGINE'!U33</f>
        <v>846</v>
      </c>
      <c r="V43" s="64">
        <f>'MILK FLOW ENGINE'!V33</f>
        <v>846</v>
      </c>
      <c r="W43" s="64">
        <f>'MILK FLOW ENGINE'!W33</f>
        <v>846</v>
      </c>
      <c r="X43" s="64">
        <f>'MILK FLOW ENGINE'!X33</f>
        <v>846</v>
      </c>
      <c r="Y43" s="64">
        <f>'MILK FLOW ENGINE'!Y33</f>
        <v>846</v>
      </c>
      <c r="Z43" s="64">
        <f>'MILK FLOW ENGINE'!Z33</f>
        <v>846</v>
      </c>
      <c r="AA43" s="64">
        <f>'MILK FLOW ENGINE'!AA33</f>
        <v>846</v>
      </c>
      <c r="AB43" s="64">
        <f>'MILK FLOW ENGINE'!AB33</f>
        <v>846</v>
      </c>
      <c r="AC43" s="64">
        <f>'MILK FLOW ENGINE'!AC33</f>
        <v>1692</v>
      </c>
      <c r="AD43" s="64">
        <f>'MILK FLOW ENGINE'!AD33</f>
        <v>1692</v>
      </c>
      <c r="AE43" s="64">
        <f>'MILK FLOW ENGINE'!AE33</f>
        <v>1692</v>
      </c>
      <c r="AF43" s="64">
        <f>'MILK FLOW ENGINE'!AF33</f>
        <v>1692</v>
      </c>
      <c r="AG43" s="64">
        <f>'MILK FLOW ENGINE'!AG33</f>
        <v>1692</v>
      </c>
      <c r="AH43" s="64">
        <f>'MILK FLOW ENGINE'!AH33</f>
        <v>1692</v>
      </c>
      <c r="AI43" s="64">
        <f>'MILK FLOW ENGINE'!AI33</f>
        <v>1692</v>
      </c>
      <c r="AJ43" s="64">
        <f>'MILK FLOW ENGINE'!AJ33</f>
        <v>1692</v>
      </c>
      <c r="AK43" s="64">
        <f>'MILK FLOW ENGINE'!AK33</f>
        <v>1692</v>
      </c>
      <c r="AL43" s="64">
        <f>'MILK FLOW ENGINE'!AL33</f>
        <v>1692</v>
      </c>
      <c r="AM43" s="64">
        <f>'MILK FLOW ENGINE'!AM33</f>
        <v>1692</v>
      </c>
      <c r="AN43" s="64">
        <f>'MILK FLOW ENGINE'!AN33</f>
        <v>1692</v>
      </c>
      <c r="AO43" s="64">
        <f>'MILK FLOW ENGINE'!AO33</f>
        <v>5076</v>
      </c>
      <c r="AP43" s="64">
        <f>'MILK FLOW ENGINE'!AP33</f>
        <v>5076</v>
      </c>
      <c r="AQ43" s="64">
        <f>'MILK FLOW ENGINE'!AQ33</f>
        <v>5076</v>
      </c>
      <c r="AR43" s="64">
        <f>'MILK FLOW ENGINE'!AR33</f>
        <v>5076</v>
      </c>
      <c r="AS43" s="64">
        <f>'MILK FLOW ENGINE'!AS33</f>
        <v>5076</v>
      </c>
      <c r="AT43" s="64">
        <f>'MILK FLOW ENGINE'!AT33</f>
        <v>5076</v>
      </c>
      <c r="AU43" s="64">
        <f>'MILK FLOW ENGINE'!AU33</f>
        <v>5076</v>
      </c>
      <c r="AV43" s="64">
        <f>'MILK FLOW ENGINE'!AV33</f>
        <v>5076</v>
      </c>
      <c r="AW43" s="64">
        <f>'MILK FLOW ENGINE'!AW33</f>
        <v>5076</v>
      </c>
      <c r="AX43" s="64">
        <f>'MILK FLOW ENGINE'!AX33</f>
        <v>5076</v>
      </c>
      <c r="AY43" s="64">
        <f>'MILK FLOW ENGINE'!AY33</f>
        <v>5076</v>
      </c>
      <c r="AZ43" s="64">
        <f>'MILK FLOW ENGINE'!AZ33</f>
        <v>5076</v>
      </c>
      <c r="BA43" s="64">
        <f>'MILK FLOW ENGINE'!BA33</f>
        <v>5076</v>
      </c>
      <c r="BB43" s="64">
        <f>'MILK FLOW ENGINE'!BB33</f>
        <v>5076</v>
      </c>
      <c r="BC43" s="64">
        <f>'MILK FLOW ENGINE'!BC33</f>
        <v>5076</v>
      </c>
      <c r="BD43" s="64">
        <f>'MILK FLOW ENGINE'!BD33</f>
        <v>5076</v>
      </c>
      <c r="BE43" s="64">
        <f>'MILK FLOW ENGINE'!BE33</f>
        <v>5076</v>
      </c>
      <c r="BF43" s="64">
        <f>'MILK FLOW ENGINE'!BF33</f>
        <v>5076</v>
      </c>
      <c r="BG43" s="64">
        <f>'MILK FLOW ENGINE'!BG33</f>
        <v>5076</v>
      </c>
      <c r="BH43" s="64">
        <f>'MILK FLOW ENGINE'!BH33</f>
        <v>5076</v>
      </c>
      <c r="BI43" s="64">
        <f>'MILK FLOW ENGINE'!BI33</f>
        <v>5076</v>
      </c>
      <c r="BJ43" s="64">
        <f>'MILK FLOW ENGINE'!BJ33</f>
        <v>5076</v>
      </c>
      <c r="BK43" s="64">
        <f>'MILK FLOW ENGINE'!BK33</f>
        <v>5076</v>
      </c>
      <c r="BL43" s="65">
        <f>'MILK FLOW ENGINE'!BL33</f>
        <v>5076</v>
      </c>
    </row>
    <row r="44" ht="15.75" customHeight="1">
      <c r="D44" s="35" t="s">
        <v>44</v>
      </c>
      <c r="E44" s="64">
        <f>'MILK FLOW ENGINE'!E34</f>
        <v>0</v>
      </c>
      <c r="F44" s="64">
        <f>'MILK FLOW ENGINE'!F34</f>
        <v>0</v>
      </c>
      <c r="G44" s="64">
        <f>'MILK FLOW ENGINE'!G34</f>
        <v>0</v>
      </c>
      <c r="H44" s="64">
        <f>'MILK FLOW ENGINE'!H34</f>
        <v>0</v>
      </c>
      <c r="I44" s="64">
        <f>'MILK FLOW ENGINE'!I34</f>
        <v>0</v>
      </c>
      <c r="J44" s="64">
        <f>'MILK FLOW ENGINE'!J34</f>
        <v>0</v>
      </c>
      <c r="K44" s="64">
        <f>'MILK FLOW ENGINE'!K34</f>
        <v>2326.5</v>
      </c>
      <c r="L44" s="64">
        <f>'MILK FLOW ENGINE'!L34</f>
        <v>2326.5</v>
      </c>
      <c r="M44" s="64">
        <f>'MILK FLOW ENGINE'!M34</f>
        <v>2326.5</v>
      </c>
      <c r="N44" s="64">
        <f>'MILK FLOW ENGINE'!N34</f>
        <v>2326.5</v>
      </c>
      <c r="O44" s="64">
        <f>'MILK FLOW ENGINE'!O34</f>
        <v>2326.5</v>
      </c>
      <c r="P44" s="64">
        <f>'MILK FLOW ENGINE'!P34</f>
        <v>2326.5</v>
      </c>
      <c r="Q44" s="64">
        <f>'MILK FLOW ENGINE'!Q34</f>
        <v>2326.5</v>
      </c>
      <c r="R44" s="64">
        <f>'MILK FLOW ENGINE'!R34</f>
        <v>2326.5</v>
      </c>
      <c r="S44" s="64">
        <f>'MILK FLOW ENGINE'!S34</f>
        <v>2326.5</v>
      </c>
      <c r="T44" s="64">
        <f>'MILK FLOW ENGINE'!T34</f>
        <v>2326.5</v>
      </c>
      <c r="U44" s="64">
        <f>'MILK FLOW ENGINE'!U34</f>
        <v>2326.5</v>
      </c>
      <c r="V44" s="64">
        <f>'MILK FLOW ENGINE'!V34</f>
        <v>2326.5</v>
      </c>
      <c r="W44" s="64">
        <f>'MILK FLOW ENGINE'!W34</f>
        <v>2326.5</v>
      </c>
      <c r="X44" s="64">
        <f>'MILK FLOW ENGINE'!X34</f>
        <v>2326.5</v>
      </c>
      <c r="Y44" s="64">
        <f>'MILK FLOW ENGINE'!Y34</f>
        <v>2326.5</v>
      </c>
      <c r="Z44" s="64">
        <f>'MILK FLOW ENGINE'!Z34</f>
        <v>2326.5</v>
      </c>
      <c r="AA44" s="64">
        <f>'MILK FLOW ENGINE'!AA34</f>
        <v>2326.5</v>
      </c>
      <c r="AB44" s="64">
        <f>'MILK FLOW ENGINE'!AB34</f>
        <v>2326.5</v>
      </c>
      <c r="AC44" s="64">
        <f>'MILK FLOW ENGINE'!AC34</f>
        <v>4653</v>
      </c>
      <c r="AD44" s="64">
        <f>'MILK FLOW ENGINE'!AD34</f>
        <v>4653</v>
      </c>
      <c r="AE44" s="64">
        <f>'MILK FLOW ENGINE'!AE34</f>
        <v>4653</v>
      </c>
      <c r="AF44" s="64">
        <f>'MILK FLOW ENGINE'!AF34</f>
        <v>4653</v>
      </c>
      <c r="AG44" s="64">
        <f>'MILK FLOW ENGINE'!AG34</f>
        <v>4653</v>
      </c>
      <c r="AH44" s="64">
        <f>'MILK FLOW ENGINE'!AH34</f>
        <v>4653</v>
      </c>
      <c r="AI44" s="64">
        <f>'MILK FLOW ENGINE'!AI34</f>
        <v>4653</v>
      </c>
      <c r="AJ44" s="64">
        <f>'MILK FLOW ENGINE'!AJ34</f>
        <v>4653</v>
      </c>
      <c r="AK44" s="64">
        <f>'MILK FLOW ENGINE'!AK34</f>
        <v>4653</v>
      </c>
      <c r="AL44" s="64">
        <f>'MILK FLOW ENGINE'!AL34</f>
        <v>4653</v>
      </c>
      <c r="AM44" s="64">
        <f>'MILK FLOW ENGINE'!AM34</f>
        <v>4653</v>
      </c>
      <c r="AN44" s="64">
        <f>'MILK FLOW ENGINE'!AN34</f>
        <v>4653</v>
      </c>
      <c r="AO44" s="64">
        <f>'MILK FLOW ENGINE'!AO34</f>
        <v>13959</v>
      </c>
      <c r="AP44" s="64">
        <f>'MILK FLOW ENGINE'!AP34</f>
        <v>13959</v>
      </c>
      <c r="AQ44" s="64">
        <f>'MILK FLOW ENGINE'!AQ34</f>
        <v>13959</v>
      </c>
      <c r="AR44" s="64">
        <f>'MILK FLOW ENGINE'!AR34</f>
        <v>13959</v>
      </c>
      <c r="AS44" s="64">
        <f>'MILK FLOW ENGINE'!AS34</f>
        <v>13959</v>
      </c>
      <c r="AT44" s="64">
        <f>'MILK FLOW ENGINE'!AT34</f>
        <v>13959</v>
      </c>
      <c r="AU44" s="64">
        <f>'MILK FLOW ENGINE'!AU34</f>
        <v>13959</v>
      </c>
      <c r="AV44" s="64">
        <f>'MILK FLOW ENGINE'!AV34</f>
        <v>13959</v>
      </c>
      <c r="AW44" s="64">
        <f>'MILK FLOW ENGINE'!AW34</f>
        <v>13959</v>
      </c>
      <c r="AX44" s="64">
        <f>'MILK FLOW ENGINE'!AX34</f>
        <v>13959</v>
      </c>
      <c r="AY44" s="64">
        <f>'MILK FLOW ENGINE'!AY34</f>
        <v>13959</v>
      </c>
      <c r="AZ44" s="64">
        <f>'MILK FLOW ENGINE'!AZ34</f>
        <v>13959</v>
      </c>
      <c r="BA44" s="64">
        <f>'MILK FLOW ENGINE'!BA34</f>
        <v>13959</v>
      </c>
      <c r="BB44" s="64">
        <f>'MILK FLOW ENGINE'!BB34</f>
        <v>13959</v>
      </c>
      <c r="BC44" s="64">
        <f>'MILK FLOW ENGINE'!BC34</f>
        <v>13959</v>
      </c>
      <c r="BD44" s="64">
        <f>'MILK FLOW ENGINE'!BD34</f>
        <v>13959</v>
      </c>
      <c r="BE44" s="64">
        <f>'MILK FLOW ENGINE'!BE34</f>
        <v>13959</v>
      </c>
      <c r="BF44" s="64">
        <f>'MILK FLOW ENGINE'!BF34</f>
        <v>13959</v>
      </c>
      <c r="BG44" s="64">
        <f>'MILK FLOW ENGINE'!BG34</f>
        <v>13959</v>
      </c>
      <c r="BH44" s="64">
        <f>'MILK FLOW ENGINE'!BH34</f>
        <v>13959</v>
      </c>
      <c r="BI44" s="64">
        <f>'MILK FLOW ENGINE'!BI34</f>
        <v>13959</v>
      </c>
      <c r="BJ44" s="64">
        <f>'MILK FLOW ENGINE'!BJ34</f>
        <v>13959</v>
      </c>
      <c r="BK44" s="64">
        <f>'MILK FLOW ENGINE'!BK34</f>
        <v>13959</v>
      </c>
      <c r="BL44" s="65">
        <f>'MILK FLOW ENGINE'!BL34</f>
        <v>13959</v>
      </c>
    </row>
    <row r="45" ht="15.75" customHeight="1">
      <c r="D45" s="35" t="s">
        <v>46</v>
      </c>
      <c r="E45" s="64">
        <f>'MILK FLOW ENGINE'!E35</f>
        <v>0</v>
      </c>
      <c r="F45" s="64">
        <f>'MILK FLOW ENGINE'!F35</f>
        <v>0</v>
      </c>
      <c r="G45" s="64">
        <f>'MILK FLOW ENGINE'!G35</f>
        <v>0</v>
      </c>
      <c r="H45" s="64">
        <f>'MILK FLOW ENGINE'!H35</f>
        <v>0</v>
      </c>
      <c r="I45" s="64">
        <f>'MILK FLOW ENGINE'!I35</f>
        <v>0</v>
      </c>
      <c r="J45" s="64">
        <f>'MILK FLOW ENGINE'!J35</f>
        <v>0</v>
      </c>
      <c r="K45" s="64">
        <f>'MILK FLOW ENGINE'!K35</f>
        <v>1128</v>
      </c>
      <c r="L45" s="64">
        <f>'MILK FLOW ENGINE'!L35</f>
        <v>1128</v>
      </c>
      <c r="M45" s="64">
        <f>'MILK FLOW ENGINE'!M35</f>
        <v>1128</v>
      </c>
      <c r="N45" s="64">
        <f>'MILK FLOW ENGINE'!N35</f>
        <v>1128</v>
      </c>
      <c r="O45" s="64">
        <f>'MILK FLOW ENGINE'!O35</f>
        <v>1128</v>
      </c>
      <c r="P45" s="64">
        <f>'MILK FLOW ENGINE'!P35</f>
        <v>1128</v>
      </c>
      <c r="Q45" s="64">
        <f>'MILK FLOW ENGINE'!Q35</f>
        <v>1128</v>
      </c>
      <c r="R45" s="64">
        <f>'MILK FLOW ENGINE'!R35</f>
        <v>1128</v>
      </c>
      <c r="S45" s="64">
        <f>'MILK FLOW ENGINE'!S35</f>
        <v>1128</v>
      </c>
      <c r="T45" s="64">
        <f>'MILK FLOW ENGINE'!T35</f>
        <v>1128</v>
      </c>
      <c r="U45" s="64">
        <f>'MILK FLOW ENGINE'!U35</f>
        <v>1128</v>
      </c>
      <c r="V45" s="64">
        <f>'MILK FLOW ENGINE'!V35</f>
        <v>1128</v>
      </c>
      <c r="W45" s="64">
        <f>'MILK FLOW ENGINE'!W35</f>
        <v>1128</v>
      </c>
      <c r="X45" s="64">
        <f>'MILK FLOW ENGINE'!X35</f>
        <v>1128</v>
      </c>
      <c r="Y45" s="64">
        <f>'MILK FLOW ENGINE'!Y35</f>
        <v>1128</v>
      </c>
      <c r="Z45" s="64">
        <f>'MILK FLOW ENGINE'!Z35</f>
        <v>1128</v>
      </c>
      <c r="AA45" s="64">
        <f>'MILK FLOW ENGINE'!AA35</f>
        <v>1128</v>
      </c>
      <c r="AB45" s="64">
        <f>'MILK FLOW ENGINE'!AB35</f>
        <v>1128</v>
      </c>
      <c r="AC45" s="64">
        <f>'MILK FLOW ENGINE'!AC35</f>
        <v>2256</v>
      </c>
      <c r="AD45" s="64">
        <f>'MILK FLOW ENGINE'!AD35</f>
        <v>2256</v>
      </c>
      <c r="AE45" s="64">
        <f>'MILK FLOW ENGINE'!AE35</f>
        <v>2256</v>
      </c>
      <c r="AF45" s="64">
        <f>'MILK FLOW ENGINE'!AF35</f>
        <v>2256</v>
      </c>
      <c r="AG45" s="64">
        <f>'MILK FLOW ENGINE'!AG35</f>
        <v>2256</v>
      </c>
      <c r="AH45" s="64">
        <f>'MILK FLOW ENGINE'!AH35</f>
        <v>2256</v>
      </c>
      <c r="AI45" s="64">
        <f>'MILK FLOW ENGINE'!AI35</f>
        <v>2256</v>
      </c>
      <c r="AJ45" s="64">
        <f>'MILK FLOW ENGINE'!AJ35</f>
        <v>2256</v>
      </c>
      <c r="AK45" s="64">
        <f>'MILK FLOW ENGINE'!AK35</f>
        <v>2256</v>
      </c>
      <c r="AL45" s="64">
        <f>'MILK FLOW ENGINE'!AL35</f>
        <v>2256</v>
      </c>
      <c r="AM45" s="64">
        <f>'MILK FLOW ENGINE'!AM35</f>
        <v>2256</v>
      </c>
      <c r="AN45" s="64">
        <f>'MILK FLOW ENGINE'!AN35</f>
        <v>2256</v>
      </c>
      <c r="AO45" s="64">
        <f>'MILK FLOW ENGINE'!AO35</f>
        <v>6768</v>
      </c>
      <c r="AP45" s="64">
        <f>'MILK FLOW ENGINE'!AP35</f>
        <v>6768</v>
      </c>
      <c r="AQ45" s="64">
        <f>'MILK FLOW ENGINE'!AQ35</f>
        <v>6768</v>
      </c>
      <c r="AR45" s="64">
        <f>'MILK FLOW ENGINE'!AR35</f>
        <v>6768</v>
      </c>
      <c r="AS45" s="64">
        <f>'MILK FLOW ENGINE'!AS35</f>
        <v>6768</v>
      </c>
      <c r="AT45" s="64">
        <f>'MILK FLOW ENGINE'!AT35</f>
        <v>6768</v>
      </c>
      <c r="AU45" s="64">
        <f>'MILK FLOW ENGINE'!AU35</f>
        <v>6768</v>
      </c>
      <c r="AV45" s="64">
        <f>'MILK FLOW ENGINE'!AV35</f>
        <v>6768</v>
      </c>
      <c r="AW45" s="64">
        <f>'MILK FLOW ENGINE'!AW35</f>
        <v>6768</v>
      </c>
      <c r="AX45" s="64">
        <f>'MILK FLOW ENGINE'!AX35</f>
        <v>6768</v>
      </c>
      <c r="AY45" s="64">
        <f>'MILK FLOW ENGINE'!AY35</f>
        <v>6768</v>
      </c>
      <c r="AZ45" s="64">
        <f>'MILK FLOW ENGINE'!AZ35</f>
        <v>6768</v>
      </c>
      <c r="BA45" s="64">
        <f>'MILK FLOW ENGINE'!BA35</f>
        <v>6768</v>
      </c>
      <c r="BB45" s="64">
        <f>'MILK FLOW ENGINE'!BB35</f>
        <v>6768</v>
      </c>
      <c r="BC45" s="64">
        <f>'MILK FLOW ENGINE'!BC35</f>
        <v>6768</v>
      </c>
      <c r="BD45" s="64">
        <f>'MILK FLOW ENGINE'!BD35</f>
        <v>6768</v>
      </c>
      <c r="BE45" s="64">
        <f>'MILK FLOW ENGINE'!BE35</f>
        <v>6768</v>
      </c>
      <c r="BF45" s="64">
        <f>'MILK FLOW ENGINE'!BF35</f>
        <v>6768</v>
      </c>
      <c r="BG45" s="64">
        <f>'MILK FLOW ENGINE'!BG35</f>
        <v>6768</v>
      </c>
      <c r="BH45" s="64">
        <f>'MILK FLOW ENGINE'!BH35</f>
        <v>6768</v>
      </c>
      <c r="BI45" s="64">
        <f>'MILK FLOW ENGINE'!BI35</f>
        <v>6768</v>
      </c>
      <c r="BJ45" s="64">
        <f>'MILK FLOW ENGINE'!BJ35</f>
        <v>6768</v>
      </c>
      <c r="BK45" s="64">
        <f>'MILK FLOW ENGINE'!BK35</f>
        <v>6768</v>
      </c>
      <c r="BL45" s="65">
        <f>'MILK FLOW ENGINE'!BL35</f>
        <v>6768</v>
      </c>
    </row>
    <row r="46" ht="15.75" customHeight="1">
      <c r="D46" s="35" t="s">
        <v>28</v>
      </c>
      <c r="E46" s="64">
        <f>'MILK FLOW ENGINE'!E36</f>
        <v>0</v>
      </c>
      <c r="F46" s="64">
        <f>'MILK FLOW ENGINE'!F36</f>
        <v>0</v>
      </c>
      <c r="G46" s="64">
        <f>'MILK FLOW ENGINE'!G36</f>
        <v>0</v>
      </c>
      <c r="H46" s="64">
        <f>'MILK FLOW ENGINE'!H36</f>
        <v>0</v>
      </c>
      <c r="I46" s="64">
        <f>'MILK FLOW ENGINE'!I36</f>
        <v>0</v>
      </c>
      <c r="J46" s="64">
        <f>'MILK FLOW ENGINE'!J36</f>
        <v>0</v>
      </c>
      <c r="K46" s="64">
        <f>'MILK FLOW ENGINE'!K36</f>
        <v>27072</v>
      </c>
      <c r="L46" s="64">
        <f>'MILK FLOW ENGINE'!L36</f>
        <v>27072</v>
      </c>
      <c r="M46" s="64">
        <f>'MILK FLOW ENGINE'!M36</f>
        <v>27072</v>
      </c>
      <c r="N46" s="64">
        <f>'MILK FLOW ENGINE'!N36</f>
        <v>27072</v>
      </c>
      <c r="O46" s="64">
        <f>'MILK FLOW ENGINE'!O36</f>
        <v>27072</v>
      </c>
      <c r="P46" s="64">
        <f>'MILK FLOW ENGINE'!P36</f>
        <v>27072</v>
      </c>
      <c r="Q46" s="64">
        <f>'MILK FLOW ENGINE'!Q36</f>
        <v>27072</v>
      </c>
      <c r="R46" s="64">
        <f>'MILK FLOW ENGINE'!R36</f>
        <v>27072</v>
      </c>
      <c r="S46" s="64">
        <f>'MILK FLOW ENGINE'!S36</f>
        <v>27072</v>
      </c>
      <c r="T46" s="64">
        <f>'MILK FLOW ENGINE'!T36</f>
        <v>27072</v>
      </c>
      <c r="U46" s="64">
        <f>'MILK FLOW ENGINE'!U36</f>
        <v>27072</v>
      </c>
      <c r="V46" s="64">
        <f>'MILK FLOW ENGINE'!V36</f>
        <v>27072</v>
      </c>
      <c r="W46" s="64">
        <f>'MILK FLOW ENGINE'!W36</f>
        <v>27072</v>
      </c>
      <c r="X46" s="64">
        <f>'MILK FLOW ENGINE'!X36</f>
        <v>27072</v>
      </c>
      <c r="Y46" s="64">
        <f>'MILK FLOW ENGINE'!Y36</f>
        <v>27072</v>
      </c>
      <c r="Z46" s="64">
        <f>'MILK FLOW ENGINE'!Z36</f>
        <v>27072</v>
      </c>
      <c r="AA46" s="64">
        <f>'MILK FLOW ENGINE'!AA36</f>
        <v>27072</v>
      </c>
      <c r="AB46" s="64">
        <f>'MILK FLOW ENGINE'!AB36</f>
        <v>27072</v>
      </c>
      <c r="AC46" s="64">
        <f>'MILK FLOW ENGINE'!AC36</f>
        <v>54144</v>
      </c>
      <c r="AD46" s="64">
        <f>'MILK FLOW ENGINE'!AD36</f>
        <v>54144</v>
      </c>
      <c r="AE46" s="64">
        <f>'MILK FLOW ENGINE'!AE36</f>
        <v>54144</v>
      </c>
      <c r="AF46" s="64">
        <f>'MILK FLOW ENGINE'!AF36</f>
        <v>54144</v>
      </c>
      <c r="AG46" s="64">
        <f>'MILK FLOW ENGINE'!AG36</f>
        <v>54144</v>
      </c>
      <c r="AH46" s="64">
        <f>'MILK FLOW ENGINE'!AH36</f>
        <v>54144</v>
      </c>
      <c r="AI46" s="64">
        <f>'MILK FLOW ENGINE'!AI36</f>
        <v>54144</v>
      </c>
      <c r="AJ46" s="64">
        <f>'MILK FLOW ENGINE'!AJ36</f>
        <v>54144</v>
      </c>
      <c r="AK46" s="64">
        <f>'MILK FLOW ENGINE'!AK36</f>
        <v>54144</v>
      </c>
      <c r="AL46" s="64">
        <f>'MILK FLOW ENGINE'!AL36</f>
        <v>54144</v>
      </c>
      <c r="AM46" s="64">
        <f>'MILK FLOW ENGINE'!AM36</f>
        <v>54144</v>
      </c>
      <c r="AN46" s="64">
        <f>'MILK FLOW ENGINE'!AN36</f>
        <v>54144</v>
      </c>
      <c r="AO46" s="64">
        <f>'MILK FLOW ENGINE'!AO36</f>
        <v>162432</v>
      </c>
      <c r="AP46" s="64">
        <f>'MILK FLOW ENGINE'!AP36</f>
        <v>162432</v>
      </c>
      <c r="AQ46" s="64">
        <f>'MILK FLOW ENGINE'!AQ36</f>
        <v>162432</v>
      </c>
      <c r="AR46" s="64">
        <f>'MILK FLOW ENGINE'!AR36</f>
        <v>162432</v>
      </c>
      <c r="AS46" s="64">
        <f>'MILK FLOW ENGINE'!AS36</f>
        <v>162432</v>
      </c>
      <c r="AT46" s="64">
        <f>'MILK FLOW ENGINE'!AT36</f>
        <v>162432</v>
      </c>
      <c r="AU46" s="64">
        <f>'MILK FLOW ENGINE'!AU36</f>
        <v>162432</v>
      </c>
      <c r="AV46" s="64">
        <f>'MILK FLOW ENGINE'!AV36</f>
        <v>162432</v>
      </c>
      <c r="AW46" s="64">
        <f>'MILK FLOW ENGINE'!AW36</f>
        <v>162432</v>
      </c>
      <c r="AX46" s="64">
        <f>'MILK FLOW ENGINE'!AX36</f>
        <v>162432</v>
      </c>
      <c r="AY46" s="64">
        <f>'MILK FLOW ENGINE'!AY36</f>
        <v>162432</v>
      </c>
      <c r="AZ46" s="64">
        <f>'MILK FLOW ENGINE'!AZ36</f>
        <v>162432</v>
      </c>
      <c r="BA46" s="64">
        <f>'MILK FLOW ENGINE'!BA36</f>
        <v>162432</v>
      </c>
      <c r="BB46" s="64">
        <f>'MILK FLOW ENGINE'!BB36</f>
        <v>162432</v>
      </c>
      <c r="BC46" s="64">
        <f>'MILK FLOW ENGINE'!BC36</f>
        <v>162432</v>
      </c>
      <c r="BD46" s="64">
        <f>'MILK FLOW ENGINE'!BD36</f>
        <v>162432</v>
      </c>
      <c r="BE46" s="64">
        <f>'MILK FLOW ENGINE'!BE36</f>
        <v>162432</v>
      </c>
      <c r="BF46" s="64">
        <f>'MILK FLOW ENGINE'!BF36</f>
        <v>162432</v>
      </c>
      <c r="BG46" s="64">
        <f>'MILK FLOW ENGINE'!BG36</f>
        <v>162432</v>
      </c>
      <c r="BH46" s="64">
        <f>'MILK FLOW ENGINE'!BH36</f>
        <v>162432</v>
      </c>
      <c r="BI46" s="64">
        <f>'MILK FLOW ENGINE'!BI36</f>
        <v>162432</v>
      </c>
      <c r="BJ46" s="64">
        <f>'MILK FLOW ENGINE'!BJ36</f>
        <v>162432</v>
      </c>
      <c r="BK46" s="64">
        <f>'MILK FLOW ENGINE'!BK36</f>
        <v>162432</v>
      </c>
      <c r="BL46" s="65">
        <f>'MILK FLOW ENGINE'!BL36</f>
        <v>162432</v>
      </c>
    </row>
    <row r="47" ht="15.75" customHeight="1">
      <c r="D47" s="35" t="s">
        <v>30</v>
      </c>
      <c r="E47" s="64">
        <f>'MILK FLOW ENGINE'!E37</f>
        <v>0</v>
      </c>
      <c r="F47" s="64">
        <f>'MILK FLOW ENGINE'!F37</f>
        <v>0</v>
      </c>
      <c r="G47" s="64">
        <f>'MILK FLOW ENGINE'!G37</f>
        <v>0</v>
      </c>
      <c r="H47" s="64">
        <f>'MILK FLOW ENGINE'!H37</f>
        <v>0</v>
      </c>
      <c r="I47" s="64">
        <f>'MILK FLOW ENGINE'!I37</f>
        <v>0</v>
      </c>
      <c r="J47" s="64">
        <f>'MILK FLOW ENGINE'!J37</f>
        <v>0</v>
      </c>
      <c r="K47" s="64">
        <f>'MILK FLOW ENGINE'!K37</f>
        <v>5076</v>
      </c>
      <c r="L47" s="64">
        <f>'MILK FLOW ENGINE'!L37</f>
        <v>5076</v>
      </c>
      <c r="M47" s="64">
        <f>'MILK FLOW ENGINE'!M37</f>
        <v>5076</v>
      </c>
      <c r="N47" s="64">
        <f>'MILK FLOW ENGINE'!N37</f>
        <v>5076</v>
      </c>
      <c r="O47" s="64">
        <f>'MILK FLOW ENGINE'!O37</f>
        <v>5076</v>
      </c>
      <c r="P47" s="64">
        <f>'MILK FLOW ENGINE'!P37</f>
        <v>5076</v>
      </c>
      <c r="Q47" s="64">
        <f>'MILK FLOW ENGINE'!Q37</f>
        <v>5076</v>
      </c>
      <c r="R47" s="64">
        <f>'MILK FLOW ENGINE'!R37</f>
        <v>5076</v>
      </c>
      <c r="S47" s="64">
        <f>'MILK FLOW ENGINE'!S37</f>
        <v>5076</v>
      </c>
      <c r="T47" s="64">
        <f>'MILK FLOW ENGINE'!T37</f>
        <v>5076</v>
      </c>
      <c r="U47" s="64">
        <f>'MILK FLOW ENGINE'!U37</f>
        <v>5076</v>
      </c>
      <c r="V47" s="64">
        <f>'MILK FLOW ENGINE'!V37</f>
        <v>5076</v>
      </c>
      <c r="W47" s="64">
        <f>'MILK FLOW ENGINE'!W37</f>
        <v>5076</v>
      </c>
      <c r="X47" s="64">
        <f>'MILK FLOW ENGINE'!X37</f>
        <v>5076</v>
      </c>
      <c r="Y47" s="64">
        <f>'MILK FLOW ENGINE'!Y37</f>
        <v>5076</v>
      </c>
      <c r="Z47" s="64">
        <f>'MILK FLOW ENGINE'!Z37</f>
        <v>5076</v>
      </c>
      <c r="AA47" s="64">
        <f>'MILK FLOW ENGINE'!AA37</f>
        <v>5076</v>
      </c>
      <c r="AB47" s="64">
        <f>'MILK FLOW ENGINE'!AB37</f>
        <v>5076</v>
      </c>
      <c r="AC47" s="64">
        <f>'MILK FLOW ENGINE'!AC37</f>
        <v>10152</v>
      </c>
      <c r="AD47" s="64">
        <f>'MILK FLOW ENGINE'!AD37</f>
        <v>10152</v>
      </c>
      <c r="AE47" s="64">
        <f>'MILK FLOW ENGINE'!AE37</f>
        <v>10152</v>
      </c>
      <c r="AF47" s="64">
        <f>'MILK FLOW ENGINE'!AF37</f>
        <v>10152</v>
      </c>
      <c r="AG47" s="64">
        <f>'MILK FLOW ENGINE'!AG37</f>
        <v>10152</v>
      </c>
      <c r="AH47" s="64">
        <f>'MILK FLOW ENGINE'!AH37</f>
        <v>10152</v>
      </c>
      <c r="AI47" s="64">
        <f>'MILK FLOW ENGINE'!AI37</f>
        <v>10152</v>
      </c>
      <c r="AJ47" s="64">
        <f>'MILK FLOW ENGINE'!AJ37</f>
        <v>10152</v>
      </c>
      <c r="AK47" s="64">
        <f>'MILK FLOW ENGINE'!AK37</f>
        <v>10152</v>
      </c>
      <c r="AL47" s="64">
        <f>'MILK FLOW ENGINE'!AL37</f>
        <v>10152</v>
      </c>
      <c r="AM47" s="64">
        <f>'MILK FLOW ENGINE'!AM37</f>
        <v>10152</v>
      </c>
      <c r="AN47" s="64">
        <f>'MILK FLOW ENGINE'!AN37</f>
        <v>10152</v>
      </c>
      <c r="AO47" s="64">
        <f>'MILK FLOW ENGINE'!AO37</f>
        <v>30456</v>
      </c>
      <c r="AP47" s="64">
        <f>'MILK FLOW ENGINE'!AP37</f>
        <v>30456</v>
      </c>
      <c r="AQ47" s="64">
        <f>'MILK FLOW ENGINE'!AQ37</f>
        <v>30456</v>
      </c>
      <c r="AR47" s="64">
        <f>'MILK FLOW ENGINE'!AR37</f>
        <v>30456</v>
      </c>
      <c r="AS47" s="64">
        <f>'MILK FLOW ENGINE'!AS37</f>
        <v>30456</v>
      </c>
      <c r="AT47" s="64">
        <f>'MILK FLOW ENGINE'!AT37</f>
        <v>30456</v>
      </c>
      <c r="AU47" s="64">
        <f>'MILK FLOW ENGINE'!AU37</f>
        <v>30456</v>
      </c>
      <c r="AV47" s="64">
        <f>'MILK FLOW ENGINE'!AV37</f>
        <v>30456</v>
      </c>
      <c r="AW47" s="64">
        <f>'MILK FLOW ENGINE'!AW37</f>
        <v>30456</v>
      </c>
      <c r="AX47" s="64">
        <f>'MILK FLOW ENGINE'!AX37</f>
        <v>30456</v>
      </c>
      <c r="AY47" s="64">
        <f>'MILK FLOW ENGINE'!AY37</f>
        <v>30456</v>
      </c>
      <c r="AZ47" s="64">
        <f>'MILK FLOW ENGINE'!AZ37</f>
        <v>30456</v>
      </c>
      <c r="BA47" s="64">
        <f>'MILK FLOW ENGINE'!BA37</f>
        <v>30456</v>
      </c>
      <c r="BB47" s="64">
        <f>'MILK FLOW ENGINE'!BB37</f>
        <v>30456</v>
      </c>
      <c r="BC47" s="64">
        <f>'MILK FLOW ENGINE'!BC37</f>
        <v>30456</v>
      </c>
      <c r="BD47" s="64">
        <f>'MILK FLOW ENGINE'!BD37</f>
        <v>30456</v>
      </c>
      <c r="BE47" s="64">
        <f>'MILK FLOW ENGINE'!BE37</f>
        <v>30456</v>
      </c>
      <c r="BF47" s="64">
        <f>'MILK FLOW ENGINE'!BF37</f>
        <v>30456</v>
      </c>
      <c r="BG47" s="64">
        <f>'MILK FLOW ENGINE'!BG37</f>
        <v>30456</v>
      </c>
      <c r="BH47" s="64">
        <f>'MILK FLOW ENGINE'!BH37</f>
        <v>30456</v>
      </c>
      <c r="BI47" s="64">
        <f>'MILK FLOW ENGINE'!BI37</f>
        <v>30456</v>
      </c>
      <c r="BJ47" s="64">
        <f>'MILK FLOW ENGINE'!BJ37</f>
        <v>30456</v>
      </c>
      <c r="BK47" s="64">
        <f>'MILK FLOW ENGINE'!BK37</f>
        <v>30456</v>
      </c>
      <c r="BL47" s="65">
        <f>'MILK FLOW ENGINE'!BL37</f>
        <v>30456</v>
      </c>
    </row>
    <row r="48" ht="15.75" customHeight="1">
      <c r="D48" s="29" t="s">
        <v>154</v>
      </c>
      <c r="BL48" s="31"/>
    </row>
    <row r="49" ht="15.75" customHeight="1">
      <c r="D49" s="35" t="s">
        <v>140</v>
      </c>
      <c r="E49" s="153">
        <f t="array" ref="E49">IFS(AND(E$36 = $E$18, E$36 =ASSUMPTIONS!$E$60), $E22 * E39 * ((ASSUMPTIONS!$E$63 * $I8) + (ASSUMPTIONS!$E$64 * $F8)), 
AND(E$36 = $F$18, E$36 =ASSUMPTIONS!$F$60), $F22 * E39 * ((ASSUMPTIONS!$F$63 * $I8) + (ASSUMPTIONS!$F$64 * $F8)), 
AND(E$36 = $G$18, E$36 =ASSUMPTIONS!$G$60), $G22 * E39 * ((ASSUMPTIONS!$G$63 * $I8) + (ASSUMPTIONS!$G$64 * $F8)), 
AND(E$36 = $H$18, E$36 =ASSUMPTIONS!$H$60), $H22 * E39 * ((ASSUMPTIONS!$H$63 * $I8) + (ASSUMPTIONS!$H$64 * $F8)), 
TRUE, $I22 *E39 * ((ASSUMPTIONS!$I$63 * $I8) + (ASSUMPTIONS!$I$64 * $F8))
)</f>
        <v>0</v>
      </c>
      <c r="F49" s="153">
        <f t="array" ref="F49">IFS(AND(F$36 = $E$18, F$36 =ASSUMPTIONS!$E$60), $E22 * F39 * ((ASSUMPTIONS!$E$63 * $I8) + (ASSUMPTIONS!$E$64 * $F8)), 
AND(F$36 = $F$18, F$36 =ASSUMPTIONS!$F$60), $F22 * F39 * ((ASSUMPTIONS!$F$63 * $I8) + (ASSUMPTIONS!$F$64 * $F8)), 
AND(F$36 = $G$18, F$36 =ASSUMPTIONS!$G$60), $G22 * F39 * ((ASSUMPTIONS!$G$63 * $I8) + (ASSUMPTIONS!$G$64 * $F8)), 
AND(F$36 = $H$18, F$36 =ASSUMPTIONS!$H$60), $H22 * F39 * ((ASSUMPTIONS!$H$63 * $I8) + (ASSUMPTIONS!$H$64 * $F8)), 
TRUE, $I22 *F39 * ((ASSUMPTIONS!$I$63 * $I8) + (ASSUMPTIONS!$I$64 * $F8))
)</f>
        <v>0</v>
      </c>
      <c r="G49" s="153">
        <f t="array" ref="G49">IFS(AND(G$36 = $E$18, G$36 =ASSUMPTIONS!$E$60), $E22 * G39 * ((ASSUMPTIONS!$E$63 * $I8) + (ASSUMPTIONS!$E$64 * $F8)), 
AND(G$36 = $F$18, G$36 =ASSUMPTIONS!$F$60), $F22 * G39 * ((ASSUMPTIONS!$F$63 * $I8) + (ASSUMPTIONS!$F$64 * $F8)), 
AND(G$36 = $G$18, G$36 =ASSUMPTIONS!$G$60), $G22 * G39 * ((ASSUMPTIONS!$G$63 * $I8) + (ASSUMPTIONS!$G$64 * $F8)), 
AND(G$36 = $H$18, G$36 =ASSUMPTIONS!$H$60), $H22 * G39 * ((ASSUMPTIONS!$H$63 * $I8) + (ASSUMPTIONS!$H$64 * $F8)), 
TRUE, $I22 *G39 * ((ASSUMPTIONS!$I$63 * $I8) + (ASSUMPTIONS!$I$64 * $F8))
)</f>
        <v>0</v>
      </c>
      <c r="H49" s="153">
        <f t="array" ref="H49">IFS(AND(H$36 = $E$18, H$36 =ASSUMPTIONS!$E$60), $E22 * H39 * ((ASSUMPTIONS!$E$63 * $I8) + (ASSUMPTIONS!$E$64 * $F8)), 
AND(H$36 = $F$18, H$36 =ASSUMPTIONS!$F$60), $F22 * H39 * ((ASSUMPTIONS!$F$63 * $I8) + (ASSUMPTIONS!$F$64 * $F8)), 
AND(H$36 = $G$18, H$36 =ASSUMPTIONS!$G$60), $G22 * H39 * ((ASSUMPTIONS!$G$63 * $I8) + (ASSUMPTIONS!$G$64 * $F8)), 
AND(H$36 = $H$18, H$36 =ASSUMPTIONS!$H$60), $H22 * H39 * ((ASSUMPTIONS!$H$63 * $I8) + (ASSUMPTIONS!$H$64 * $F8)), 
TRUE, $I22 *H39 * ((ASSUMPTIONS!$I$63 * $I8) + (ASSUMPTIONS!$I$64 * $F8))
)</f>
        <v>0</v>
      </c>
      <c r="I49" s="153">
        <f t="array" ref="I49">IFS(AND(I$36 = $E$18, I$36 =ASSUMPTIONS!$E$60), $E22 * I39 * ((ASSUMPTIONS!$E$63 * $I8) + (ASSUMPTIONS!$E$64 * $F8)), 
AND(I$36 = $F$18, I$36 =ASSUMPTIONS!$F$60), $F22 * I39 * ((ASSUMPTIONS!$F$63 * $I8) + (ASSUMPTIONS!$F$64 * $F8)), 
AND(I$36 = $G$18, I$36 =ASSUMPTIONS!$G$60), $G22 * I39 * ((ASSUMPTIONS!$G$63 * $I8) + (ASSUMPTIONS!$G$64 * $F8)), 
AND(I$36 = $H$18, I$36 =ASSUMPTIONS!$H$60), $H22 * I39 * ((ASSUMPTIONS!$H$63 * $I8) + (ASSUMPTIONS!$H$64 * $F8)), 
TRUE, $I22 *I39 * ((ASSUMPTIONS!$I$63 * $I8) + (ASSUMPTIONS!$I$64 * $F8))
)</f>
        <v>2387024.64</v>
      </c>
      <c r="J49" s="153">
        <f t="array" ref="J49">IFS(AND(J$36 = $E$18, J$36 =ASSUMPTIONS!$E$60), $E22 * J39 * ((ASSUMPTIONS!$E$63 * $I8) + (ASSUMPTIONS!$E$64 * $F8)), 
AND(J$36 = $F$18, J$36 =ASSUMPTIONS!$F$60), $F22 * J39 * ((ASSUMPTIONS!$F$63 * $I8) + (ASSUMPTIONS!$F$64 * $F8)), 
AND(J$36 = $G$18, J$36 =ASSUMPTIONS!$G$60), $G22 * J39 * ((ASSUMPTIONS!$G$63 * $I8) + (ASSUMPTIONS!$G$64 * $F8)), 
AND(J$36 = $H$18, J$36 =ASSUMPTIONS!$H$60), $H22 * J39 * ((ASSUMPTIONS!$H$63 * $I8) + (ASSUMPTIONS!$H$64 * $F8)), 
TRUE, $I22 *J39 * ((ASSUMPTIONS!$I$63 * $I8) + (ASSUMPTIONS!$I$64 * $F8))
)</f>
        <v>4774049.28</v>
      </c>
      <c r="K49" s="153">
        <f t="array" ref="K49">IFS(AND(K$36 = $E$18, K$36 =ASSUMPTIONS!$E$60), $E22 * K39 * ((ASSUMPTIONS!$E$63 * $I8) + (ASSUMPTIONS!$E$64 * $F8)), 
AND(K$36 = $F$18, K$36 =ASSUMPTIONS!$F$60), $F22 * K39 * ((ASSUMPTIONS!$F$63 * $I8) + (ASSUMPTIONS!$F$64 * $F8)), 
AND(K$36 = $G$18, K$36 =ASSUMPTIONS!$G$60), $G22 * K39 * ((ASSUMPTIONS!$G$63 * $I8) + (ASSUMPTIONS!$G$64 * $F8)), 
AND(K$36 = $H$18, K$36 =ASSUMPTIONS!$H$60), $H22 * K39 * ((ASSUMPTIONS!$H$63 * $I8) + (ASSUMPTIONS!$H$64 * $F8)), 
TRUE, $I22 *K39 * ((ASSUMPTIONS!$I$63 * $I8) + (ASSUMPTIONS!$I$64 * $F8))
)</f>
        <v>7161073.92</v>
      </c>
      <c r="L49" s="153">
        <f t="array" ref="L49">IFS(AND(L$36 = $E$18, L$36 =ASSUMPTIONS!$E$60), $E22 * L39 * ((ASSUMPTIONS!$E$63 * $I8) + (ASSUMPTIONS!$E$64 * $F8)), 
AND(L$36 = $F$18, L$36 =ASSUMPTIONS!$F$60), $F22 * L39 * ((ASSUMPTIONS!$F$63 * $I8) + (ASSUMPTIONS!$F$64 * $F8)), 
AND(L$36 = $G$18, L$36 =ASSUMPTIONS!$G$60), $G22 * L39 * ((ASSUMPTIONS!$G$63 * $I8) + (ASSUMPTIONS!$G$64 * $F8)), 
AND(L$36 = $H$18, L$36 =ASSUMPTIONS!$H$60), $H22 * L39 * ((ASSUMPTIONS!$H$63 * $I8) + (ASSUMPTIONS!$H$64 * $F8)), 
TRUE, $I22 *L39 * ((ASSUMPTIONS!$I$63 * $I8) + (ASSUMPTIONS!$I$64 * $F8))
)</f>
        <v>9548098.56</v>
      </c>
      <c r="M49" s="153">
        <f t="array" ref="M49">IFS(AND(M$36 = $E$18, M$36 =ASSUMPTIONS!$E$60), $E22 * M39 * ((ASSUMPTIONS!$E$63 * $I8) + (ASSUMPTIONS!$E$64 * $F8)), 
AND(M$36 = $F$18, M$36 =ASSUMPTIONS!$F$60), $F22 * M39 * ((ASSUMPTIONS!$F$63 * $I8) + (ASSUMPTIONS!$F$64 * $F8)), 
AND(M$36 = $G$18, M$36 =ASSUMPTIONS!$G$60), $G22 * M39 * ((ASSUMPTIONS!$G$63 * $I8) + (ASSUMPTIONS!$G$64 * $F8)), 
AND(M$36 = $H$18, M$36 =ASSUMPTIONS!$H$60), $H22 * M39 * ((ASSUMPTIONS!$H$63 * $I8) + (ASSUMPTIONS!$H$64 * $F8)), 
TRUE, $I22 *M39 * ((ASSUMPTIONS!$I$63 * $I8) + (ASSUMPTIONS!$I$64 * $F8))
)</f>
        <v>11935123.2</v>
      </c>
      <c r="N49" s="153">
        <f t="array" ref="N49">IFS(AND(N$36 = $E$18, N$36 =ASSUMPTIONS!$E$60), $E22 * N39 * ((ASSUMPTIONS!$E$63 * $I8) + (ASSUMPTIONS!$E$64 * $F8)), 
AND(N$36 = $F$18, N$36 =ASSUMPTIONS!$F$60), $F22 * N39 * ((ASSUMPTIONS!$F$63 * $I8) + (ASSUMPTIONS!$F$64 * $F8)), 
AND(N$36 = $G$18, N$36 =ASSUMPTIONS!$G$60), $G22 * N39 * ((ASSUMPTIONS!$G$63 * $I8) + (ASSUMPTIONS!$G$64 * $F8)), 
AND(N$36 = $H$18, N$36 =ASSUMPTIONS!$H$60), $H22 * N39 * ((ASSUMPTIONS!$H$63 * $I8) + (ASSUMPTIONS!$H$64 * $F8)), 
TRUE, $I22 *N39 * ((ASSUMPTIONS!$I$63 * $I8) + (ASSUMPTIONS!$I$64 * $F8))
)</f>
        <v>14322147.84</v>
      </c>
      <c r="O49" s="153">
        <f t="array" ref="O49">IFS(AND(O$36 = $E$18, O$36 =ASSUMPTIONS!$E$60), $E22 * O39 * ((ASSUMPTIONS!$E$63 * $I8) + (ASSUMPTIONS!$E$64 * $F8)), 
AND(O$36 = $F$18, O$36 =ASSUMPTIONS!$F$60), $F22 * O39 * ((ASSUMPTIONS!$F$63 * $I8) + (ASSUMPTIONS!$F$64 * $F8)), 
AND(O$36 = $G$18, O$36 =ASSUMPTIONS!$G$60), $G22 * O39 * ((ASSUMPTIONS!$G$63 * $I8) + (ASSUMPTIONS!$G$64 * $F8)), 
AND(O$36 = $H$18, O$36 =ASSUMPTIONS!$H$60), $H22 * O39 * ((ASSUMPTIONS!$H$63 * $I8) + (ASSUMPTIONS!$H$64 * $F8)), 
TRUE, $I22 *O39 * ((ASSUMPTIONS!$I$63 * $I8) + (ASSUMPTIONS!$I$64 * $F8))
)</f>
        <v>16709172.48</v>
      </c>
      <c r="P49" s="153">
        <f t="array" ref="P49">IFS(AND(P$36 = $E$18, P$36 =ASSUMPTIONS!$E$60), $E22 * P39 * ((ASSUMPTIONS!$E$63 * $I8) + (ASSUMPTIONS!$E$64 * $F8)), 
AND(P$36 = $F$18, P$36 =ASSUMPTIONS!$F$60), $F22 * P39 * ((ASSUMPTIONS!$F$63 * $I8) + (ASSUMPTIONS!$F$64 * $F8)), 
AND(P$36 = $G$18, P$36 =ASSUMPTIONS!$G$60), $G22 * P39 * ((ASSUMPTIONS!$G$63 * $I8) + (ASSUMPTIONS!$G$64 * $F8)), 
AND(P$36 = $H$18, P$36 =ASSUMPTIONS!$H$60), $H22 * P39 * ((ASSUMPTIONS!$H$63 * $I8) + (ASSUMPTIONS!$H$64 * $F8)), 
TRUE, $I22 *P39 * ((ASSUMPTIONS!$I$63 * $I8) + (ASSUMPTIONS!$I$64 * $F8))
)</f>
        <v>19096197.12</v>
      </c>
      <c r="Q49" s="153">
        <f t="array" ref="Q49">IFS(AND(Q$36 = $E$18, Q$36 =ASSUMPTIONS!$E$60), $E22 * Q39 * ((ASSUMPTIONS!$E$63 * $I8) + (ASSUMPTIONS!$E$64 * $F8)), 
AND(Q$36 = $F$18, Q$36 =ASSUMPTIONS!$F$60), $F22 * Q39 * ((ASSUMPTIONS!$F$63 * $I8) + (ASSUMPTIONS!$F$64 * $F8)), 
AND(Q$36 = $G$18, Q$36 =ASSUMPTIONS!$G$60), $G22 * Q39 * ((ASSUMPTIONS!$G$63 * $I8) + (ASSUMPTIONS!$G$64 * $F8)), 
AND(Q$36 = $H$18, Q$36 =ASSUMPTIONS!$H$60), $H22 * Q39 * ((ASSUMPTIONS!$H$63 * $I8) + (ASSUMPTIONS!$H$64 * $F8)), 
TRUE, $I22 *Q39 * ((ASSUMPTIONS!$I$63 * $I8) + (ASSUMPTIONS!$I$64 * $F8))
)</f>
        <v>22452991.29</v>
      </c>
      <c r="R49" s="153">
        <f t="array" ref="R49">IFS(AND(R$36 = $E$18, R$36 =ASSUMPTIONS!$E$60), $E22 * R39 * ((ASSUMPTIONS!$E$63 * $I8) + (ASSUMPTIONS!$E$64 * $F8)), 
AND(R$36 = $F$18, R$36 =ASSUMPTIONS!$F$60), $F22 * R39 * ((ASSUMPTIONS!$F$63 * $I8) + (ASSUMPTIONS!$F$64 * $F8)), 
AND(R$36 = $G$18, R$36 =ASSUMPTIONS!$G$60), $G22 * R39 * ((ASSUMPTIONS!$G$63 * $I8) + (ASSUMPTIONS!$G$64 * $F8)), 
AND(R$36 = $H$18, R$36 =ASSUMPTIONS!$H$60), $H22 * R39 * ((ASSUMPTIONS!$H$63 * $I8) + (ASSUMPTIONS!$H$64 * $F8)), 
TRUE, $I22 *R39 * ((ASSUMPTIONS!$I$63 * $I8) + (ASSUMPTIONS!$I$64 * $F8))
)</f>
        <v>24947768.1</v>
      </c>
      <c r="S49" s="153">
        <f t="array" ref="S49">IFS(AND(S$36 = $E$18, S$36 =ASSUMPTIONS!$E$60), $E22 * S39 * ((ASSUMPTIONS!$E$63 * $I8) + (ASSUMPTIONS!$E$64 * $F8)), 
AND(S$36 = $F$18, S$36 =ASSUMPTIONS!$F$60), $F22 * S39 * ((ASSUMPTIONS!$F$63 * $I8) + (ASSUMPTIONS!$F$64 * $F8)), 
AND(S$36 = $G$18, S$36 =ASSUMPTIONS!$G$60), $G22 * S39 * ((ASSUMPTIONS!$G$63 * $I8) + (ASSUMPTIONS!$G$64 * $F8)), 
AND(S$36 = $H$18, S$36 =ASSUMPTIONS!$H$60), $H22 * S39 * ((ASSUMPTIONS!$H$63 * $I8) + (ASSUMPTIONS!$H$64 * $F8)), 
TRUE, $I22 *S39 * ((ASSUMPTIONS!$I$63 * $I8) + (ASSUMPTIONS!$I$64 * $F8))
)</f>
        <v>27442544.91</v>
      </c>
      <c r="T49" s="153">
        <f t="array" ref="T49">IFS(AND(T$36 = $E$18, T$36 =ASSUMPTIONS!$E$60), $E22 * T39 * ((ASSUMPTIONS!$E$63 * $I8) + (ASSUMPTIONS!$E$64 * $F8)), 
AND(T$36 = $F$18, T$36 =ASSUMPTIONS!$F$60), $F22 * T39 * ((ASSUMPTIONS!$F$63 * $I8) + (ASSUMPTIONS!$F$64 * $F8)), 
AND(T$36 = $G$18, T$36 =ASSUMPTIONS!$G$60), $G22 * T39 * ((ASSUMPTIONS!$G$63 * $I8) + (ASSUMPTIONS!$G$64 * $F8)), 
AND(T$36 = $H$18, T$36 =ASSUMPTIONS!$H$60), $H22 * T39 * ((ASSUMPTIONS!$H$63 * $I8) + (ASSUMPTIONS!$H$64 * $F8)), 
TRUE, $I22 *T39 * ((ASSUMPTIONS!$I$63 * $I8) + (ASSUMPTIONS!$I$64 * $F8))
)</f>
        <v>29937321.72</v>
      </c>
      <c r="U49" s="153">
        <f t="array" ref="U49">IFS(AND(U$36 = $E$18, U$36 =ASSUMPTIONS!$E$60), $E22 * U39 * ((ASSUMPTIONS!$E$63 * $I8) + (ASSUMPTIONS!$E$64 * $F8)), 
AND(U$36 = $F$18, U$36 =ASSUMPTIONS!$F$60), $F22 * U39 * ((ASSUMPTIONS!$F$63 * $I8) + (ASSUMPTIONS!$F$64 * $F8)), 
AND(U$36 = $G$18, U$36 =ASSUMPTIONS!$G$60), $G22 * U39 * ((ASSUMPTIONS!$G$63 * $I8) + (ASSUMPTIONS!$G$64 * $F8)), 
AND(U$36 = $H$18, U$36 =ASSUMPTIONS!$H$60), $H22 * U39 * ((ASSUMPTIONS!$H$63 * $I8) + (ASSUMPTIONS!$H$64 * $F8)), 
TRUE, $I22 *U39 * ((ASSUMPTIONS!$I$63 * $I8) + (ASSUMPTIONS!$I$64 * $F8))
)</f>
        <v>32432098.53</v>
      </c>
      <c r="V49" s="153">
        <f t="array" ref="V49">IFS(AND(V$36 = $E$18, V$36 =ASSUMPTIONS!$E$60), $E22 * V39 * ((ASSUMPTIONS!$E$63 * $I8) + (ASSUMPTIONS!$E$64 * $F8)), 
AND(V$36 = $F$18, V$36 =ASSUMPTIONS!$F$60), $F22 * V39 * ((ASSUMPTIONS!$F$63 * $I8) + (ASSUMPTIONS!$F$64 * $F8)), 
AND(V$36 = $G$18, V$36 =ASSUMPTIONS!$G$60), $G22 * V39 * ((ASSUMPTIONS!$G$63 * $I8) + (ASSUMPTIONS!$G$64 * $F8)), 
AND(V$36 = $H$18, V$36 =ASSUMPTIONS!$H$60), $H22 * V39 * ((ASSUMPTIONS!$H$63 * $I8) + (ASSUMPTIONS!$H$64 * $F8)), 
TRUE, $I22 *V39 * ((ASSUMPTIONS!$I$63 * $I8) + (ASSUMPTIONS!$I$64 * $F8))
)</f>
        <v>34926875.34</v>
      </c>
      <c r="W49" s="153">
        <f t="array" ref="W49">IFS(AND(W$36 = $E$18, W$36 =ASSUMPTIONS!$E$60), $E22 * W39 * ((ASSUMPTIONS!$E$63 * $I8) + (ASSUMPTIONS!$E$64 * $F8)), 
AND(W$36 = $F$18, W$36 =ASSUMPTIONS!$F$60), $F22 * W39 * ((ASSUMPTIONS!$F$63 * $I8) + (ASSUMPTIONS!$F$64 * $F8)), 
AND(W$36 = $G$18, W$36 =ASSUMPTIONS!$G$60), $G22 * W39 * ((ASSUMPTIONS!$G$63 * $I8) + (ASSUMPTIONS!$G$64 * $F8)), 
AND(W$36 = $H$18, W$36 =ASSUMPTIONS!$H$60), $H22 * W39 * ((ASSUMPTIONS!$H$63 * $I8) + (ASSUMPTIONS!$H$64 * $F8)), 
TRUE, $I22 *W39 * ((ASSUMPTIONS!$I$63 * $I8) + (ASSUMPTIONS!$I$64 * $F8))
)</f>
        <v>37421652.15</v>
      </c>
      <c r="X49" s="153">
        <f t="array" ref="X49">IFS(AND(X$36 = $E$18, X$36 =ASSUMPTIONS!$E$60), $E22 * X39 * ((ASSUMPTIONS!$E$63 * $I8) + (ASSUMPTIONS!$E$64 * $F8)), 
AND(X$36 = $F$18, X$36 =ASSUMPTIONS!$F$60), $F22 * X39 * ((ASSUMPTIONS!$F$63 * $I8) + (ASSUMPTIONS!$F$64 * $F8)), 
AND(X$36 = $G$18, X$36 =ASSUMPTIONS!$G$60), $G22 * X39 * ((ASSUMPTIONS!$G$63 * $I8) + (ASSUMPTIONS!$G$64 * $F8)), 
AND(X$36 = $H$18, X$36 =ASSUMPTIONS!$H$60), $H22 * X39 * ((ASSUMPTIONS!$H$63 * $I8) + (ASSUMPTIONS!$H$64 * $F8)), 
TRUE, $I22 *X39 * ((ASSUMPTIONS!$I$63 * $I8) + (ASSUMPTIONS!$I$64 * $F8))
)</f>
        <v>39916428.96</v>
      </c>
      <c r="Y49" s="153">
        <f t="array" ref="Y49">IFS(AND(Y$36 = $E$18, Y$36 =ASSUMPTIONS!$E$60), $E22 * Y39 * ((ASSUMPTIONS!$E$63 * $I8) + (ASSUMPTIONS!$E$64 * $F8)), 
AND(Y$36 = $F$18, Y$36 =ASSUMPTIONS!$F$60), $F22 * Y39 * ((ASSUMPTIONS!$F$63 * $I8) + (ASSUMPTIONS!$F$64 * $F8)), 
AND(Y$36 = $G$18, Y$36 =ASSUMPTIONS!$G$60), $G22 * Y39 * ((ASSUMPTIONS!$G$63 * $I8) + (ASSUMPTIONS!$G$64 * $F8)), 
AND(Y$36 = $H$18, Y$36 =ASSUMPTIONS!$H$60), $H22 * Y39 * ((ASSUMPTIONS!$H$63 * $I8) + (ASSUMPTIONS!$H$64 * $F8)), 
TRUE, $I22 *Y39 * ((ASSUMPTIONS!$I$63 * $I8) + (ASSUMPTIONS!$I$64 * $F8))
)</f>
        <v>42411205.77</v>
      </c>
      <c r="Z49" s="153">
        <f t="array" ref="Z49">IFS(AND(Z$36 = $E$18, Z$36 =ASSUMPTIONS!$E$60), $E22 * Z39 * ((ASSUMPTIONS!$E$63 * $I8) + (ASSUMPTIONS!$E$64 * $F8)), 
AND(Z$36 = $F$18, Z$36 =ASSUMPTIONS!$F$60), $F22 * Z39 * ((ASSUMPTIONS!$F$63 * $I8) + (ASSUMPTIONS!$F$64 * $F8)), 
AND(Z$36 = $G$18, Z$36 =ASSUMPTIONS!$G$60), $G22 * Z39 * ((ASSUMPTIONS!$G$63 * $I8) + (ASSUMPTIONS!$G$64 * $F8)), 
AND(Z$36 = $H$18, Z$36 =ASSUMPTIONS!$H$60), $H22 * Z39 * ((ASSUMPTIONS!$H$63 * $I8) + (ASSUMPTIONS!$H$64 * $F8)), 
TRUE, $I22 *Z39 * ((ASSUMPTIONS!$I$63 * $I8) + (ASSUMPTIONS!$I$64 * $F8))
)</f>
        <v>44905982.58</v>
      </c>
      <c r="AA49" s="153">
        <f t="array" ref="AA49">IFS(AND(AA$36 = $E$18, AA$36 =ASSUMPTIONS!$E$60), $E22 * AA39 * ((ASSUMPTIONS!$E$63 * $I8) + (ASSUMPTIONS!$E$64 * $F8)), 
AND(AA$36 = $F$18, AA$36 =ASSUMPTIONS!$F$60), $F22 * AA39 * ((ASSUMPTIONS!$F$63 * $I8) + (ASSUMPTIONS!$F$64 * $F8)), 
AND(AA$36 = $G$18, AA$36 =ASSUMPTIONS!$G$60), $G22 * AA39 * ((ASSUMPTIONS!$G$63 * $I8) + (ASSUMPTIONS!$G$64 * $F8)), 
AND(AA$36 = $H$18, AA$36 =ASSUMPTIONS!$H$60), $H22 * AA39 * ((ASSUMPTIONS!$H$63 * $I8) + (ASSUMPTIONS!$H$64 * $F8)), 
TRUE, $I22 *AA39 * ((ASSUMPTIONS!$I$63 * $I8) + (ASSUMPTIONS!$I$64 * $F8))
)</f>
        <v>47400759.39</v>
      </c>
      <c r="AB49" s="153">
        <f t="array" ref="AB49">IFS(AND(AB$36 = $E$18, AB$36 =ASSUMPTIONS!$E$60), $E22 * AB39 * ((ASSUMPTIONS!$E$63 * $I8) + (ASSUMPTIONS!$E$64 * $F8)), 
AND(AB$36 = $F$18, AB$36 =ASSUMPTIONS!$F$60), $F22 * AB39 * ((ASSUMPTIONS!$F$63 * $I8) + (ASSUMPTIONS!$F$64 * $F8)), 
AND(AB$36 = $G$18, AB$36 =ASSUMPTIONS!$G$60), $G22 * AB39 * ((ASSUMPTIONS!$G$63 * $I8) + (ASSUMPTIONS!$G$64 * $F8)), 
AND(AB$36 = $H$18, AB$36 =ASSUMPTIONS!$H$60), $H22 * AB39 * ((ASSUMPTIONS!$H$63 * $I8) + (ASSUMPTIONS!$H$64 * $F8)), 
TRUE, $I22 *AB39 * ((ASSUMPTIONS!$I$63 * $I8) + (ASSUMPTIONS!$I$64 * $F8))
)</f>
        <v>49895536.2</v>
      </c>
      <c r="AC49" s="153">
        <f t="array" ref="AC49">IFS(AND(AC$36 = $E$18, AC$36 =ASSUMPTIONS!$E$60), $E22 * AC39 * ((ASSUMPTIONS!$E$63 * $I8) + (ASSUMPTIONS!$E$64 * $F8)), 
AND(AC$36 = $F$18, AC$36 =ASSUMPTIONS!$F$60), $F22 * AC39 * ((ASSUMPTIONS!$F$63 * $I8) + (ASSUMPTIONS!$F$64 * $F8)), 
AND(AC$36 = $G$18, AC$36 =ASSUMPTIONS!$G$60), $G22 * AC39 * ((ASSUMPTIONS!$G$63 * $I8) + (ASSUMPTIONS!$G$64 * $F8)), 
AND(AC$36 = $H$18, AC$36 =ASSUMPTIONS!$H$60), $H22 * AC39 * ((ASSUMPTIONS!$H$63 * $I8) + (ASSUMPTIONS!$H$64 * $F8)), 
TRUE, $I22 *AC39 * ((ASSUMPTIONS!$I$63 * $I8) + (ASSUMPTIONS!$I$64 * $F8))
)</f>
        <v>55525500.71</v>
      </c>
      <c r="AD49" s="153">
        <f t="array" ref="AD49">IFS(AND(AD$36 = $E$18, AD$36 =ASSUMPTIONS!$E$60), $E22 * AD39 * ((ASSUMPTIONS!$E$63 * $I8) + (ASSUMPTIONS!$E$64 * $F8)), 
AND(AD$36 = $F$18, AD$36 =ASSUMPTIONS!$F$60), $F22 * AD39 * ((ASSUMPTIONS!$F$63 * $I8) + (ASSUMPTIONS!$F$64 * $F8)), 
AND(AD$36 = $G$18, AD$36 =ASSUMPTIONS!$G$60), $G22 * AD39 * ((ASSUMPTIONS!$G$63 * $I8) + (ASSUMPTIONS!$G$64 * $F8)), 
AND(AD$36 = $H$18, AD$36 =ASSUMPTIONS!$H$60), $H22 * AD39 * ((ASSUMPTIONS!$H$63 * $I8) + (ASSUMPTIONS!$H$64 * $F8)), 
TRUE, $I22 *AD39 * ((ASSUMPTIONS!$I$63 * $I8) + (ASSUMPTIONS!$I$64 * $F8))
)</f>
        <v>58169572.17</v>
      </c>
      <c r="AE49" s="153">
        <f t="array" ref="AE49">IFS(AND(AE$36 = $E$18, AE$36 =ASSUMPTIONS!$E$60), $E22 * AE39 * ((ASSUMPTIONS!$E$63 * $I8) + (ASSUMPTIONS!$E$64 * $F8)), 
AND(AE$36 = $F$18, AE$36 =ASSUMPTIONS!$F$60), $F22 * AE39 * ((ASSUMPTIONS!$F$63 * $I8) + (ASSUMPTIONS!$F$64 * $F8)), 
AND(AE$36 = $G$18, AE$36 =ASSUMPTIONS!$G$60), $G22 * AE39 * ((ASSUMPTIONS!$G$63 * $I8) + (ASSUMPTIONS!$G$64 * $F8)), 
AND(AE$36 = $H$18, AE$36 =ASSUMPTIONS!$H$60), $H22 * AE39 * ((ASSUMPTIONS!$H$63 * $I8) + (ASSUMPTIONS!$H$64 * $F8)), 
TRUE, $I22 *AE39 * ((ASSUMPTIONS!$I$63 * $I8) + (ASSUMPTIONS!$I$64 * $F8))
)</f>
        <v>60813643.64</v>
      </c>
      <c r="AF49" s="153">
        <f t="array" ref="AF49">IFS(AND(AF$36 = $E$18, AF$36 =ASSUMPTIONS!$E$60), $E22 * AF39 * ((ASSUMPTIONS!$E$63 * $I8) + (ASSUMPTIONS!$E$64 * $F8)), 
AND(AF$36 = $F$18, AF$36 =ASSUMPTIONS!$F$60), $F22 * AF39 * ((ASSUMPTIONS!$F$63 * $I8) + (ASSUMPTIONS!$F$64 * $F8)), 
AND(AF$36 = $G$18, AF$36 =ASSUMPTIONS!$G$60), $G22 * AF39 * ((ASSUMPTIONS!$G$63 * $I8) + (ASSUMPTIONS!$G$64 * $F8)), 
AND(AF$36 = $H$18, AF$36 =ASSUMPTIONS!$H$60), $H22 * AF39 * ((ASSUMPTIONS!$H$63 * $I8) + (ASSUMPTIONS!$H$64 * $F8)), 
TRUE, $I22 *AF39 * ((ASSUMPTIONS!$I$63 * $I8) + (ASSUMPTIONS!$I$64 * $F8))
)</f>
        <v>63457715.1</v>
      </c>
      <c r="AG49" s="153">
        <f t="array" ref="AG49">IFS(AND(AG$36 = $E$18, AG$36 =ASSUMPTIONS!$E$60), $E22 * AG39 * ((ASSUMPTIONS!$E$63 * $I8) + (ASSUMPTIONS!$E$64 * $F8)), 
AND(AG$36 = $F$18, AG$36 =ASSUMPTIONS!$F$60), $F22 * AG39 * ((ASSUMPTIONS!$F$63 * $I8) + (ASSUMPTIONS!$F$64 * $F8)), 
AND(AG$36 = $G$18, AG$36 =ASSUMPTIONS!$G$60), $G22 * AG39 * ((ASSUMPTIONS!$G$63 * $I8) + (ASSUMPTIONS!$G$64 * $F8)), 
AND(AG$36 = $H$18, AG$36 =ASSUMPTIONS!$H$60), $H22 * AG39 * ((ASSUMPTIONS!$H$63 * $I8) + (ASSUMPTIONS!$H$64 * $F8)), 
TRUE, $I22 *AG39 * ((ASSUMPTIONS!$I$63 * $I8) + (ASSUMPTIONS!$I$64 * $F8))
)</f>
        <v>66101786.56</v>
      </c>
      <c r="AH49" s="153">
        <f t="array" ref="AH49">IFS(AND(AH$36 = $E$18, AH$36 =ASSUMPTIONS!$E$60), $E22 * AH39 * ((ASSUMPTIONS!$E$63 * $I8) + (ASSUMPTIONS!$E$64 * $F8)), 
AND(AH$36 = $F$18, AH$36 =ASSUMPTIONS!$F$60), $F22 * AH39 * ((ASSUMPTIONS!$F$63 * $I8) + (ASSUMPTIONS!$F$64 * $F8)), 
AND(AH$36 = $G$18, AH$36 =ASSUMPTIONS!$G$60), $G22 * AH39 * ((ASSUMPTIONS!$G$63 * $I8) + (ASSUMPTIONS!$G$64 * $F8)), 
AND(AH$36 = $H$18, AH$36 =ASSUMPTIONS!$H$60), $H22 * AH39 * ((ASSUMPTIONS!$H$63 * $I8) + (ASSUMPTIONS!$H$64 * $F8)), 
TRUE, $I22 *AH39 * ((ASSUMPTIONS!$I$63 * $I8) + (ASSUMPTIONS!$I$64 * $F8))
)</f>
        <v>68745858.02</v>
      </c>
      <c r="AI49" s="153">
        <f t="array" ref="AI49">IFS(AND(AI$36 = $E$18, AI$36 =ASSUMPTIONS!$E$60), $E22 * AI39 * ((ASSUMPTIONS!$E$63 * $I8) + (ASSUMPTIONS!$E$64 * $F8)), 
AND(AI$36 = $F$18, AI$36 =ASSUMPTIONS!$F$60), $F22 * AI39 * ((ASSUMPTIONS!$F$63 * $I8) + (ASSUMPTIONS!$F$64 * $F8)), 
AND(AI$36 = $G$18, AI$36 =ASSUMPTIONS!$G$60), $G22 * AI39 * ((ASSUMPTIONS!$G$63 * $I8) + (ASSUMPTIONS!$G$64 * $F8)), 
AND(AI$36 = $H$18, AI$36 =ASSUMPTIONS!$H$60), $H22 * AI39 * ((ASSUMPTIONS!$H$63 * $I8) + (ASSUMPTIONS!$H$64 * $F8)), 
TRUE, $I22 *AI39 * ((ASSUMPTIONS!$I$63 * $I8) + (ASSUMPTIONS!$I$64 * $F8))
)</f>
        <v>71389929.49</v>
      </c>
      <c r="AJ49" s="153">
        <f t="array" ref="AJ49">IFS(AND(AJ$36 = $E$18, AJ$36 =ASSUMPTIONS!$E$60), $E22 * AJ39 * ((ASSUMPTIONS!$E$63 * $I8) + (ASSUMPTIONS!$E$64 * $F8)), 
AND(AJ$36 = $F$18, AJ$36 =ASSUMPTIONS!$F$60), $F22 * AJ39 * ((ASSUMPTIONS!$F$63 * $I8) + (ASSUMPTIONS!$F$64 * $F8)), 
AND(AJ$36 = $G$18, AJ$36 =ASSUMPTIONS!$G$60), $G22 * AJ39 * ((ASSUMPTIONS!$G$63 * $I8) + (ASSUMPTIONS!$G$64 * $F8)), 
AND(AJ$36 = $H$18, AJ$36 =ASSUMPTIONS!$H$60), $H22 * AJ39 * ((ASSUMPTIONS!$H$63 * $I8) + (ASSUMPTIONS!$H$64 * $F8)), 
TRUE, $I22 *AJ39 * ((ASSUMPTIONS!$I$63 * $I8) + (ASSUMPTIONS!$I$64 * $F8))
)</f>
        <v>74034000.95</v>
      </c>
      <c r="AK49" s="153">
        <f t="array" ref="AK49">IFS(AND(AK$36 = $E$18, AK$36 =ASSUMPTIONS!$E$60), $E22 * AK39 * ((ASSUMPTIONS!$E$63 * $I8) + (ASSUMPTIONS!$E$64 * $F8)), 
AND(AK$36 = $F$18, AK$36 =ASSUMPTIONS!$F$60), $F22 * AK39 * ((ASSUMPTIONS!$F$63 * $I8) + (ASSUMPTIONS!$F$64 * $F8)), 
AND(AK$36 = $G$18, AK$36 =ASSUMPTIONS!$G$60), $G22 * AK39 * ((ASSUMPTIONS!$G$63 * $I8) + (ASSUMPTIONS!$G$64 * $F8)), 
AND(AK$36 = $H$18, AK$36 =ASSUMPTIONS!$H$60), $H22 * AK39 * ((ASSUMPTIONS!$H$63 * $I8) + (ASSUMPTIONS!$H$64 * $F8)), 
TRUE, $I22 *AK39 * ((ASSUMPTIONS!$I$63 * $I8) + (ASSUMPTIONS!$I$64 * $F8))
)</f>
        <v>76678072.41</v>
      </c>
      <c r="AL49" s="153">
        <f t="array" ref="AL49">IFS(AND(AL$36 = $E$18, AL$36 =ASSUMPTIONS!$E$60), $E22 * AL39 * ((ASSUMPTIONS!$E$63 * $I8) + (ASSUMPTIONS!$E$64 * $F8)), 
AND(AL$36 = $F$18, AL$36 =ASSUMPTIONS!$F$60), $F22 * AL39 * ((ASSUMPTIONS!$F$63 * $I8) + (ASSUMPTIONS!$F$64 * $F8)), 
AND(AL$36 = $G$18, AL$36 =ASSUMPTIONS!$G$60), $G22 * AL39 * ((ASSUMPTIONS!$G$63 * $I8) + (ASSUMPTIONS!$G$64 * $F8)), 
AND(AL$36 = $H$18, AL$36 =ASSUMPTIONS!$H$60), $H22 * AL39 * ((ASSUMPTIONS!$H$63 * $I8) + (ASSUMPTIONS!$H$64 * $F8)), 
TRUE, $I22 *AL39 * ((ASSUMPTIONS!$I$63 * $I8) + (ASSUMPTIONS!$I$64 * $F8))
)</f>
        <v>79322143.87</v>
      </c>
      <c r="AM49" s="153">
        <f t="array" ref="AM49">IFS(AND(AM$36 = $E$18, AM$36 =ASSUMPTIONS!$E$60), $E22 * AM39 * ((ASSUMPTIONS!$E$63 * $I8) + (ASSUMPTIONS!$E$64 * $F8)), 
AND(AM$36 = $F$18, AM$36 =ASSUMPTIONS!$F$60), $F22 * AM39 * ((ASSUMPTIONS!$F$63 * $I8) + (ASSUMPTIONS!$F$64 * $F8)), 
AND(AM$36 = $G$18, AM$36 =ASSUMPTIONS!$G$60), $G22 * AM39 * ((ASSUMPTIONS!$G$63 * $I8) + (ASSUMPTIONS!$G$64 * $F8)), 
AND(AM$36 = $H$18, AM$36 =ASSUMPTIONS!$H$60), $H22 * AM39 * ((ASSUMPTIONS!$H$63 * $I8) + (ASSUMPTIONS!$H$64 * $F8)), 
TRUE, $I22 *AM39 * ((ASSUMPTIONS!$I$63 * $I8) + (ASSUMPTIONS!$I$64 * $F8))
)</f>
        <v>81966215.34</v>
      </c>
      <c r="AN49" s="153">
        <f t="array" ref="AN49">IFS(AND(AN$36 = $E$18, AN$36 =ASSUMPTIONS!$E$60), $E22 * AN39 * ((ASSUMPTIONS!$E$63 * $I8) + (ASSUMPTIONS!$E$64 * $F8)), 
AND(AN$36 = $F$18, AN$36 =ASSUMPTIONS!$F$60), $F22 * AN39 * ((ASSUMPTIONS!$F$63 * $I8) + (ASSUMPTIONS!$F$64 * $F8)), 
AND(AN$36 = $G$18, AN$36 =ASSUMPTIONS!$G$60), $G22 * AN39 * ((ASSUMPTIONS!$G$63 * $I8) + (ASSUMPTIONS!$G$64 * $F8)), 
AND(AN$36 = $H$18, AN$36 =ASSUMPTIONS!$H$60), $H22 * AN39 * ((ASSUMPTIONS!$H$63 * $I8) + (ASSUMPTIONS!$H$64 * $F8)), 
TRUE, $I22 *AN39 * ((ASSUMPTIONS!$I$63 * $I8) + (ASSUMPTIONS!$I$64 * $F8))
)</f>
        <v>84610286.8</v>
      </c>
      <c r="AO49" s="153">
        <f t="array" ref="AO49">IFS(AND(AO$36 = $E$18, AO$36 =ASSUMPTIONS!$E$60), $E22 * AO39 * ((ASSUMPTIONS!$E$63 * $I8) + (ASSUMPTIONS!$E$64 * $F8)), 
AND(AO$36 = $F$18, AO$36 =ASSUMPTIONS!$F$60), $F22 * AO39 * ((ASSUMPTIONS!$F$63 * $I8) + (ASSUMPTIONS!$F$64 * $F8)), 
AND(AO$36 = $G$18, AO$36 =ASSUMPTIONS!$G$60), $G22 * AO39 * ((ASSUMPTIONS!$G$63 * $I8) + (ASSUMPTIONS!$G$64 * $F8)), 
AND(AO$36 = $H$18, AO$36 =ASSUMPTIONS!$H$60), $H22 * AO39 * ((ASSUMPTIONS!$H$63 * $I8) + (ASSUMPTIONS!$H$64 * $F8)), 
TRUE, $I22 *AO39 * ((ASSUMPTIONS!$I$63 * $I8) + (ASSUMPTIONS!$I$64 * $F8))
)</f>
        <v>98002747.32</v>
      </c>
      <c r="AP49" s="153">
        <f t="array" ref="AP49">IFS(AND(AP$36 = $E$18, AP$36 =ASSUMPTIONS!$E$60), $E22 * AP39 * ((ASSUMPTIONS!$E$63 * $I8) + (ASSUMPTIONS!$E$64 * $F8)), 
AND(AP$36 = $F$18, AP$36 =ASSUMPTIONS!$F$60), $F22 * AP39 * ((ASSUMPTIONS!$F$63 * $I8) + (ASSUMPTIONS!$F$64 * $F8)), 
AND(AP$36 = $G$18, AP$36 =ASSUMPTIONS!$G$60), $G22 * AP39 * ((ASSUMPTIONS!$G$63 * $I8) + (ASSUMPTIONS!$G$64 * $F8)), 
AND(AP$36 = $H$18, AP$36 =ASSUMPTIONS!$H$60), $H22 * AP39 * ((ASSUMPTIONS!$H$63 * $I8) + (ASSUMPTIONS!$H$64 * $F8)), 
TRUE, $I22 *AP39 * ((ASSUMPTIONS!$I$63 * $I8) + (ASSUMPTIONS!$I$64 * $F8))
)</f>
        <v>106402982.8</v>
      </c>
      <c r="AQ49" s="153">
        <f t="array" ref="AQ49">IFS(AND(AQ$36 = $E$18, AQ$36 =ASSUMPTIONS!$E$60), $E22 * AQ39 * ((ASSUMPTIONS!$E$63 * $I8) + (ASSUMPTIONS!$E$64 * $F8)), 
AND(AQ$36 = $F$18, AQ$36 =ASSUMPTIONS!$F$60), $F22 * AQ39 * ((ASSUMPTIONS!$F$63 * $I8) + (ASSUMPTIONS!$F$64 * $F8)), 
AND(AQ$36 = $G$18, AQ$36 =ASSUMPTIONS!$G$60), $G22 * AQ39 * ((ASSUMPTIONS!$G$63 * $I8) + (ASSUMPTIONS!$G$64 * $F8)), 
AND(AQ$36 = $H$18, AQ$36 =ASSUMPTIONS!$H$60), $H22 * AQ39 * ((ASSUMPTIONS!$H$63 * $I8) + (ASSUMPTIONS!$H$64 * $F8)), 
TRUE, $I22 *AQ39 * ((ASSUMPTIONS!$I$63 * $I8) + (ASSUMPTIONS!$I$64 * $F8))
)</f>
        <v>114803218.3</v>
      </c>
      <c r="AR49" s="153">
        <f t="array" ref="AR49">IFS(AND(AR$36 = $E$18, AR$36 =ASSUMPTIONS!$E$60), $E22 * AR39 * ((ASSUMPTIONS!$E$63 * $I8) + (ASSUMPTIONS!$E$64 * $F8)), 
AND(AR$36 = $F$18, AR$36 =ASSUMPTIONS!$F$60), $F22 * AR39 * ((ASSUMPTIONS!$F$63 * $I8) + (ASSUMPTIONS!$F$64 * $F8)), 
AND(AR$36 = $G$18, AR$36 =ASSUMPTIONS!$G$60), $G22 * AR39 * ((ASSUMPTIONS!$G$63 * $I8) + (ASSUMPTIONS!$G$64 * $F8)), 
AND(AR$36 = $H$18, AR$36 =ASSUMPTIONS!$H$60), $H22 * AR39 * ((ASSUMPTIONS!$H$63 * $I8) + (ASSUMPTIONS!$H$64 * $F8)), 
TRUE, $I22 *AR39 * ((ASSUMPTIONS!$I$63 * $I8) + (ASSUMPTIONS!$I$64 * $F8))
)</f>
        <v>123203453.8</v>
      </c>
      <c r="AS49" s="153">
        <f t="array" ref="AS49">IFS(AND(AS$36 = $E$18, AS$36 =ASSUMPTIONS!$E$60), $E22 * AS39 * ((ASSUMPTIONS!$E$63 * $I8) + (ASSUMPTIONS!$E$64 * $F8)), 
AND(AS$36 = $F$18, AS$36 =ASSUMPTIONS!$F$60), $F22 * AS39 * ((ASSUMPTIONS!$F$63 * $I8) + (ASSUMPTIONS!$F$64 * $F8)), 
AND(AS$36 = $G$18, AS$36 =ASSUMPTIONS!$G$60), $G22 * AS39 * ((ASSUMPTIONS!$G$63 * $I8) + (ASSUMPTIONS!$G$64 * $F8)), 
AND(AS$36 = $H$18, AS$36 =ASSUMPTIONS!$H$60), $H22 * AS39 * ((ASSUMPTIONS!$H$63 * $I8) + (ASSUMPTIONS!$H$64 * $F8)), 
TRUE, $I22 *AS39 * ((ASSUMPTIONS!$I$63 * $I8) + (ASSUMPTIONS!$I$64 * $F8))
)</f>
        <v>131603689.3</v>
      </c>
      <c r="AT49" s="153">
        <f t="array" ref="AT49">IFS(AND(AT$36 = $E$18, AT$36 =ASSUMPTIONS!$E$60), $E22 * AT39 * ((ASSUMPTIONS!$E$63 * $I8) + (ASSUMPTIONS!$E$64 * $F8)), 
AND(AT$36 = $F$18, AT$36 =ASSUMPTIONS!$F$60), $F22 * AT39 * ((ASSUMPTIONS!$F$63 * $I8) + (ASSUMPTIONS!$F$64 * $F8)), 
AND(AT$36 = $G$18, AT$36 =ASSUMPTIONS!$G$60), $G22 * AT39 * ((ASSUMPTIONS!$G$63 * $I8) + (ASSUMPTIONS!$G$64 * $F8)), 
AND(AT$36 = $H$18, AT$36 =ASSUMPTIONS!$H$60), $H22 * AT39 * ((ASSUMPTIONS!$H$63 * $I8) + (ASSUMPTIONS!$H$64 * $F8)), 
TRUE, $I22 *AT39 * ((ASSUMPTIONS!$I$63 * $I8) + (ASSUMPTIONS!$I$64 * $F8))
)</f>
        <v>140003924.7</v>
      </c>
      <c r="AU49" s="153">
        <f t="array" ref="AU49">IFS(AND(AU$36 = $E$18, AU$36 =ASSUMPTIONS!$E$60), $E22 * AU39 * ((ASSUMPTIONS!$E$63 * $I8) + (ASSUMPTIONS!$E$64 * $F8)), 
AND(AU$36 = $F$18, AU$36 =ASSUMPTIONS!$F$60), $F22 * AU39 * ((ASSUMPTIONS!$F$63 * $I8) + (ASSUMPTIONS!$F$64 * $F8)), 
AND(AU$36 = $G$18, AU$36 =ASSUMPTIONS!$G$60), $G22 * AU39 * ((ASSUMPTIONS!$G$63 * $I8) + (ASSUMPTIONS!$G$64 * $F8)), 
AND(AU$36 = $H$18, AU$36 =ASSUMPTIONS!$H$60), $H22 * AU39 * ((ASSUMPTIONS!$H$63 * $I8) + (ASSUMPTIONS!$H$64 * $F8)), 
TRUE, $I22 *AU39 * ((ASSUMPTIONS!$I$63 * $I8) + (ASSUMPTIONS!$I$64 * $F8))
)</f>
        <v>148404160.2</v>
      </c>
      <c r="AV49" s="153">
        <f t="array" ref="AV49">IFS(AND(AV$36 = $E$18, AV$36 =ASSUMPTIONS!$E$60), $E22 * AV39 * ((ASSUMPTIONS!$E$63 * $I8) + (ASSUMPTIONS!$E$64 * $F8)), 
AND(AV$36 = $F$18, AV$36 =ASSUMPTIONS!$F$60), $F22 * AV39 * ((ASSUMPTIONS!$F$63 * $I8) + (ASSUMPTIONS!$F$64 * $F8)), 
AND(AV$36 = $G$18, AV$36 =ASSUMPTIONS!$G$60), $G22 * AV39 * ((ASSUMPTIONS!$G$63 * $I8) + (ASSUMPTIONS!$G$64 * $F8)), 
AND(AV$36 = $H$18, AV$36 =ASSUMPTIONS!$H$60), $H22 * AV39 * ((ASSUMPTIONS!$H$63 * $I8) + (ASSUMPTIONS!$H$64 * $F8)), 
TRUE, $I22 *AV39 * ((ASSUMPTIONS!$I$63 * $I8) + (ASSUMPTIONS!$I$64 * $F8))
)</f>
        <v>156804395.7</v>
      </c>
      <c r="AW49" s="153">
        <f t="array" ref="AW49">IFS(AND(AW$36 = $E$18, AW$36 =ASSUMPTIONS!$E$60), $E22 * AW39 * ((ASSUMPTIONS!$E$63 * $I8) + (ASSUMPTIONS!$E$64 * $F8)), 
AND(AW$36 = $F$18, AW$36 =ASSUMPTIONS!$F$60), $F22 * AW39 * ((ASSUMPTIONS!$F$63 * $I8) + (ASSUMPTIONS!$F$64 * $F8)), 
AND(AW$36 = $G$18, AW$36 =ASSUMPTIONS!$G$60), $G22 * AW39 * ((ASSUMPTIONS!$G$63 * $I8) + (ASSUMPTIONS!$G$64 * $F8)), 
AND(AW$36 = $H$18, AW$36 =ASSUMPTIONS!$H$60), $H22 * AW39 * ((ASSUMPTIONS!$H$63 * $I8) + (ASSUMPTIONS!$H$64 * $F8)), 
TRUE, $I22 *AW39 * ((ASSUMPTIONS!$I$63 * $I8) + (ASSUMPTIONS!$I$64 * $F8))
)</f>
        <v>156804395.7</v>
      </c>
      <c r="AX49" s="153">
        <f t="array" ref="AX49">IFS(AND(AX$36 = $E$18, AX$36 =ASSUMPTIONS!$E$60), $E22 * AX39 * ((ASSUMPTIONS!$E$63 * $I8) + (ASSUMPTIONS!$E$64 * $F8)), 
AND(AX$36 = $F$18, AX$36 =ASSUMPTIONS!$F$60), $F22 * AX39 * ((ASSUMPTIONS!$F$63 * $I8) + (ASSUMPTIONS!$F$64 * $F8)), 
AND(AX$36 = $G$18, AX$36 =ASSUMPTIONS!$G$60), $G22 * AX39 * ((ASSUMPTIONS!$G$63 * $I8) + (ASSUMPTIONS!$G$64 * $F8)), 
AND(AX$36 = $H$18, AX$36 =ASSUMPTIONS!$H$60), $H22 * AX39 * ((ASSUMPTIONS!$H$63 * $I8) + (ASSUMPTIONS!$H$64 * $F8)), 
TRUE, $I22 *AX39 * ((ASSUMPTIONS!$I$63 * $I8) + (ASSUMPTIONS!$I$64 * $F8))
)</f>
        <v>156804395.7</v>
      </c>
      <c r="AY49" s="153">
        <f t="array" ref="AY49">IFS(AND(AY$36 = $E$18, AY$36 =ASSUMPTIONS!$E$60), $E22 * AY39 * ((ASSUMPTIONS!$E$63 * $I8) + (ASSUMPTIONS!$E$64 * $F8)), 
AND(AY$36 = $F$18, AY$36 =ASSUMPTIONS!$F$60), $F22 * AY39 * ((ASSUMPTIONS!$F$63 * $I8) + (ASSUMPTIONS!$F$64 * $F8)), 
AND(AY$36 = $G$18, AY$36 =ASSUMPTIONS!$G$60), $G22 * AY39 * ((ASSUMPTIONS!$G$63 * $I8) + (ASSUMPTIONS!$G$64 * $F8)), 
AND(AY$36 = $H$18, AY$36 =ASSUMPTIONS!$H$60), $H22 * AY39 * ((ASSUMPTIONS!$H$63 * $I8) + (ASSUMPTIONS!$H$64 * $F8)), 
TRUE, $I22 *AY39 * ((ASSUMPTIONS!$I$63 * $I8) + (ASSUMPTIONS!$I$64 * $F8))
)</f>
        <v>156804395.7</v>
      </c>
      <c r="AZ49" s="153">
        <f t="array" ref="AZ49">IFS(AND(AZ$36 = $E$18, AZ$36 =ASSUMPTIONS!$E$60), $E22 * AZ39 * ((ASSUMPTIONS!$E$63 * $I8) + (ASSUMPTIONS!$E$64 * $F8)), 
AND(AZ$36 = $F$18, AZ$36 =ASSUMPTIONS!$F$60), $F22 * AZ39 * ((ASSUMPTIONS!$F$63 * $I8) + (ASSUMPTIONS!$F$64 * $F8)), 
AND(AZ$36 = $G$18, AZ$36 =ASSUMPTIONS!$G$60), $G22 * AZ39 * ((ASSUMPTIONS!$G$63 * $I8) + (ASSUMPTIONS!$G$64 * $F8)), 
AND(AZ$36 = $H$18, AZ$36 =ASSUMPTIONS!$H$60), $H22 * AZ39 * ((ASSUMPTIONS!$H$63 * $I8) + (ASSUMPTIONS!$H$64 * $F8)), 
TRUE, $I22 *AZ39 * ((ASSUMPTIONS!$I$63 * $I8) + (ASSUMPTIONS!$I$64 * $F8))
)</f>
        <v>156804395.7</v>
      </c>
      <c r="BA49" s="153">
        <f t="array" ref="BA49">IFS(AND(BA$36 = $E$18, BA$36 =ASSUMPTIONS!$E$60), $E22 * BA39 * ((ASSUMPTIONS!$E$63 * $I8) + (ASSUMPTIONS!$E$64 * $F8)), 
AND(BA$36 = $F$18, BA$36 =ASSUMPTIONS!$F$60), $F22 * BA39 * ((ASSUMPTIONS!$F$63 * $I8) + (ASSUMPTIONS!$F$64 * $F8)), 
AND(BA$36 = $G$18, BA$36 =ASSUMPTIONS!$G$60), $G22 * BA39 * ((ASSUMPTIONS!$G$63 * $I8) + (ASSUMPTIONS!$G$64 * $F8)), 
AND(BA$36 = $H$18, BA$36 =ASSUMPTIONS!$H$60), $H22 * BA39 * ((ASSUMPTIONS!$H$63 * $I8) + (ASSUMPTIONS!$H$64 * $F8)), 
TRUE, $I22 *BA39 * ((ASSUMPTIONS!$I$63 * $I8) + (ASSUMPTIONS!$I$64 * $F8))
)</f>
        <v>172566488.5</v>
      </c>
      <c r="BB49" s="153">
        <f t="array" ref="BB49">IFS(AND(BB$36 = $E$18, BB$36 =ASSUMPTIONS!$E$60), $E22 * BB39 * ((ASSUMPTIONS!$E$63 * $I8) + (ASSUMPTIONS!$E$64 * $F8)), 
AND(BB$36 = $F$18, BB$36 =ASSUMPTIONS!$F$60), $F22 * BB39 * ((ASSUMPTIONS!$F$63 * $I8) + (ASSUMPTIONS!$F$64 * $F8)), 
AND(BB$36 = $G$18, BB$36 =ASSUMPTIONS!$G$60), $G22 * BB39 * ((ASSUMPTIONS!$G$63 * $I8) + (ASSUMPTIONS!$G$64 * $F8)), 
AND(BB$36 = $H$18, BB$36 =ASSUMPTIONS!$H$60), $H22 * BB39 * ((ASSUMPTIONS!$H$63 * $I8) + (ASSUMPTIONS!$H$64 * $F8)), 
TRUE, $I22 *BB39 * ((ASSUMPTIONS!$I$63 * $I8) + (ASSUMPTIONS!$I$64 * $F8))
)</f>
        <v>172566488.5</v>
      </c>
      <c r="BC49" s="153">
        <f t="array" ref="BC49">IFS(AND(BC$36 = $E$18, BC$36 =ASSUMPTIONS!$E$60), $E22 * BC39 * ((ASSUMPTIONS!$E$63 * $I8) + (ASSUMPTIONS!$E$64 * $F8)), 
AND(BC$36 = $F$18, BC$36 =ASSUMPTIONS!$F$60), $F22 * BC39 * ((ASSUMPTIONS!$F$63 * $I8) + (ASSUMPTIONS!$F$64 * $F8)), 
AND(BC$36 = $G$18, BC$36 =ASSUMPTIONS!$G$60), $G22 * BC39 * ((ASSUMPTIONS!$G$63 * $I8) + (ASSUMPTIONS!$G$64 * $F8)), 
AND(BC$36 = $H$18, BC$36 =ASSUMPTIONS!$H$60), $H22 * BC39 * ((ASSUMPTIONS!$H$63 * $I8) + (ASSUMPTIONS!$H$64 * $F8)), 
TRUE, $I22 *BC39 * ((ASSUMPTIONS!$I$63 * $I8) + (ASSUMPTIONS!$I$64 * $F8))
)</f>
        <v>172566488.5</v>
      </c>
      <c r="BD49" s="153">
        <f t="array" ref="BD49">IFS(AND(BD$36 = $E$18, BD$36 =ASSUMPTIONS!$E$60), $E22 * BD39 * ((ASSUMPTIONS!$E$63 * $I8) + (ASSUMPTIONS!$E$64 * $F8)), 
AND(BD$36 = $F$18, BD$36 =ASSUMPTIONS!$F$60), $F22 * BD39 * ((ASSUMPTIONS!$F$63 * $I8) + (ASSUMPTIONS!$F$64 * $F8)), 
AND(BD$36 = $G$18, BD$36 =ASSUMPTIONS!$G$60), $G22 * BD39 * ((ASSUMPTIONS!$G$63 * $I8) + (ASSUMPTIONS!$G$64 * $F8)), 
AND(BD$36 = $H$18, BD$36 =ASSUMPTIONS!$H$60), $H22 * BD39 * ((ASSUMPTIONS!$H$63 * $I8) + (ASSUMPTIONS!$H$64 * $F8)), 
TRUE, $I22 *BD39 * ((ASSUMPTIONS!$I$63 * $I8) + (ASSUMPTIONS!$I$64 * $F8))
)</f>
        <v>172566488.5</v>
      </c>
      <c r="BE49" s="153">
        <f t="array" ref="BE49">IFS(AND(BE$36 = $E$18, BE$36 =ASSUMPTIONS!$E$60), $E22 * BE39 * ((ASSUMPTIONS!$E$63 * $I8) + (ASSUMPTIONS!$E$64 * $F8)), 
AND(BE$36 = $F$18, BE$36 =ASSUMPTIONS!$F$60), $F22 * BE39 * ((ASSUMPTIONS!$F$63 * $I8) + (ASSUMPTIONS!$F$64 * $F8)), 
AND(BE$36 = $G$18, BE$36 =ASSUMPTIONS!$G$60), $G22 * BE39 * ((ASSUMPTIONS!$G$63 * $I8) + (ASSUMPTIONS!$G$64 * $F8)), 
AND(BE$36 = $H$18, BE$36 =ASSUMPTIONS!$H$60), $H22 * BE39 * ((ASSUMPTIONS!$H$63 * $I8) + (ASSUMPTIONS!$H$64 * $F8)), 
TRUE, $I22 *BE39 * ((ASSUMPTIONS!$I$63 * $I8) + (ASSUMPTIONS!$I$64 * $F8))
)</f>
        <v>172566488.5</v>
      </c>
      <c r="BF49" s="153">
        <f t="array" ref="BF49">IFS(AND(BF$36 = $E$18, BF$36 =ASSUMPTIONS!$E$60), $E22 * BF39 * ((ASSUMPTIONS!$E$63 * $I8) + (ASSUMPTIONS!$E$64 * $F8)), 
AND(BF$36 = $F$18, BF$36 =ASSUMPTIONS!$F$60), $F22 * BF39 * ((ASSUMPTIONS!$F$63 * $I8) + (ASSUMPTIONS!$F$64 * $F8)), 
AND(BF$36 = $G$18, BF$36 =ASSUMPTIONS!$G$60), $G22 * BF39 * ((ASSUMPTIONS!$G$63 * $I8) + (ASSUMPTIONS!$G$64 * $F8)), 
AND(BF$36 = $H$18, BF$36 =ASSUMPTIONS!$H$60), $H22 * BF39 * ((ASSUMPTIONS!$H$63 * $I8) + (ASSUMPTIONS!$H$64 * $F8)), 
TRUE, $I22 *BF39 * ((ASSUMPTIONS!$I$63 * $I8) + (ASSUMPTIONS!$I$64 * $F8))
)</f>
        <v>172566488.5</v>
      </c>
      <c r="BG49" s="153">
        <f t="array" ref="BG49">IFS(AND(BG$36 = $E$18, BG$36 =ASSUMPTIONS!$E$60), $E22 * BG39 * ((ASSUMPTIONS!$E$63 * $I8) + (ASSUMPTIONS!$E$64 * $F8)), 
AND(BG$36 = $F$18, BG$36 =ASSUMPTIONS!$F$60), $F22 * BG39 * ((ASSUMPTIONS!$F$63 * $I8) + (ASSUMPTIONS!$F$64 * $F8)), 
AND(BG$36 = $G$18, BG$36 =ASSUMPTIONS!$G$60), $G22 * BG39 * ((ASSUMPTIONS!$G$63 * $I8) + (ASSUMPTIONS!$G$64 * $F8)), 
AND(BG$36 = $H$18, BG$36 =ASSUMPTIONS!$H$60), $H22 * BG39 * ((ASSUMPTIONS!$H$63 * $I8) + (ASSUMPTIONS!$H$64 * $F8)), 
TRUE, $I22 *BG39 * ((ASSUMPTIONS!$I$63 * $I8) + (ASSUMPTIONS!$I$64 * $F8))
)</f>
        <v>172566488.5</v>
      </c>
      <c r="BH49" s="153">
        <f t="array" ref="BH49">IFS(AND(BH$36 = $E$18, BH$36 =ASSUMPTIONS!$E$60), $E22 * BH39 * ((ASSUMPTIONS!$E$63 * $I8) + (ASSUMPTIONS!$E$64 * $F8)), 
AND(BH$36 = $F$18, BH$36 =ASSUMPTIONS!$F$60), $F22 * BH39 * ((ASSUMPTIONS!$F$63 * $I8) + (ASSUMPTIONS!$F$64 * $F8)), 
AND(BH$36 = $G$18, BH$36 =ASSUMPTIONS!$G$60), $G22 * BH39 * ((ASSUMPTIONS!$G$63 * $I8) + (ASSUMPTIONS!$G$64 * $F8)), 
AND(BH$36 = $H$18, BH$36 =ASSUMPTIONS!$H$60), $H22 * BH39 * ((ASSUMPTIONS!$H$63 * $I8) + (ASSUMPTIONS!$H$64 * $F8)), 
TRUE, $I22 *BH39 * ((ASSUMPTIONS!$I$63 * $I8) + (ASSUMPTIONS!$I$64 * $F8))
)</f>
        <v>172566488.5</v>
      </c>
      <c r="BI49" s="153">
        <f t="array" ref="BI49">IFS(AND(BI$36 = $E$18, BI$36 =ASSUMPTIONS!$E$60), $E22 * BI39 * ((ASSUMPTIONS!$E$63 * $I8) + (ASSUMPTIONS!$E$64 * $F8)), 
AND(BI$36 = $F$18, BI$36 =ASSUMPTIONS!$F$60), $F22 * BI39 * ((ASSUMPTIONS!$F$63 * $I8) + (ASSUMPTIONS!$F$64 * $F8)), 
AND(BI$36 = $G$18, BI$36 =ASSUMPTIONS!$G$60), $G22 * BI39 * ((ASSUMPTIONS!$G$63 * $I8) + (ASSUMPTIONS!$G$64 * $F8)), 
AND(BI$36 = $H$18, BI$36 =ASSUMPTIONS!$H$60), $H22 * BI39 * ((ASSUMPTIONS!$H$63 * $I8) + (ASSUMPTIONS!$H$64 * $F8)), 
TRUE, $I22 *BI39 * ((ASSUMPTIONS!$I$63 * $I8) + (ASSUMPTIONS!$I$64 * $F8))
)</f>
        <v>172566488.5</v>
      </c>
      <c r="BJ49" s="153">
        <f t="array" ref="BJ49">IFS(AND(BJ$36 = $E$18, BJ$36 =ASSUMPTIONS!$E$60), $E22 * BJ39 * ((ASSUMPTIONS!$E$63 * $I8) + (ASSUMPTIONS!$E$64 * $F8)), 
AND(BJ$36 = $F$18, BJ$36 =ASSUMPTIONS!$F$60), $F22 * BJ39 * ((ASSUMPTIONS!$F$63 * $I8) + (ASSUMPTIONS!$F$64 * $F8)), 
AND(BJ$36 = $G$18, BJ$36 =ASSUMPTIONS!$G$60), $G22 * BJ39 * ((ASSUMPTIONS!$G$63 * $I8) + (ASSUMPTIONS!$G$64 * $F8)), 
AND(BJ$36 = $H$18, BJ$36 =ASSUMPTIONS!$H$60), $H22 * BJ39 * ((ASSUMPTIONS!$H$63 * $I8) + (ASSUMPTIONS!$H$64 * $F8)), 
TRUE, $I22 *BJ39 * ((ASSUMPTIONS!$I$63 * $I8) + (ASSUMPTIONS!$I$64 * $F8))
)</f>
        <v>172566488.5</v>
      </c>
      <c r="BK49" s="153">
        <f t="array" ref="BK49">IFS(AND(BK$36 = $E$18, BK$36 =ASSUMPTIONS!$E$60), $E22 * BK39 * ((ASSUMPTIONS!$E$63 * $I8) + (ASSUMPTIONS!$E$64 * $F8)), 
AND(BK$36 = $F$18, BK$36 =ASSUMPTIONS!$F$60), $F22 * BK39 * ((ASSUMPTIONS!$F$63 * $I8) + (ASSUMPTIONS!$F$64 * $F8)), 
AND(BK$36 = $G$18, BK$36 =ASSUMPTIONS!$G$60), $G22 * BK39 * ((ASSUMPTIONS!$G$63 * $I8) + (ASSUMPTIONS!$G$64 * $F8)), 
AND(BK$36 = $H$18, BK$36 =ASSUMPTIONS!$H$60), $H22 * BK39 * ((ASSUMPTIONS!$H$63 * $I8) + (ASSUMPTIONS!$H$64 * $F8)), 
TRUE, $I22 *BK39 * ((ASSUMPTIONS!$I$63 * $I8) + (ASSUMPTIONS!$I$64 * $F8))
)</f>
        <v>172566488.5</v>
      </c>
      <c r="BL49" s="153">
        <f t="array" ref="BL49">IFS(AND(BL$36 = $E$18, BL$36 =ASSUMPTIONS!$E$60), $E22 * BL39 * ((ASSUMPTIONS!$E$63 * $I8) + (ASSUMPTIONS!$E$64 * $F8)), 
AND(BL$36 = $F$18, BL$36 =ASSUMPTIONS!$F$60), $F22 * BL39 * ((ASSUMPTIONS!$F$63 * $I8) + (ASSUMPTIONS!$F$64 * $F8)), 
AND(BL$36 = $G$18, BL$36 =ASSUMPTIONS!$G$60), $G22 * BL39 * ((ASSUMPTIONS!$G$63 * $I8) + (ASSUMPTIONS!$G$64 * $F8)), 
AND(BL$36 = $H$18, BL$36 =ASSUMPTIONS!$H$60), $H22 * BL39 * ((ASSUMPTIONS!$H$63 * $I8) + (ASSUMPTIONS!$H$64 * $F8)), 
TRUE, $I22 *BL39 * ((ASSUMPTIONS!$I$63 * $I8) + (ASSUMPTIONS!$I$64 * $F8))
)</f>
        <v>172566488.5</v>
      </c>
    </row>
    <row r="50" ht="15.75" customHeight="1">
      <c r="D50" s="35" t="s">
        <v>19</v>
      </c>
      <c r="E50" s="153">
        <f t="array" ref="E50">IFS(AND(E$36 = $E$18, E$36 =ASSUMPTIONS!$E$60), $E23 * E40 * ((ASSUMPTIONS!$E$63 * $I9) + (ASSUMPTIONS!$E$64 * $F9)), 
AND(E$36 = $F$18, E$36 =ASSUMPTIONS!$F$60), $F23 * E40 * ((ASSUMPTIONS!$F$63 * $I9) + (ASSUMPTIONS!$F$64 * $F9)), 
AND(E$36 = $G$18, E$36 =ASSUMPTIONS!$G$60), $G23 * E40 * ((ASSUMPTIONS!$G$63 * $I9) + (ASSUMPTIONS!$G$64 * $F9)), 
AND(E$36 = $H$18, E$36 =ASSUMPTIONS!$H$60), $H23 * E40 * ((ASSUMPTIONS!$H$63 * $I9) + (ASSUMPTIONS!$H$64 * $F9)), 
TRUE, $I23 *E40 * ((ASSUMPTIONS!$I$63 * $I9) + (ASSUMPTIONS!$I$64 * $F9))
)</f>
        <v>0</v>
      </c>
      <c r="F50" s="153">
        <f t="array" ref="F50">IFS(AND(F$36 = $E$18, F$36 =ASSUMPTIONS!$E$60), $E23 * F40 * ((ASSUMPTIONS!$E$63 * $I9) + (ASSUMPTIONS!$E$64 * $F9)), 
AND(F$36 = $F$18, F$36 =ASSUMPTIONS!$F$60), $F23 * F40 * ((ASSUMPTIONS!$F$63 * $I9) + (ASSUMPTIONS!$F$64 * $F9)), 
AND(F$36 = $G$18, F$36 =ASSUMPTIONS!$G$60), $G23 * F40 * ((ASSUMPTIONS!$G$63 * $I9) + (ASSUMPTIONS!$G$64 * $F9)), 
AND(F$36 = $H$18, F$36 =ASSUMPTIONS!$H$60), $H23 * F40 * ((ASSUMPTIONS!$H$63 * $I9) + (ASSUMPTIONS!$H$64 * $F9)), 
TRUE, $I23 *F40 * ((ASSUMPTIONS!$I$63 * $I9) + (ASSUMPTIONS!$I$64 * $F9))
)</f>
        <v>0</v>
      </c>
      <c r="G50" s="153">
        <f t="array" ref="G50">IFS(AND(G$36 = $E$18, G$36 =ASSUMPTIONS!$E$60), $E23 * G40 * ((ASSUMPTIONS!$E$63 * $I9) + (ASSUMPTIONS!$E$64 * $F9)), 
AND(G$36 = $F$18, G$36 =ASSUMPTIONS!$F$60), $F23 * G40 * ((ASSUMPTIONS!$F$63 * $I9) + (ASSUMPTIONS!$F$64 * $F9)), 
AND(G$36 = $G$18, G$36 =ASSUMPTIONS!$G$60), $G23 * G40 * ((ASSUMPTIONS!$G$63 * $I9) + (ASSUMPTIONS!$G$64 * $F9)), 
AND(G$36 = $H$18, G$36 =ASSUMPTIONS!$H$60), $H23 * G40 * ((ASSUMPTIONS!$H$63 * $I9) + (ASSUMPTIONS!$H$64 * $F9)), 
TRUE, $I23 *G40 * ((ASSUMPTIONS!$I$63 * $I9) + (ASSUMPTIONS!$I$64 * $F9))
)</f>
        <v>0</v>
      </c>
      <c r="H50" s="153">
        <f t="array" ref="H50">IFS(AND(H$36 = $E$18, H$36 =ASSUMPTIONS!$E$60), $E23 * H40 * ((ASSUMPTIONS!$E$63 * $I9) + (ASSUMPTIONS!$E$64 * $F9)), 
AND(H$36 = $F$18, H$36 =ASSUMPTIONS!$F$60), $F23 * H40 * ((ASSUMPTIONS!$F$63 * $I9) + (ASSUMPTIONS!$F$64 * $F9)), 
AND(H$36 = $G$18, H$36 =ASSUMPTIONS!$G$60), $G23 * H40 * ((ASSUMPTIONS!$G$63 * $I9) + (ASSUMPTIONS!$G$64 * $F9)), 
AND(H$36 = $H$18, H$36 =ASSUMPTIONS!$H$60), $H23 * H40 * ((ASSUMPTIONS!$H$63 * $I9) + (ASSUMPTIONS!$H$64 * $F9)), 
TRUE, $I23 *H40 * ((ASSUMPTIONS!$I$63 * $I9) + (ASSUMPTIONS!$I$64 * $F9))
)</f>
        <v>0</v>
      </c>
      <c r="I50" s="153">
        <f t="array" ref="I50">IFS(AND(I$36 = $E$18, I$36 =ASSUMPTIONS!$E$60), $E23 * I40 * ((ASSUMPTIONS!$E$63 * $I9) + (ASSUMPTIONS!$E$64 * $F9)), 
AND(I$36 = $F$18, I$36 =ASSUMPTIONS!$F$60), $F23 * I40 * ((ASSUMPTIONS!$F$63 * $I9) + (ASSUMPTIONS!$F$64 * $F9)), 
AND(I$36 = $G$18, I$36 =ASSUMPTIONS!$G$60), $G23 * I40 * ((ASSUMPTIONS!$G$63 * $I9) + (ASSUMPTIONS!$G$64 * $F9)), 
AND(I$36 = $H$18, I$36 =ASSUMPTIONS!$H$60), $H23 * I40 * ((ASSUMPTIONS!$H$63 * $I9) + (ASSUMPTIONS!$H$64 * $F9)), 
TRUE, $I23 *I40 * ((ASSUMPTIONS!$I$63 * $I9) + (ASSUMPTIONS!$I$64 * $F9))
)</f>
        <v>0</v>
      </c>
      <c r="J50" s="153">
        <f t="array" ref="J50">IFS(AND(J$36 = $E$18, J$36 =ASSUMPTIONS!$E$60), $E23 * J40 * ((ASSUMPTIONS!$E$63 * $I9) + (ASSUMPTIONS!$E$64 * $F9)), 
AND(J$36 = $F$18, J$36 =ASSUMPTIONS!$F$60), $F23 * J40 * ((ASSUMPTIONS!$F$63 * $I9) + (ASSUMPTIONS!$F$64 * $F9)), 
AND(J$36 = $G$18, J$36 =ASSUMPTIONS!$G$60), $G23 * J40 * ((ASSUMPTIONS!$G$63 * $I9) + (ASSUMPTIONS!$G$64 * $F9)), 
AND(J$36 = $H$18, J$36 =ASSUMPTIONS!$H$60), $H23 * J40 * ((ASSUMPTIONS!$H$63 * $I9) + (ASSUMPTIONS!$H$64 * $F9)), 
TRUE, $I23 *J40 * ((ASSUMPTIONS!$I$63 * $I9) + (ASSUMPTIONS!$I$64 * $F9))
)</f>
        <v>0</v>
      </c>
      <c r="K50" s="153">
        <f t="array" ref="K50">IFS(AND(K$36 = $E$18, K$36 =ASSUMPTIONS!$E$60), $E23 * K40 * ((ASSUMPTIONS!$E$63 * $I9) + (ASSUMPTIONS!$E$64 * $F9)), 
AND(K$36 = $F$18, K$36 =ASSUMPTIONS!$F$60), $F23 * K40 * ((ASSUMPTIONS!$F$63 * $I9) + (ASSUMPTIONS!$F$64 * $F9)), 
AND(K$36 = $G$18, K$36 =ASSUMPTIONS!$G$60), $G23 * K40 * ((ASSUMPTIONS!$G$63 * $I9) + (ASSUMPTIONS!$G$64 * $F9)), 
AND(K$36 = $H$18, K$36 =ASSUMPTIONS!$H$60), $H23 * K40 * ((ASSUMPTIONS!$H$63 * $I9) + (ASSUMPTIONS!$H$64 * $F9)), 
TRUE, $I23 *K40 * ((ASSUMPTIONS!$I$63 * $I9) + (ASSUMPTIONS!$I$64 * $F9))
)</f>
        <v>1461888</v>
      </c>
      <c r="L50" s="153">
        <f t="array" ref="L50">IFS(AND(L$36 = $E$18, L$36 =ASSUMPTIONS!$E$60), $E23 * L40 * ((ASSUMPTIONS!$E$63 * $I9) + (ASSUMPTIONS!$E$64 * $F9)), 
AND(L$36 = $F$18, L$36 =ASSUMPTIONS!$F$60), $F23 * L40 * ((ASSUMPTIONS!$F$63 * $I9) + (ASSUMPTIONS!$F$64 * $F9)), 
AND(L$36 = $G$18, L$36 =ASSUMPTIONS!$G$60), $G23 * L40 * ((ASSUMPTIONS!$G$63 * $I9) + (ASSUMPTIONS!$G$64 * $F9)), 
AND(L$36 = $H$18, L$36 =ASSUMPTIONS!$H$60), $H23 * L40 * ((ASSUMPTIONS!$H$63 * $I9) + (ASSUMPTIONS!$H$64 * $F9)), 
TRUE, $I23 *L40 * ((ASSUMPTIONS!$I$63 * $I9) + (ASSUMPTIONS!$I$64 * $F9))
)</f>
        <v>1461888</v>
      </c>
      <c r="M50" s="153">
        <f t="array" ref="M50">IFS(AND(M$36 = $E$18, M$36 =ASSUMPTIONS!$E$60), $E23 * M40 * ((ASSUMPTIONS!$E$63 * $I9) + (ASSUMPTIONS!$E$64 * $F9)), 
AND(M$36 = $F$18, M$36 =ASSUMPTIONS!$F$60), $F23 * M40 * ((ASSUMPTIONS!$F$63 * $I9) + (ASSUMPTIONS!$F$64 * $F9)), 
AND(M$36 = $G$18, M$36 =ASSUMPTIONS!$G$60), $G23 * M40 * ((ASSUMPTIONS!$G$63 * $I9) + (ASSUMPTIONS!$G$64 * $F9)), 
AND(M$36 = $H$18, M$36 =ASSUMPTIONS!$H$60), $H23 * M40 * ((ASSUMPTIONS!$H$63 * $I9) + (ASSUMPTIONS!$H$64 * $F9)), 
TRUE, $I23 *M40 * ((ASSUMPTIONS!$I$63 * $I9) + (ASSUMPTIONS!$I$64 * $F9))
)</f>
        <v>1461888</v>
      </c>
      <c r="N50" s="153">
        <f t="array" ref="N50">IFS(AND(N$36 = $E$18, N$36 =ASSUMPTIONS!$E$60), $E23 * N40 * ((ASSUMPTIONS!$E$63 * $I9) + (ASSUMPTIONS!$E$64 * $F9)), 
AND(N$36 = $F$18, N$36 =ASSUMPTIONS!$F$60), $F23 * N40 * ((ASSUMPTIONS!$F$63 * $I9) + (ASSUMPTIONS!$F$64 * $F9)), 
AND(N$36 = $G$18, N$36 =ASSUMPTIONS!$G$60), $G23 * N40 * ((ASSUMPTIONS!$G$63 * $I9) + (ASSUMPTIONS!$G$64 * $F9)), 
AND(N$36 = $H$18, N$36 =ASSUMPTIONS!$H$60), $H23 * N40 * ((ASSUMPTIONS!$H$63 * $I9) + (ASSUMPTIONS!$H$64 * $F9)), 
TRUE, $I23 *N40 * ((ASSUMPTIONS!$I$63 * $I9) + (ASSUMPTIONS!$I$64 * $F9))
)</f>
        <v>1461888</v>
      </c>
      <c r="O50" s="153">
        <f t="array" ref="O50">IFS(AND(O$36 = $E$18, O$36 =ASSUMPTIONS!$E$60), $E23 * O40 * ((ASSUMPTIONS!$E$63 * $I9) + (ASSUMPTIONS!$E$64 * $F9)), 
AND(O$36 = $F$18, O$36 =ASSUMPTIONS!$F$60), $F23 * O40 * ((ASSUMPTIONS!$F$63 * $I9) + (ASSUMPTIONS!$F$64 * $F9)), 
AND(O$36 = $G$18, O$36 =ASSUMPTIONS!$G$60), $G23 * O40 * ((ASSUMPTIONS!$G$63 * $I9) + (ASSUMPTIONS!$G$64 * $F9)), 
AND(O$36 = $H$18, O$36 =ASSUMPTIONS!$H$60), $H23 * O40 * ((ASSUMPTIONS!$H$63 * $I9) + (ASSUMPTIONS!$H$64 * $F9)), 
TRUE, $I23 *O40 * ((ASSUMPTIONS!$I$63 * $I9) + (ASSUMPTIONS!$I$64 * $F9))
)</f>
        <v>1461888</v>
      </c>
      <c r="P50" s="153">
        <f t="array" ref="P50">IFS(AND(P$36 = $E$18, P$36 =ASSUMPTIONS!$E$60), $E23 * P40 * ((ASSUMPTIONS!$E$63 * $I9) + (ASSUMPTIONS!$E$64 * $F9)), 
AND(P$36 = $F$18, P$36 =ASSUMPTIONS!$F$60), $F23 * P40 * ((ASSUMPTIONS!$F$63 * $I9) + (ASSUMPTIONS!$F$64 * $F9)), 
AND(P$36 = $G$18, P$36 =ASSUMPTIONS!$G$60), $G23 * P40 * ((ASSUMPTIONS!$G$63 * $I9) + (ASSUMPTIONS!$G$64 * $F9)), 
AND(P$36 = $H$18, P$36 =ASSUMPTIONS!$H$60), $H23 * P40 * ((ASSUMPTIONS!$H$63 * $I9) + (ASSUMPTIONS!$H$64 * $F9)), 
TRUE, $I23 *P40 * ((ASSUMPTIONS!$I$63 * $I9) + (ASSUMPTIONS!$I$64 * $F9))
)</f>
        <v>1461888</v>
      </c>
      <c r="Q50" s="153">
        <f t="array" ref="Q50">IFS(AND(Q$36 = $E$18, Q$36 =ASSUMPTIONS!$E$60), $E23 * Q40 * ((ASSUMPTIONS!$E$63 * $I9) + (ASSUMPTIONS!$E$64 * $F9)), 
AND(Q$36 = $F$18, Q$36 =ASSUMPTIONS!$F$60), $F23 * Q40 * ((ASSUMPTIONS!$F$63 * $I9) + (ASSUMPTIONS!$F$64 * $F9)), 
AND(Q$36 = $G$18, Q$36 =ASSUMPTIONS!$G$60), $G23 * Q40 * ((ASSUMPTIONS!$G$63 * $I9) + (ASSUMPTIONS!$G$64 * $F9)), 
AND(Q$36 = $H$18, Q$36 =ASSUMPTIONS!$H$60), $H23 * Q40 * ((ASSUMPTIONS!$H$63 * $I9) + (ASSUMPTIONS!$H$64 * $F9)), 
TRUE, $I23 *Q40 * ((ASSUMPTIONS!$I$63 * $I9) + (ASSUMPTIONS!$I$64 * $F9))
)</f>
        <v>1564829.28</v>
      </c>
      <c r="R50" s="153">
        <f t="array" ref="R50">IFS(AND(R$36 = $E$18, R$36 =ASSUMPTIONS!$E$60), $E23 * R40 * ((ASSUMPTIONS!$E$63 * $I9) + (ASSUMPTIONS!$E$64 * $F9)), 
AND(R$36 = $F$18, R$36 =ASSUMPTIONS!$F$60), $F23 * R40 * ((ASSUMPTIONS!$F$63 * $I9) + (ASSUMPTIONS!$F$64 * $F9)), 
AND(R$36 = $G$18, R$36 =ASSUMPTIONS!$G$60), $G23 * R40 * ((ASSUMPTIONS!$G$63 * $I9) + (ASSUMPTIONS!$G$64 * $F9)), 
AND(R$36 = $H$18, R$36 =ASSUMPTIONS!$H$60), $H23 * R40 * ((ASSUMPTIONS!$H$63 * $I9) + (ASSUMPTIONS!$H$64 * $F9)), 
TRUE, $I23 *R40 * ((ASSUMPTIONS!$I$63 * $I9) + (ASSUMPTIONS!$I$64 * $F9))
)</f>
        <v>1564829.28</v>
      </c>
      <c r="S50" s="153">
        <f t="array" ref="S50">IFS(AND(S$36 = $E$18, S$36 =ASSUMPTIONS!$E$60), $E23 * S40 * ((ASSUMPTIONS!$E$63 * $I9) + (ASSUMPTIONS!$E$64 * $F9)), 
AND(S$36 = $F$18, S$36 =ASSUMPTIONS!$F$60), $F23 * S40 * ((ASSUMPTIONS!$F$63 * $I9) + (ASSUMPTIONS!$F$64 * $F9)), 
AND(S$36 = $G$18, S$36 =ASSUMPTIONS!$G$60), $G23 * S40 * ((ASSUMPTIONS!$G$63 * $I9) + (ASSUMPTIONS!$G$64 * $F9)), 
AND(S$36 = $H$18, S$36 =ASSUMPTIONS!$H$60), $H23 * S40 * ((ASSUMPTIONS!$H$63 * $I9) + (ASSUMPTIONS!$H$64 * $F9)), 
TRUE, $I23 *S40 * ((ASSUMPTIONS!$I$63 * $I9) + (ASSUMPTIONS!$I$64 * $F9))
)</f>
        <v>1564829.28</v>
      </c>
      <c r="T50" s="153">
        <f t="array" ref="T50">IFS(AND(T$36 = $E$18, T$36 =ASSUMPTIONS!$E$60), $E23 * T40 * ((ASSUMPTIONS!$E$63 * $I9) + (ASSUMPTIONS!$E$64 * $F9)), 
AND(T$36 = $F$18, T$36 =ASSUMPTIONS!$F$60), $F23 * T40 * ((ASSUMPTIONS!$F$63 * $I9) + (ASSUMPTIONS!$F$64 * $F9)), 
AND(T$36 = $G$18, T$36 =ASSUMPTIONS!$G$60), $G23 * T40 * ((ASSUMPTIONS!$G$63 * $I9) + (ASSUMPTIONS!$G$64 * $F9)), 
AND(T$36 = $H$18, T$36 =ASSUMPTIONS!$H$60), $H23 * T40 * ((ASSUMPTIONS!$H$63 * $I9) + (ASSUMPTIONS!$H$64 * $F9)), 
TRUE, $I23 *T40 * ((ASSUMPTIONS!$I$63 * $I9) + (ASSUMPTIONS!$I$64 * $F9))
)</f>
        <v>1564829.28</v>
      </c>
      <c r="U50" s="153">
        <f t="array" ref="U50">IFS(AND(U$36 = $E$18, U$36 =ASSUMPTIONS!$E$60), $E23 * U40 * ((ASSUMPTIONS!$E$63 * $I9) + (ASSUMPTIONS!$E$64 * $F9)), 
AND(U$36 = $F$18, U$36 =ASSUMPTIONS!$F$60), $F23 * U40 * ((ASSUMPTIONS!$F$63 * $I9) + (ASSUMPTIONS!$F$64 * $F9)), 
AND(U$36 = $G$18, U$36 =ASSUMPTIONS!$G$60), $G23 * U40 * ((ASSUMPTIONS!$G$63 * $I9) + (ASSUMPTIONS!$G$64 * $F9)), 
AND(U$36 = $H$18, U$36 =ASSUMPTIONS!$H$60), $H23 * U40 * ((ASSUMPTIONS!$H$63 * $I9) + (ASSUMPTIONS!$H$64 * $F9)), 
TRUE, $I23 *U40 * ((ASSUMPTIONS!$I$63 * $I9) + (ASSUMPTIONS!$I$64 * $F9))
)</f>
        <v>1564829.28</v>
      </c>
      <c r="V50" s="153">
        <f t="array" ref="V50">IFS(AND(V$36 = $E$18, V$36 =ASSUMPTIONS!$E$60), $E23 * V40 * ((ASSUMPTIONS!$E$63 * $I9) + (ASSUMPTIONS!$E$64 * $F9)), 
AND(V$36 = $F$18, V$36 =ASSUMPTIONS!$F$60), $F23 * V40 * ((ASSUMPTIONS!$F$63 * $I9) + (ASSUMPTIONS!$F$64 * $F9)), 
AND(V$36 = $G$18, V$36 =ASSUMPTIONS!$G$60), $G23 * V40 * ((ASSUMPTIONS!$G$63 * $I9) + (ASSUMPTIONS!$G$64 * $F9)), 
AND(V$36 = $H$18, V$36 =ASSUMPTIONS!$H$60), $H23 * V40 * ((ASSUMPTIONS!$H$63 * $I9) + (ASSUMPTIONS!$H$64 * $F9)), 
TRUE, $I23 *V40 * ((ASSUMPTIONS!$I$63 * $I9) + (ASSUMPTIONS!$I$64 * $F9))
)</f>
        <v>1564829.28</v>
      </c>
      <c r="W50" s="153">
        <f t="array" ref="W50">IFS(AND(W$36 = $E$18, W$36 =ASSUMPTIONS!$E$60), $E23 * W40 * ((ASSUMPTIONS!$E$63 * $I9) + (ASSUMPTIONS!$E$64 * $F9)), 
AND(W$36 = $F$18, W$36 =ASSUMPTIONS!$F$60), $F23 * W40 * ((ASSUMPTIONS!$F$63 * $I9) + (ASSUMPTIONS!$F$64 * $F9)), 
AND(W$36 = $G$18, W$36 =ASSUMPTIONS!$G$60), $G23 * W40 * ((ASSUMPTIONS!$G$63 * $I9) + (ASSUMPTIONS!$G$64 * $F9)), 
AND(W$36 = $H$18, W$36 =ASSUMPTIONS!$H$60), $H23 * W40 * ((ASSUMPTIONS!$H$63 * $I9) + (ASSUMPTIONS!$H$64 * $F9)), 
TRUE, $I23 *W40 * ((ASSUMPTIONS!$I$63 * $I9) + (ASSUMPTIONS!$I$64 * $F9))
)</f>
        <v>1564829.28</v>
      </c>
      <c r="X50" s="153">
        <f t="array" ref="X50">IFS(AND(X$36 = $E$18, X$36 =ASSUMPTIONS!$E$60), $E23 * X40 * ((ASSUMPTIONS!$E$63 * $I9) + (ASSUMPTIONS!$E$64 * $F9)), 
AND(X$36 = $F$18, X$36 =ASSUMPTIONS!$F$60), $F23 * X40 * ((ASSUMPTIONS!$F$63 * $I9) + (ASSUMPTIONS!$F$64 * $F9)), 
AND(X$36 = $G$18, X$36 =ASSUMPTIONS!$G$60), $G23 * X40 * ((ASSUMPTIONS!$G$63 * $I9) + (ASSUMPTIONS!$G$64 * $F9)), 
AND(X$36 = $H$18, X$36 =ASSUMPTIONS!$H$60), $H23 * X40 * ((ASSUMPTIONS!$H$63 * $I9) + (ASSUMPTIONS!$H$64 * $F9)), 
TRUE, $I23 *X40 * ((ASSUMPTIONS!$I$63 * $I9) + (ASSUMPTIONS!$I$64 * $F9))
)</f>
        <v>1564829.28</v>
      </c>
      <c r="Y50" s="153">
        <f t="array" ref="Y50">IFS(AND(Y$36 = $E$18, Y$36 =ASSUMPTIONS!$E$60), $E23 * Y40 * ((ASSUMPTIONS!$E$63 * $I9) + (ASSUMPTIONS!$E$64 * $F9)), 
AND(Y$36 = $F$18, Y$36 =ASSUMPTIONS!$F$60), $F23 * Y40 * ((ASSUMPTIONS!$F$63 * $I9) + (ASSUMPTIONS!$F$64 * $F9)), 
AND(Y$36 = $G$18, Y$36 =ASSUMPTIONS!$G$60), $G23 * Y40 * ((ASSUMPTIONS!$G$63 * $I9) + (ASSUMPTIONS!$G$64 * $F9)), 
AND(Y$36 = $H$18, Y$36 =ASSUMPTIONS!$H$60), $H23 * Y40 * ((ASSUMPTIONS!$H$63 * $I9) + (ASSUMPTIONS!$H$64 * $F9)), 
TRUE, $I23 *Y40 * ((ASSUMPTIONS!$I$63 * $I9) + (ASSUMPTIONS!$I$64 * $F9))
)</f>
        <v>1564829.28</v>
      </c>
      <c r="Z50" s="153">
        <f t="array" ref="Z50">IFS(AND(Z$36 = $E$18, Z$36 =ASSUMPTIONS!$E$60), $E23 * Z40 * ((ASSUMPTIONS!$E$63 * $I9) + (ASSUMPTIONS!$E$64 * $F9)), 
AND(Z$36 = $F$18, Z$36 =ASSUMPTIONS!$F$60), $F23 * Z40 * ((ASSUMPTIONS!$F$63 * $I9) + (ASSUMPTIONS!$F$64 * $F9)), 
AND(Z$36 = $G$18, Z$36 =ASSUMPTIONS!$G$60), $G23 * Z40 * ((ASSUMPTIONS!$G$63 * $I9) + (ASSUMPTIONS!$G$64 * $F9)), 
AND(Z$36 = $H$18, Z$36 =ASSUMPTIONS!$H$60), $H23 * Z40 * ((ASSUMPTIONS!$H$63 * $I9) + (ASSUMPTIONS!$H$64 * $F9)), 
TRUE, $I23 *Z40 * ((ASSUMPTIONS!$I$63 * $I9) + (ASSUMPTIONS!$I$64 * $F9))
)</f>
        <v>1564829.28</v>
      </c>
      <c r="AA50" s="153">
        <f t="array" ref="AA50">IFS(AND(AA$36 = $E$18, AA$36 =ASSUMPTIONS!$E$60), $E23 * AA40 * ((ASSUMPTIONS!$E$63 * $I9) + (ASSUMPTIONS!$E$64 * $F9)), 
AND(AA$36 = $F$18, AA$36 =ASSUMPTIONS!$F$60), $F23 * AA40 * ((ASSUMPTIONS!$F$63 * $I9) + (ASSUMPTIONS!$F$64 * $F9)), 
AND(AA$36 = $G$18, AA$36 =ASSUMPTIONS!$G$60), $G23 * AA40 * ((ASSUMPTIONS!$G$63 * $I9) + (ASSUMPTIONS!$G$64 * $F9)), 
AND(AA$36 = $H$18, AA$36 =ASSUMPTIONS!$H$60), $H23 * AA40 * ((ASSUMPTIONS!$H$63 * $I9) + (ASSUMPTIONS!$H$64 * $F9)), 
TRUE, $I23 *AA40 * ((ASSUMPTIONS!$I$63 * $I9) + (ASSUMPTIONS!$I$64 * $F9))
)</f>
        <v>1564829.28</v>
      </c>
      <c r="AB50" s="153">
        <f t="array" ref="AB50">IFS(AND(AB$36 = $E$18, AB$36 =ASSUMPTIONS!$E$60), $E23 * AB40 * ((ASSUMPTIONS!$E$63 * $I9) + (ASSUMPTIONS!$E$64 * $F9)), 
AND(AB$36 = $F$18, AB$36 =ASSUMPTIONS!$F$60), $F23 * AB40 * ((ASSUMPTIONS!$F$63 * $I9) + (ASSUMPTIONS!$F$64 * $F9)), 
AND(AB$36 = $G$18, AB$36 =ASSUMPTIONS!$G$60), $G23 * AB40 * ((ASSUMPTIONS!$G$63 * $I9) + (ASSUMPTIONS!$G$64 * $F9)), 
AND(AB$36 = $H$18, AB$36 =ASSUMPTIONS!$H$60), $H23 * AB40 * ((ASSUMPTIONS!$H$63 * $I9) + (ASSUMPTIONS!$H$64 * $F9)), 
TRUE, $I23 *AB40 * ((ASSUMPTIONS!$I$63 * $I9) + (ASSUMPTIONS!$I$64 * $F9))
)</f>
        <v>1564829.28</v>
      </c>
      <c r="AC50" s="153">
        <f t="array" ref="AC50">IFS(AND(AC$36 = $E$18, AC$36 =ASSUMPTIONS!$E$60), $E23 * AC40 * ((ASSUMPTIONS!$E$63 * $I9) + (ASSUMPTIONS!$E$64 * $F9)), 
AND(AC$36 = $F$18, AC$36 =ASSUMPTIONS!$F$60), $F23 * AC40 * ((ASSUMPTIONS!$F$63 * $I9) + (ASSUMPTIONS!$F$64 * $F9)), 
AND(AC$36 = $G$18, AC$36 =ASSUMPTIONS!$G$60), $G23 * AC40 * ((ASSUMPTIONS!$G$63 * $I9) + (ASSUMPTIONS!$G$64 * $F9)), 
AND(AC$36 = $H$18, AC$36 =ASSUMPTIONS!$H$60), $H23 * AC40 * ((ASSUMPTIONS!$H$63 * $I9) + (ASSUMPTIONS!$H$64 * $F9)), 
TRUE, $I23 *AC40 * ((ASSUMPTIONS!$I$63 * $I9) + (ASSUMPTIONS!$I$64 * $F9))
)</f>
        <v>3411498.384</v>
      </c>
      <c r="AD50" s="153">
        <f t="array" ref="AD50">IFS(AND(AD$36 = $E$18, AD$36 =ASSUMPTIONS!$E$60), $E23 * AD40 * ((ASSUMPTIONS!$E$63 * $I9) + (ASSUMPTIONS!$E$64 * $F9)), 
AND(AD$36 = $F$18, AD$36 =ASSUMPTIONS!$F$60), $F23 * AD40 * ((ASSUMPTIONS!$F$63 * $I9) + (ASSUMPTIONS!$F$64 * $F9)), 
AND(AD$36 = $G$18, AD$36 =ASSUMPTIONS!$G$60), $G23 * AD40 * ((ASSUMPTIONS!$G$63 * $I9) + (ASSUMPTIONS!$G$64 * $F9)), 
AND(AD$36 = $H$18, AD$36 =ASSUMPTIONS!$H$60), $H23 * AD40 * ((ASSUMPTIONS!$H$63 * $I9) + (ASSUMPTIONS!$H$64 * $F9)), 
TRUE, $I23 *AD40 * ((ASSUMPTIONS!$I$63 * $I9) + (ASSUMPTIONS!$I$64 * $F9))
)</f>
        <v>3411498.384</v>
      </c>
      <c r="AE50" s="153">
        <f t="array" ref="AE50">IFS(AND(AE$36 = $E$18, AE$36 =ASSUMPTIONS!$E$60), $E23 * AE40 * ((ASSUMPTIONS!$E$63 * $I9) + (ASSUMPTIONS!$E$64 * $F9)), 
AND(AE$36 = $F$18, AE$36 =ASSUMPTIONS!$F$60), $F23 * AE40 * ((ASSUMPTIONS!$F$63 * $I9) + (ASSUMPTIONS!$F$64 * $F9)), 
AND(AE$36 = $G$18, AE$36 =ASSUMPTIONS!$G$60), $G23 * AE40 * ((ASSUMPTIONS!$G$63 * $I9) + (ASSUMPTIONS!$G$64 * $F9)), 
AND(AE$36 = $H$18, AE$36 =ASSUMPTIONS!$H$60), $H23 * AE40 * ((ASSUMPTIONS!$H$63 * $I9) + (ASSUMPTIONS!$H$64 * $F9)), 
TRUE, $I23 *AE40 * ((ASSUMPTIONS!$I$63 * $I9) + (ASSUMPTIONS!$I$64 * $F9))
)</f>
        <v>3411498.384</v>
      </c>
      <c r="AF50" s="153">
        <f t="array" ref="AF50">IFS(AND(AF$36 = $E$18, AF$36 =ASSUMPTIONS!$E$60), $E23 * AF40 * ((ASSUMPTIONS!$E$63 * $I9) + (ASSUMPTIONS!$E$64 * $F9)), 
AND(AF$36 = $F$18, AF$36 =ASSUMPTIONS!$F$60), $F23 * AF40 * ((ASSUMPTIONS!$F$63 * $I9) + (ASSUMPTIONS!$F$64 * $F9)), 
AND(AF$36 = $G$18, AF$36 =ASSUMPTIONS!$G$60), $G23 * AF40 * ((ASSUMPTIONS!$G$63 * $I9) + (ASSUMPTIONS!$G$64 * $F9)), 
AND(AF$36 = $H$18, AF$36 =ASSUMPTIONS!$H$60), $H23 * AF40 * ((ASSUMPTIONS!$H$63 * $I9) + (ASSUMPTIONS!$H$64 * $F9)), 
TRUE, $I23 *AF40 * ((ASSUMPTIONS!$I$63 * $I9) + (ASSUMPTIONS!$I$64 * $F9))
)</f>
        <v>3411498.384</v>
      </c>
      <c r="AG50" s="153">
        <f t="array" ref="AG50">IFS(AND(AG$36 = $E$18, AG$36 =ASSUMPTIONS!$E$60), $E23 * AG40 * ((ASSUMPTIONS!$E$63 * $I9) + (ASSUMPTIONS!$E$64 * $F9)), 
AND(AG$36 = $F$18, AG$36 =ASSUMPTIONS!$F$60), $F23 * AG40 * ((ASSUMPTIONS!$F$63 * $I9) + (ASSUMPTIONS!$F$64 * $F9)), 
AND(AG$36 = $G$18, AG$36 =ASSUMPTIONS!$G$60), $G23 * AG40 * ((ASSUMPTIONS!$G$63 * $I9) + (ASSUMPTIONS!$G$64 * $F9)), 
AND(AG$36 = $H$18, AG$36 =ASSUMPTIONS!$H$60), $H23 * AG40 * ((ASSUMPTIONS!$H$63 * $I9) + (ASSUMPTIONS!$H$64 * $F9)), 
TRUE, $I23 *AG40 * ((ASSUMPTIONS!$I$63 * $I9) + (ASSUMPTIONS!$I$64 * $F9))
)</f>
        <v>3411498.384</v>
      </c>
      <c r="AH50" s="153">
        <f t="array" ref="AH50">IFS(AND(AH$36 = $E$18, AH$36 =ASSUMPTIONS!$E$60), $E23 * AH40 * ((ASSUMPTIONS!$E$63 * $I9) + (ASSUMPTIONS!$E$64 * $F9)), 
AND(AH$36 = $F$18, AH$36 =ASSUMPTIONS!$F$60), $F23 * AH40 * ((ASSUMPTIONS!$F$63 * $I9) + (ASSUMPTIONS!$F$64 * $F9)), 
AND(AH$36 = $G$18, AH$36 =ASSUMPTIONS!$G$60), $G23 * AH40 * ((ASSUMPTIONS!$G$63 * $I9) + (ASSUMPTIONS!$G$64 * $F9)), 
AND(AH$36 = $H$18, AH$36 =ASSUMPTIONS!$H$60), $H23 * AH40 * ((ASSUMPTIONS!$H$63 * $I9) + (ASSUMPTIONS!$H$64 * $F9)), 
TRUE, $I23 *AH40 * ((ASSUMPTIONS!$I$63 * $I9) + (ASSUMPTIONS!$I$64 * $F9))
)</f>
        <v>3411498.384</v>
      </c>
      <c r="AI50" s="153">
        <f t="array" ref="AI50">IFS(AND(AI$36 = $E$18, AI$36 =ASSUMPTIONS!$E$60), $E23 * AI40 * ((ASSUMPTIONS!$E$63 * $I9) + (ASSUMPTIONS!$E$64 * $F9)), 
AND(AI$36 = $F$18, AI$36 =ASSUMPTIONS!$F$60), $F23 * AI40 * ((ASSUMPTIONS!$F$63 * $I9) + (ASSUMPTIONS!$F$64 * $F9)), 
AND(AI$36 = $G$18, AI$36 =ASSUMPTIONS!$G$60), $G23 * AI40 * ((ASSUMPTIONS!$G$63 * $I9) + (ASSUMPTIONS!$G$64 * $F9)), 
AND(AI$36 = $H$18, AI$36 =ASSUMPTIONS!$H$60), $H23 * AI40 * ((ASSUMPTIONS!$H$63 * $I9) + (ASSUMPTIONS!$H$64 * $F9)), 
TRUE, $I23 *AI40 * ((ASSUMPTIONS!$I$63 * $I9) + (ASSUMPTIONS!$I$64 * $F9))
)</f>
        <v>3411498.384</v>
      </c>
      <c r="AJ50" s="153">
        <f t="array" ref="AJ50">IFS(AND(AJ$36 = $E$18, AJ$36 =ASSUMPTIONS!$E$60), $E23 * AJ40 * ((ASSUMPTIONS!$E$63 * $I9) + (ASSUMPTIONS!$E$64 * $F9)), 
AND(AJ$36 = $F$18, AJ$36 =ASSUMPTIONS!$F$60), $F23 * AJ40 * ((ASSUMPTIONS!$F$63 * $I9) + (ASSUMPTIONS!$F$64 * $F9)), 
AND(AJ$36 = $G$18, AJ$36 =ASSUMPTIONS!$G$60), $G23 * AJ40 * ((ASSUMPTIONS!$G$63 * $I9) + (ASSUMPTIONS!$G$64 * $F9)), 
AND(AJ$36 = $H$18, AJ$36 =ASSUMPTIONS!$H$60), $H23 * AJ40 * ((ASSUMPTIONS!$H$63 * $I9) + (ASSUMPTIONS!$H$64 * $F9)), 
TRUE, $I23 *AJ40 * ((ASSUMPTIONS!$I$63 * $I9) + (ASSUMPTIONS!$I$64 * $F9))
)</f>
        <v>3411498.384</v>
      </c>
      <c r="AK50" s="153">
        <f t="array" ref="AK50">IFS(AND(AK$36 = $E$18, AK$36 =ASSUMPTIONS!$E$60), $E23 * AK40 * ((ASSUMPTIONS!$E$63 * $I9) + (ASSUMPTIONS!$E$64 * $F9)), 
AND(AK$36 = $F$18, AK$36 =ASSUMPTIONS!$F$60), $F23 * AK40 * ((ASSUMPTIONS!$F$63 * $I9) + (ASSUMPTIONS!$F$64 * $F9)), 
AND(AK$36 = $G$18, AK$36 =ASSUMPTIONS!$G$60), $G23 * AK40 * ((ASSUMPTIONS!$G$63 * $I9) + (ASSUMPTIONS!$G$64 * $F9)), 
AND(AK$36 = $H$18, AK$36 =ASSUMPTIONS!$H$60), $H23 * AK40 * ((ASSUMPTIONS!$H$63 * $I9) + (ASSUMPTIONS!$H$64 * $F9)), 
TRUE, $I23 *AK40 * ((ASSUMPTIONS!$I$63 * $I9) + (ASSUMPTIONS!$I$64 * $F9))
)</f>
        <v>3411498.384</v>
      </c>
      <c r="AL50" s="153">
        <f t="array" ref="AL50">IFS(AND(AL$36 = $E$18, AL$36 =ASSUMPTIONS!$E$60), $E23 * AL40 * ((ASSUMPTIONS!$E$63 * $I9) + (ASSUMPTIONS!$E$64 * $F9)), 
AND(AL$36 = $F$18, AL$36 =ASSUMPTIONS!$F$60), $F23 * AL40 * ((ASSUMPTIONS!$F$63 * $I9) + (ASSUMPTIONS!$F$64 * $F9)), 
AND(AL$36 = $G$18, AL$36 =ASSUMPTIONS!$G$60), $G23 * AL40 * ((ASSUMPTIONS!$G$63 * $I9) + (ASSUMPTIONS!$G$64 * $F9)), 
AND(AL$36 = $H$18, AL$36 =ASSUMPTIONS!$H$60), $H23 * AL40 * ((ASSUMPTIONS!$H$63 * $I9) + (ASSUMPTIONS!$H$64 * $F9)), 
TRUE, $I23 *AL40 * ((ASSUMPTIONS!$I$63 * $I9) + (ASSUMPTIONS!$I$64 * $F9))
)</f>
        <v>3411498.384</v>
      </c>
      <c r="AM50" s="153">
        <f t="array" ref="AM50">IFS(AND(AM$36 = $E$18, AM$36 =ASSUMPTIONS!$E$60), $E23 * AM40 * ((ASSUMPTIONS!$E$63 * $I9) + (ASSUMPTIONS!$E$64 * $F9)), 
AND(AM$36 = $F$18, AM$36 =ASSUMPTIONS!$F$60), $F23 * AM40 * ((ASSUMPTIONS!$F$63 * $I9) + (ASSUMPTIONS!$F$64 * $F9)), 
AND(AM$36 = $G$18, AM$36 =ASSUMPTIONS!$G$60), $G23 * AM40 * ((ASSUMPTIONS!$G$63 * $I9) + (ASSUMPTIONS!$G$64 * $F9)), 
AND(AM$36 = $H$18, AM$36 =ASSUMPTIONS!$H$60), $H23 * AM40 * ((ASSUMPTIONS!$H$63 * $I9) + (ASSUMPTIONS!$H$64 * $F9)), 
TRUE, $I23 *AM40 * ((ASSUMPTIONS!$I$63 * $I9) + (ASSUMPTIONS!$I$64 * $F9))
)</f>
        <v>3411498.384</v>
      </c>
      <c r="AN50" s="153">
        <f t="array" ref="AN50">IFS(AND(AN$36 = $E$18, AN$36 =ASSUMPTIONS!$E$60), $E23 * AN40 * ((ASSUMPTIONS!$E$63 * $I9) + (ASSUMPTIONS!$E$64 * $F9)), 
AND(AN$36 = $F$18, AN$36 =ASSUMPTIONS!$F$60), $F23 * AN40 * ((ASSUMPTIONS!$F$63 * $I9) + (ASSUMPTIONS!$F$64 * $F9)), 
AND(AN$36 = $G$18, AN$36 =ASSUMPTIONS!$G$60), $G23 * AN40 * ((ASSUMPTIONS!$G$63 * $I9) + (ASSUMPTIONS!$G$64 * $F9)), 
AND(AN$36 = $H$18, AN$36 =ASSUMPTIONS!$H$60), $H23 * AN40 * ((ASSUMPTIONS!$H$63 * $I9) + (ASSUMPTIONS!$H$64 * $F9)), 
TRUE, $I23 *AN40 * ((ASSUMPTIONS!$I$63 * $I9) + (ASSUMPTIONS!$I$64 * $F9))
)</f>
        <v>3411498.384</v>
      </c>
      <c r="AO50" s="153">
        <f t="array" ref="AO50">IFS(AND(AO$36 = $E$18, AO$36 =ASSUMPTIONS!$E$60), $E23 * AO40 * ((ASSUMPTIONS!$E$63 * $I9) + (ASSUMPTIONS!$E$64 * $F9)), 
AND(AO$36 = $F$18, AO$36 =ASSUMPTIONS!$F$60), $F23 * AO40 * ((ASSUMPTIONS!$F$63 * $I9) + (ASSUMPTIONS!$F$64 * $F9)), 
AND(AO$36 = $G$18, AO$36 =ASSUMPTIONS!$G$60), $G23 * AO40 * ((ASSUMPTIONS!$G$63 * $I9) + (ASSUMPTIONS!$G$64 * $F9)), 
AND(AO$36 = $H$18, AO$36 =ASSUMPTIONS!$H$60), $H23 * AO40 * ((ASSUMPTIONS!$H$63 * $I9) + (ASSUMPTIONS!$H$64 * $F9)), 
TRUE, $I23 *AO40 * ((ASSUMPTIONS!$I$63 * $I9) + (ASSUMPTIONS!$I$64 * $F9))
)</f>
        <v>11141094.13</v>
      </c>
      <c r="AP50" s="153">
        <f t="array" ref="AP50">IFS(AND(AP$36 = $E$18, AP$36 =ASSUMPTIONS!$E$60), $E23 * AP40 * ((ASSUMPTIONS!$E$63 * $I9) + (ASSUMPTIONS!$E$64 * $F9)), 
AND(AP$36 = $F$18, AP$36 =ASSUMPTIONS!$F$60), $F23 * AP40 * ((ASSUMPTIONS!$F$63 * $I9) + (ASSUMPTIONS!$F$64 * $F9)), 
AND(AP$36 = $G$18, AP$36 =ASSUMPTIONS!$G$60), $G23 * AP40 * ((ASSUMPTIONS!$G$63 * $I9) + (ASSUMPTIONS!$G$64 * $F9)), 
AND(AP$36 = $H$18, AP$36 =ASSUMPTIONS!$H$60), $H23 * AP40 * ((ASSUMPTIONS!$H$63 * $I9) + (ASSUMPTIONS!$H$64 * $F9)), 
TRUE, $I23 *AP40 * ((ASSUMPTIONS!$I$63 * $I9) + (ASSUMPTIONS!$I$64 * $F9))
)</f>
        <v>11141094.13</v>
      </c>
      <c r="AQ50" s="153">
        <f t="array" ref="AQ50">IFS(AND(AQ$36 = $E$18, AQ$36 =ASSUMPTIONS!$E$60), $E23 * AQ40 * ((ASSUMPTIONS!$E$63 * $I9) + (ASSUMPTIONS!$E$64 * $F9)), 
AND(AQ$36 = $F$18, AQ$36 =ASSUMPTIONS!$F$60), $F23 * AQ40 * ((ASSUMPTIONS!$F$63 * $I9) + (ASSUMPTIONS!$F$64 * $F9)), 
AND(AQ$36 = $G$18, AQ$36 =ASSUMPTIONS!$G$60), $G23 * AQ40 * ((ASSUMPTIONS!$G$63 * $I9) + (ASSUMPTIONS!$G$64 * $F9)), 
AND(AQ$36 = $H$18, AQ$36 =ASSUMPTIONS!$H$60), $H23 * AQ40 * ((ASSUMPTIONS!$H$63 * $I9) + (ASSUMPTIONS!$H$64 * $F9)), 
TRUE, $I23 *AQ40 * ((ASSUMPTIONS!$I$63 * $I9) + (ASSUMPTIONS!$I$64 * $F9))
)</f>
        <v>11141094.13</v>
      </c>
      <c r="AR50" s="153">
        <f t="array" ref="AR50">IFS(AND(AR$36 = $E$18, AR$36 =ASSUMPTIONS!$E$60), $E23 * AR40 * ((ASSUMPTIONS!$E$63 * $I9) + (ASSUMPTIONS!$E$64 * $F9)), 
AND(AR$36 = $F$18, AR$36 =ASSUMPTIONS!$F$60), $F23 * AR40 * ((ASSUMPTIONS!$F$63 * $I9) + (ASSUMPTIONS!$F$64 * $F9)), 
AND(AR$36 = $G$18, AR$36 =ASSUMPTIONS!$G$60), $G23 * AR40 * ((ASSUMPTIONS!$G$63 * $I9) + (ASSUMPTIONS!$G$64 * $F9)), 
AND(AR$36 = $H$18, AR$36 =ASSUMPTIONS!$H$60), $H23 * AR40 * ((ASSUMPTIONS!$H$63 * $I9) + (ASSUMPTIONS!$H$64 * $F9)), 
TRUE, $I23 *AR40 * ((ASSUMPTIONS!$I$63 * $I9) + (ASSUMPTIONS!$I$64 * $F9))
)</f>
        <v>11141094.13</v>
      </c>
      <c r="AS50" s="153">
        <f t="array" ref="AS50">IFS(AND(AS$36 = $E$18, AS$36 =ASSUMPTIONS!$E$60), $E23 * AS40 * ((ASSUMPTIONS!$E$63 * $I9) + (ASSUMPTIONS!$E$64 * $F9)), 
AND(AS$36 = $F$18, AS$36 =ASSUMPTIONS!$F$60), $F23 * AS40 * ((ASSUMPTIONS!$F$63 * $I9) + (ASSUMPTIONS!$F$64 * $F9)), 
AND(AS$36 = $G$18, AS$36 =ASSUMPTIONS!$G$60), $G23 * AS40 * ((ASSUMPTIONS!$G$63 * $I9) + (ASSUMPTIONS!$G$64 * $F9)), 
AND(AS$36 = $H$18, AS$36 =ASSUMPTIONS!$H$60), $H23 * AS40 * ((ASSUMPTIONS!$H$63 * $I9) + (ASSUMPTIONS!$H$64 * $F9)), 
TRUE, $I23 *AS40 * ((ASSUMPTIONS!$I$63 * $I9) + (ASSUMPTIONS!$I$64 * $F9))
)</f>
        <v>11141094.13</v>
      </c>
      <c r="AT50" s="153">
        <f t="array" ref="AT50">IFS(AND(AT$36 = $E$18, AT$36 =ASSUMPTIONS!$E$60), $E23 * AT40 * ((ASSUMPTIONS!$E$63 * $I9) + (ASSUMPTIONS!$E$64 * $F9)), 
AND(AT$36 = $F$18, AT$36 =ASSUMPTIONS!$F$60), $F23 * AT40 * ((ASSUMPTIONS!$F$63 * $I9) + (ASSUMPTIONS!$F$64 * $F9)), 
AND(AT$36 = $G$18, AT$36 =ASSUMPTIONS!$G$60), $G23 * AT40 * ((ASSUMPTIONS!$G$63 * $I9) + (ASSUMPTIONS!$G$64 * $F9)), 
AND(AT$36 = $H$18, AT$36 =ASSUMPTIONS!$H$60), $H23 * AT40 * ((ASSUMPTIONS!$H$63 * $I9) + (ASSUMPTIONS!$H$64 * $F9)), 
TRUE, $I23 *AT40 * ((ASSUMPTIONS!$I$63 * $I9) + (ASSUMPTIONS!$I$64 * $F9))
)</f>
        <v>11141094.13</v>
      </c>
      <c r="AU50" s="153">
        <f t="array" ref="AU50">IFS(AND(AU$36 = $E$18, AU$36 =ASSUMPTIONS!$E$60), $E23 * AU40 * ((ASSUMPTIONS!$E$63 * $I9) + (ASSUMPTIONS!$E$64 * $F9)), 
AND(AU$36 = $F$18, AU$36 =ASSUMPTIONS!$F$60), $F23 * AU40 * ((ASSUMPTIONS!$F$63 * $I9) + (ASSUMPTIONS!$F$64 * $F9)), 
AND(AU$36 = $G$18, AU$36 =ASSUMPTIONS!$G$60), $G23 * AU40 * ((ASSUMPTIONS!$G$63 * $I9) + (ASSUMPTIONS!$G$64 * $F9)), 
AND(AU$36 = $H$18, AU$36 =ASSUMPTIONS!$H$60), $H23 * AU40 * ((ASSUMPTIONS!$H$63 * $I9) + (ASSUMPTIONS!$H$64 * $F9)), 
TRUE, $I23 *AU40 * ((ASSUMPTIONS!$I$63 * $I9) + (ASSUMPTIONS!$I$64 * $F9))
)</f>
        <v>11141094.13</v>
      </c>
      <c r="AV50" s="153">
        <f t="array" ref="AV50">IFS(AND(AV$36 = $E$18, AV$36 =ASSUMPTIONS!$E$60), $E23 * AV40 * ((ASSUMPTIONS!$E$63 * $I9) + (ASSUMPTIONS!$E$64 * $F9)), 
AND(AV$36 = $F$18, AV$36 =ASSUMPTIONS!$F$60), $F23 * AV40 * ((ASSUMPTIONS!$F$63 * $I9) + (ASSUMPTIONS!$F$64 * $F9)), 
AND(AV$36 = $G$18, AV$36 =ASSUMPTIONS!$G$60), $G23 * AV40 * ((ASSUMPTIONS!$G$63 * $I9) + (ASSUMPTIONS!$G$64 * $F9)), 
AND(AV$36 = $H$18, AV$36 =ASSUMPTIONS!$H$60), $H23 * AV40 * ((ASSUMPTIONS!$H$63 * $I9) + (ASSUMPTIONS!$H$64 * $F9)), 
TRUE, $I23 *AV40 * ((ASSUMPTIONS!$I$63 * $I9) + (ASSUMPTIONS!$I$64 * $F9))
)</f>
        <v>11141094.13</v>
      </c>
      <c r="AW50" s="153">
        <f t="array" ref="AW50">IFS(AND(AW$36 = $E$18, AW$36 =ASSUMPTIONS!$E$60), $E23 * AW40 * ((ASSUMPTIONS!$E$63 * $I9) + (ASSUMPTIONS!$E$64 * $F9)), 
AND(AW$36 = $F$18, AW$36 =ASSUMPTIONS!$F$60), $F23 * AW40 * ((ASSUMPTIONS!$F$63 * $I9) + (ASSUMPTIONS!$F$64 * $F9)), 
AND(AW$36 = $G$18, AW$36 =ASSUMPTIONS!$G$60), $G23 * AW40 * ((ASSUMPTIONS!$G$63 * $I9) + (ASSUMPTIONS!$G$64 * $F9)), 
AND(AW$36 = $H$18, AW$36 =ASSUMPTIONS!$H$60), $H23 * AW40 * ((ASSUMPTIONS!$H$63 * $I9) + (ASSUMPTIONS!$H$64 * $F9)), 
TRUE, $I23 *AW40 * ((ASSUMPTIONS!$I$63 * $I9) + (ASSUMPTIONS!$I$64 * $F9))
)</f>
        <v>11141094.13</v>
      </c>
      <c r="AX50" s="153">
        <f t="array" ref="AX50">IFS(AND(AX$36 = $E$18, AX$36 =ASSUMPTIONS!$E$60), $E23 * AX40 * ((ASSUMPTIONS!$E$63 * $I9) + (ASSUMPTIONS!$E$64 * $F9)), 
AND(AX$36 = $F$18, AX$36 =ASSUMPTIONS!$F$60), $F23 * AX40 * ((ASSUMPTIONS!$F$63 * $I9) + (ASSUMPTIONS!$F$64 * $F9)), 
AND(AX$36 = $G$18, AX$36 =ASSUMPTIONS!$G$60), $G23 * AX40 * ((ASSUMPTIONS!$G$63 * $I9) + (ASSUMPTIONS!$G$64 * $F9)), 
AND(AX$36 = $H$18, AX$36 =ASSUMPTIONS!$H$60), $H23 * AX40 * ((ASSUMPTIONS!$H$63 * $I9) + (ASSUMPTIONS!$H$64 * $F9)), 
TRUE, $I23 *AX40 * ((ASSUMPTIONS!$I$63 * $I9) + (ASSUMPTIONS!$I$64 * $F9))
)</f>
        <v>11141094.13</v>
      </c>
      <c r="AY50" s="153">
        <f t="array" ref="AY50">IFS(AND(AY$36 = $E$18, AY$36 =ASSUMPTIONS!$E$60), $E23 * AY40 * ((ASSUMPTIONS!$E$63 * $I9) + (ASSUMPTIONS!$E$64 * $F9)), 
AND(AY$36 = $F$18, AY$36 =ASSUMPTIONS!$F$60), $F23 * AY40 * ((ASSUMPTIONS!$F$63 * $I9) + (ASSUMPTIONS!$F$64 * $F9)), 
AND(AY$36 = $G$18, AY$36 =ASSUMPTIONS!$G$60), $G23 * AY40 * ((ASSUMPTIONS!$G$63 * $I9) + (ASSUMPTIONS!$G$64 * $F9)), 
AND(AY$36 = $H$18, AY$36 =ASSUMPTIONS!$H$60), $H23 * AY40 * ((ASSUMPTIONS!$H$63 * $I9) + (ASSUMPTIONS!$H$64 * $F9)), 
TRUE, $I23 *AY40 * ((ASSUMPTIONS!$I$63 * $I9) + (ASSUMPTIONS!$I$64 * $F9))
)</f>
        <v>11141094.13</v>
      </c>
      <c r="AZ50" s="153">
        <f t="array" ref="AZ50">IFS(AND(AZ$36 = $E$18, AZ$36 =ASSUMPTIONS!$E$60), $E23 * AZ40 * ((ASSUMPTIONS!$E$63 * $I9) + (ASSUMPTIONS!$E$64 * $F9)), 
AND(AZ$36 = $F$18, AZ$36 =ASSUMPTIONS!$F$60), $F23 * AZ40 * ((ASSUMPTIONS!$F$63 * $I9) + (ASSUMPTIONS!$F$64 * $F9)), 
AND(AZ$36 = $G$18, AZ$36 =ASSUMPTIONS!$G$60), $G23 * AZ40 * ((ASSUMPTIONS!$G$63 * $I9) + (ASSUMPTIONS!$G$64 * $F9)), 
AND(AZ$36 = $H$18, AZ$36 =ASSUMPTIONS!$H$60), $H23 * AZ40 * ((ASSUMPTIONS!$H$63 * $I9) + (ASSUMPTIONS!$H$64 * $F9)), 
TRUE, $I23 *AZ40 * ((ASSUMPTIONS!$I$63 * $I9) + (ASSUMPTIONS!$I$64 * $F9))
)</f>
        <v>11141094.13</v>
      </c>
      <c r="BA50" s="153">
        <f t="array" ref="BA50">IFS(AND(BA$36 = $E$18, BA$36 =ASSUMPTIONS!$E$60), $E23 * BA40 * ((ASSUMPTIONS!$E$63 * $I9) + (ASSUMPTIONS!$E$64 * $F9)), 
AND(BA$36 = $F$18, BA$36 =ASSUMPTIONS!$F$60), $F23 * BA40 * ((ASSUMPTIONS!$F$63 * $I9) + (ASSUMPTIONS!$F$64 * $F9)), 
AND(BA$36 = $G$18, BA$36 =ASSUMPTIONS!$G$60), $G23 * BA40 * ((ASSUMPTIONS!$G$63 * $I9) + (ASSUMPTIONS!$G$64 * $F9)), 
AND(BA$36 = $H$18, BA$36 =ASSUMPTIONS!$H$60), $H23 * BA40 * ((ASSUMPTIONS!$H$63 * $I9) + (ASSUMPTIONS!$H$64 * $F9)), 
TRUE, $I23 *BA40 * ((ASSUMPTIONS!$I$63 * $I9) + (ASSUMPTIONS!$I$64 * $F9))
)</f>
        <v>12734693.67</v>
      </c>
      <c r="BB50" s="153">
        <f t="array" ref="BB50">IFS(AND(BB$36 = $E$18, BB$36 =ASSUMPTIONS!$E$60), $E23 * BB40 * ((ASSUMPTIONS!$E$63 * $I9) + (ASSUMPTIONS!$E$64 * $F9)), 
AND(BB$36 = $F$18, BB$36 =ASSUMPTIONS!$F$60), $F23 * BB40 * ((ASSUMPTIONS!$F$63 * $I9) + (ASSUMPTIONS!$F$64 * $F9)), 
AND(BB$36 = $G$18, BB$36 =ASSUMPTIONS!$G$60), $G23 * BB40 * ((ASSUMPTIONS!$G$63 * $I9) + (ASSUMPTIONS!$G$64 * $F9)), 
AND(BB$36 = $H$18, BB$36 =ASSUMPTIONS!$H$60), $H23 * BB40 * ((ASSUMPTIONS!$H$63 * $I9) + (ASSUMPTIONS!$H$64 * $F9)), 
TRUE, $I23 *BB40 * ((ASSUMPTIONS!$I$63 * $I9) + (ASSUMPTIONS!$I$64 * $F9))
)</f>
        <v>12734693.67</v>
      </c>
      <c r="BC50" s="153">
        <f t="array" ref="BC50">IFS(AND(BC$36 = $E$18, BC$36 =ASSUMPTIONS!$E$60), $E23 * BC40 * ((ASSUMPTIONS!$E$63 * $I9) + (ASSUMPTIONS!$E$64 * $F9)), 
AND(BC$36 = $F$18, BC$36 =ASSUMPTIONS!$F$60), $F23 * BC40 * ((ASSUMPTIONS!$F$63 * $I9) + (ASSUMPTIONS!$F$64 * $F9)), 
AND(BC$36 = $G$18, BC$36 =ASSUMPTIONS!$G$60), $G23 * BC40 * ((ASSUMPTIONS!$G$63 * $I9) + (ASSUMPTIONS!$G$64 * $F9)), 
AND(BC$36 = $H$18, BC$36 =ASSUMPTIONS!$H$60), $H23 * BC40 * ((ASSUMPTIONS!$H$63 * $I9) + (ASSUMPTIONS!$H$64 * $F9)), 
TRUE, $I23 *BC40 * ((ASSUMPTIONS!$I$63 * $I9) + (ASSUMPTIONS!$I$64 * $F9))
)</f>
        <v>12734693.67</v>
      </c>
      <c r="BD50" s="153">
        <f t="array" ref="BD50">IFS(AND(BD$36 = $E$18, BD$36 =ASSUMPTIONS!$E$60), $E23 * BD40 * ((ASSUMPTIONS!$E$63 * $I9) + (ASSUMPTIONS!$E$64 * $F9)), 
AND(BD$36 = $F$18, BD$36 =ASSUMPTIONS!$F$60), $F23 * BD40 * ((ASSUMPTIONS!$F$63 * $I9) + (ASSUMPTIONS!$F$64 * $F9)), 
AND(BD$36 = $G$18, BD$36 =ASSUMPTIONS!$G$60), $G23 * BD40 * ((ASSUMPTIONS!$G$63 * $I9) + (ASSUMPTIONS!$G$64 * $F9)), 
AND(BD$36 = $H$18, BD$36 =ASSUMPTIONS!$H$60), $H23 * BD40 * ((ASSUMPTIONS!$H$63 * $I9) + (ASSUMPTIONS!$H$64 * $F9)), 
TRUE, $I23 *BD40 * ((ASSUMPTIONS!$I$63 * $I9) + (ASSUMPTIONS!$I$64 * $F9))
)</f>
        <v>12734693.67</v>
      </c>
      <c r="BE50" s="153">
        <f t="array" ref="BE50">IFS(AND(BE$36 = $E$18, BE$36 =ASSUMPTIONS!$E$60), $E23 * BE40 * ((ASSUMPTIONS!$E$63 * $I9) + (ASSUMPTIONS!$E$64 * $F9)), 
AND(BE$36 = $F$18, BE$36 =ASSUMPTIONS!$F$60), $F23 * BE40 * ((ASSUMPTIONS!$F$63 * $I9) + (ASSUMPTIONS!$F$64 * $F9)), 
AND(BE$36 = $G$18, BE$36 =ASSUMPTIONS!$G$60), $G23 * BE40 * ((ASSUMPTIONS!$G$63 * $I9) + (ASSUMPTIONS!$G$64 * $F9)), 
AND(BE$36 = $H$18, BE$36 =ASSUMPTIONS!$H$60), $H23 * BE40 * ((ASSUMPTIONS!$H$63 * $I9) + (ASSUMPTIONS!$H$64 * $F9)), 
TRUE, $I23 *BE40 * ((ASSUMPTIONS!$I$63 * $I9) + (ASSUMPTIONS!$I$64 * $F9))
)</f>
        <v>12734693.67</v>
      </c>
      <c r="BF50" s="153">
        <f t="array" ref="BF50">IFS(AND(BF$36 = $E$18, BF$36 =ASSUMPTIONS!$E$60), $E23 * BF40 * ((ASSUMPTIONS!$E$63 * $I9) + (ASSUMPTIONS!$E$64 * $F9)), 
AND(BF$36 = $F$18, BF$36 =ASSUMPTIONS!$F$60), $F23 * BF40 * ((ASSUMPTIONS!$F$63 * $I9) + (ASSUMPTIONS!$F$64 * $F9)), 
AND(BF$36 = $G$18, BF$36 =ASSUMPTIONS!$G$60), $G23 * BF40 * ((ASSUMPTIONS!$G$63 * $I9) + (ASSUMPTIONS!$G$64 * $F9)), 
AND(BF$36 = $H$18, BF$36 =ASSUMPTIONS!$H$60), $H23 * BF40 * ((ASSUMPTIONS!$H$63 * $I9) + (ASSUMPTIONS!$H$64 * $F9)), 
TRUE, $I23 *BF40 * ((ASSUMPTIONS!$I$63 * $I9) + (ASSUMPTIONS!$I$64 * $F9))
)</f>
        <v>12734693.67</v>
      </c>
      <c r="BG50" s="153">
        <f t="array" ref="BG50">IFS(AND(BG$36 = $E$18, BG$36 =ASSUMPTIONS!$E$60), $E23 * BG40 * ((ASSUMPTIONS!$E$63 * $I9) + (ASSUMPTIONS!$E$64 * $F9)), 
AND(BG$36 = $F$18, BG$36 =ASSUMPTIONS!$F$60), $F23 * BG40 * ((ASSUMPTIONS!$F$63 * $I9) + (ASSUMPTIONS!$F$64 * $F9)), 
AND(BG$36 = $G$18, BG$36 =ASSUMPTIONS!$G$60), $G23 * BG40 * ((ASSUMPTIONS!$G$63 * $I9) + (ASSUMPTIONS!$G$64 * $F9)), 
AND(BG$36 = $H$18, BG$36 =ASSUMPTIONS!$H$60), $H23 * BG40 * ((ASSUMPTIONS!$H$63 * $I9) + (ASSUMPTIONS!$H$64 * $F9)), 
TRUE, $I23 *BG40 * ((ASSUMPTIONS!$I$63 * $I9) + (ASSUMPTIONS!$I$64 * $F9))
)</f>
        <v>12734693.67</v>
      </c>
      <c r="BH50" s="153">
        <f t="array" ref="BH50">IFS(AND(BH$36 = $E$18, BH$36 =ASSUMPTIONS!$E$60), $E23 * BH40 * ((ASSUMPTIONS!$E$63 * $I9) + (ASSUMPTIONS!$E$64 * $F9)), 
AND(BH$36 = $F$18, BH$36 =ASSUMPTIONS!$F$60), $F23 * BH40 * ((ASSUMPTIONS!$F$63 * $I9) + (ASSUMPTIONS!$F$64 * $F9)), 
AND(BH$36 = $G$18, BH$36 =ASSUMPTIONS!$G$60), $G23 * BH40 * ((ASSUMPTIONS!$G$63 * $I9) + (ASSUMPTIONS!$G$64 * $F9)), 
AND(BH$36 = $H$18, BH$36 =ASSUMPTIONS!$H$60), $H23 * BH40 * ((ASSUMPTIONS!$H$63 * $I9) + (ASSUMPTIONS!$H$64 * $F9)), 
TRUE, $I23 *BH40 * ((ASSUMPTIONS!$I$63 * $I9) + (ASSUMPTIONS!$I$64 * $F9))
)</f>
        <v>12734693.67</v>
      </c>
      <c r="BI50" s="153">
        <f t="array" ref="BI50">IFS(AND(BI$36 = $E$18, BI$36 =ASSUMPTIONS!$E$60), $E23 * BI40 * ((ASSUMPTIONS!$E$63 * $I9) + (ASSUMPTIONS!$E$64 * $F9)), 
AND(BI$36 = $F$18, BI$36 =ASSUMPTIONS!$F$60), $F23 * BI40 * ((ASSUMPTIONS!$F$63 * $I9) + (ASSUMPTIONS!$F$64 * $F9)), 
AND(BI$36 = $G$18, BI$36 =ASSUMPTIONS!$G$60), $G23 * BI40 * ((ASSUMPTIONS!$G$63 * $I9) + (ASSUMPTIONS!$G$64 * $F9)), 
AND(BI$36 = $H$18, BI$36 =ASSUMPTIONS!$H$60), $H23 * BI40 * ((ASSUMPTIONS!$H$63 * $I9) + (ASSUMPTIONS!$H$64 * $F9)), 
TRUE, $I23 *BI40 * ((ASSUMPTIONS!$I$63 * $I9) + (ASSUMPTIONS!$I$64 * $F9))
)</f>
        <v>12734693.67</v>
      </c>
      <c r="BJ50" s="153">
        <f t="array" ref="BJ50">IFS(AND(BJ$36 = $E$18, BJ$36 =ASSUMPTIONS!$E$60), $E23 * BJ40 * ((ASSUMPTIONS!$E$63 * $I9) + (ASSUMPTIONS!$E$64 * $F9)), 
AND(BJ$36 = $F$18, BJ$36 =ASSUMPTIONS!$F$60), $F23 * BJ40 * ((ASSUMPTIONS!$F$63 * $I9) + (ASSUMPTIONS!$F$64 * $F9)), 
AND(BJ$36 = $G$18, BJ$36 =ASSUMPTIONS!$G$60), $G23 * BJ40 * ((ASSUMPTIONS!$G$63 * $I9) + (ASSUMPTIONS!$G$64 * $F9)), 
AND(BJ$36 = $H$18, BJ$36 =ASSUMPTIONS!$H$60), $H23 * BJ40 * ((ASSUMPTIONS!$H$63 * $I9) + (ASSUMPTIONS!$H$64 * $F9)), 
TRUE, $I23 *BJ40 * ((ASSUMPTIONS!$I$63 * $I9) + (ASSUMPTIONS!$I$64 * $F9))
)</f>
        <v>12734693.67</v>
      </c>
      <c r="BK50" s="153">
        <f t="array" ref="BK50">IFS(AND(BK$36 = $E$18, BK$36 =ASSUMPTIONS!$E$60), $E23 * BK40 * ((ASSUMPTIONS!$E$63 * $I9) + (ASSUMPTIONS!$E$64 * $F9)), 
AND(BK$36 = $F$18, BK$36 =ASSUMPTIONS!$F$60), $F23 * BK40 * ((ASSUMPTIONS!$F$63 * $I9) + (ASSUMPTIONS!$F$64 * $F9)), 
AND(BK$36 = $G$18, BK$36 =ASSUMPTIONS!$G$60), $G23 * BK40 * ((ASSUMPTIONS!$G$63 * $I9) + (ASSUMPTIONS!$G$64 * $F9)), 
AND(BK$36 = $H$18, BK$36 =ASSUMPTIONS!$H$60), $H23 * BK40 * ((ASSUMPTIONS!$H$63 * $I9) + (ASSUMPTIONS!$H$64 * $F9)), 
TRUE, $I23 *BK40 * ((ASSUMPTIONS!$I$63 * $I9) + (ASSUMPTIONS!$I$64 * $F9))
)</f>
        <v>12734693.67</v>
      </c>
      <c r="BL50" s="153">
        <f t="array" ref="BL50">IFS(AND(BL$36 = $E$18, BL$36 =ASSUMPTIONS!$E$60), $E23 * BL40 * ((ASSUMPTIONS!$E$63 * $I9) + (ASSUMPTIONS!$E$64 * $F9)), 
AND(BL$36 = $F$18, BL$36 =ASSUMPTIONS!$F$60), $F23 * BL40 * ((ASSUMPTIONS!$F$63 * $I9) + (ASSUMPTIONS!$F$64 * $F9)), 
AND(BL$36 = $G$18, BL$36 =ASSUMPTIONS!$G$60), $G23 * BL40 * ((ASSUMPTIONS!$G$63 * $I9) + (ASSUMPTIONS!$G$64 * $F9)), 
AND(BL$36 = $H$18, BL$36 =ASSUMPTIONS!$H$60), $H23 * BL40 * ((ASSUMPTIONS!$H$63 * $I9) + (ASSUMPTIONS!$H$64 * $F9)), 
TRUE, $I23 *BL40 * ((ASSUMPTIONS!$I$63 * $I9) + (ASSUMPTIONS!$I$64 * $F9))
)</f>
        <v>12734693.67</v>
      </c>
    </row>
    <row r="51" ht="15.75" customHeight="1">
      <c r="D51" s="35" t="s">
        <v>22</v>
      </c>
      <c r="E51" s="153">
        <f t="array" ref="E51">IFS(AND(E$36 = $E$18, E$36 =ASSUMPTIONS!$E$60), $E24 * E41 * ((ASSUMPTIONS!$E$63 * $I10) + (ASSUMPTIONS!$E$64 * $F10)), 
AND(E$36 = $F$18, E$36 =ASSUMPTIONS!$F$60), $F24 * E41 * ((ASSUMPTIONS!$F$63 * $I10) + (ASSUMPTIONS!$F$64 * $F10)), 
AND(E$36 = $G$18, E$36 =ASSUMPTIONS!$G$60), $G24 * E41 * ((ASSUMPTIONS!$G$63 * $I10) + (ASSUMPTIONS!$G$64 * $F10)), 
AND(E$36 = $H$18, E$36 =ASSUMPTIONS!$H$60), $H24 * E41 * ((ASSUMPTIONS!$H$63 * $I10) + (ASSUMPTIONS!$H$64 * $F10)), 
TRUE, $I24 *E41 * ((ASSUMPTIONS!$I$63 * $I10) + (ASSUMPTIONS!$I$64 * $F10))
)</f>
        <v>0</v>
      </c>
      <c r="F51" s="153">
        <f t="array" ref="F51">IFS(AND(F$36 = $E$18, F$36 =ASSUMPTIONS!$E$60), $E24 * F41 * ((ASSUMPTIONS!$E$63 * $I10) + (ASSUMPTIONS!$E$64 * $F10)), 
AND(F$36 = $F$18, F$36 =ASSUMPTIONS!$F$60), $F24 * F41 * ((ASSUMPTIONS!$F$63 * $I10) + (ASSUMPTIONS!$F$64 * $F10)), 
AND(F$36 = $G$18, F$36 =ASSUMPTIONS!$G$60), $G24 * F41 * ((ASSUMPTIONS!$G$63 * $I10) + (ASSUMPTIONS!$G$64 * $F10)), 
AND(F$36 = $H$18, F$36 =ASSUMPTIONS!$H$60), $H24 * F41 * ((ASSUMPTIONS!$H$63 * $I10) + (ASSUMPTIONS!$H$64 * $F10)), 
TRUE, $I24 *F41 * ((ASSUMPTIONS!$I$63 * $I10) + (ASSUMPTIONS!$I$64 * $F10))
)</f>
        <v>0</v>
      </c>
      <c r="G51" s="153">
        <f t="array" ref="G51">IFS(AND(G$36 = $E$18, G$36 =ASSUMPTIONS!$E$60), $E24 * G41 * ((ASSUMPTIONS!$E$63 * $I10) + (ASSUMPTIONS!$E$64 * $F10)), 
AND(G$36 = $F$18, G$36 =ASSUMPTIONS!$F$60), $F24 * G41 * ((ASSUMPTIONS!$F$63 * $I10) + (ASSUMPTIONS!$F$64 * $F10)), 
AND(G$36 = $G$18, G$36 =ASSUMPTIONS!$G$60), $G24 * G41 * ((ASSUMPTIONS!$G$63 * $I10) + (ASSUMPTIONS!$G$64 * $F10)), 
AND(G$36 = $H$18, G$36 =ASSUMPTIONS!$H$60), $H24 * G41 * ((ASSUMPTIONS!$H$63 * $I10) + (ASSUMPTIONS!$H$64 * $F10)), 
TRUE, $I24 *G41 * ((ASSUMPTIONS!$I$63 * $I10) + (ASSUMPTIONS!$I$64 * $F10))
)</f>
        <v>0</v>
      </c>
      <c r="H51" s="153">
        <f t="array" ref="H51">IFS(AND(H$36 = $E$18, H$36 =ASSUMPTIONS!$E$60), $E24 * H41 * ((ASSUMPTIONS!$E$63 * $I10) + (ASSUMPTIONS!$E$64 * $F10)), 
AND(H$36 = $F$18, H$36 =ASSUMPTIONS!$F$60), $F24 * H41 * ((ASSUMPTIONS!$F$63 * $I10) + (ASSUMPTIONS!$F$64 * $F10)), 
AND(H$36 = $G$18, H$36 =ASSUMPTIONS!$G$60), $G24 * H41 * ((ASSUMPTIONS!$G$63 * $I10) + (ASSUMPTIONS!$G$64 * $F10)), 
AND(H$36 = $H$18, H$36 =ASSUMPTIONS!$H$60), $H24 * H41 * ((ASSUMPTIONS!$H$63 * $I10) + (ASSUMPTIONS!$H$64 * $F10)), 
TRUE, $I24 *H41 * ((ASSUMPTIONS!$I$63 * $I10) + (ASSUMPTIONS!$I$64 * $F10))
)</f>
        <v>0</v>
      </c>
      <c r="I51" s="153">
        <f t="array" ref="I51">IFS(AND(I$36 = $E$18, I$36 =ASSUMPTIONS!$E$60), $E24 * I41 * ((ASSUMPTIONS!$E$63 * $I10) + (ASSUMPTIONS!$E$64 * $F10)), 
AND(I$36 = $F$18, I$36 =ASSUMPTIONS!$F$60), $F24 * I41 * ((ASSUMPTIONS!$F$63 * $I10) + (ASSUMPTIONS!$F$64 * $F10)), 
AND(I$36 = $G$18, I$36 =ASSUMPTIONS!$G$60), $G24 * I41 * ((ASSUMPTIONS!$G$63 * $I10) + (ASSUMPTIONS!$G$64 * $F10)), 
AND(I$36 = $H$18, I$36 =ASSUMPTIONS!$H$60), $H24 * I41 * ((ASSUMPTIONS!$H$63 * $I10) + (ASSUMPTIONS!$H$64 * $F10)), 
TRUE, $I24 *I41 * ((ASSUMPTIONS!$I$63 * $I10) + (ASSUMPTIONS!$I$64 * $F10))
)</f>
        <v>0</v>
      </c>
      <c r="J51" s="153">
        <f t="array" ref="J51">IFS(AND(J$36 = $E$18, J$36 =ASSUMPTIONS!$E$60), $E24 * J41 * ((ASSUMPTIONS!$E$63 * $I10) + (ASSUMPTIONS!$E$64 * $F10)), 
AND(J$36 = $F$18, J$36 =ASSUMPTIONS!$F$60), $F24 * J41 * ((ASSUMPTIONS!$F$63 * $I10) + (ASSUMPTIONS!$F$64 * $F10)), 
AND(J$36 = $G$18, J$36 =ASSUMPTIONS!$G$60), $G24 * J41 * ((ASSUMPTIONS!$G$63 * $I10) + (ASSUMPTIONS!$G$64 * $F10)), 
AND(J$36 = $H$18, J$36 =ASSUMPTIONS!$H$60), $H24 * J41 * ((ASSUMPTIONS!$H$63 * $I10) + (ASSUMPTIONS!$H$64 * $F10)), 
TRUE, $I24 *J41 * ((ASSUMPTIONS!$I$63 * $I10) + (ASSUMPTIONS!$I$64 * $F10))
)</f>
        <v>0</v>
      </c>
      <c r="K51" s="153">
        <f t="array" ref="K51">IFS(AND(K$36 = $E$18, K$36 =ASSUMPTIONS!$E$60), $E24 * K41 * ((ASSUMPTIONS!$E$63 * $I10) + (ASSUMPTIONS!$E$64 * $F10)), 
AND(K$36 = $F$18, K$36 =ASSUMPTIONS!$F$60), $F24 * K41 * ((ASSUMPTIONS!$F$63 * $I10) + (ASSUMPTIONS!$F$64 * $F10)), 
AND(K$36 = $G$18, K$36 =ASSUMPTIONS!$G$60), $G24 * K41 * ((ASSUMPTIONS!$G$63 * $I10) + (ASSUMPTIONS!$G$64 * $F10)), 
AND(K$36 = $H$18, K$36 =ASSUMPTIONS!$H$60), $H24 * K41 * ((ASSUMPTIONS!$H$63 * $I10) + (ASSUMPTIONS!$H$64 * $F10)), 
TRUE, $I24 *K41 * ((ASSUMPTIONS!$I$63 * $I10) + (ASSUMPTIONS!$I$64 * $F10))
)</f>
        <v>2923776</v>
      </c>
      <c r="L51" s="153">
        <f t="array" ref="L51">IFS(AND(L$36 = $E$18, L$36 =ASSUMPTIONS!$E$60), $E24 * L41 * ((ASSUMPTIONS!$E$63 * $I10) + (ASSUMPTIONS!$E$64 * $F10)), 
AND(L$36 = $F$18, L$36 =ASSUMPTIONS!$F$60), $F24 * L41 * ((ASSUMPTIONS!$F$63 * $I10) + (ASSUMPTIONS!$F$64 * $F10)), 
AND(L$36 = $G$18, L$36 =ASSUMPTIONS!$G$60), $G24 * L41 * ((ASSUMPTIONS!$G$63 * $I10) + (ASSUMPTIONS!$G$64 * $F10)), 
AND(L$36 = $H$18, L$36 =ASSUMPTIONS!$H$60), $H24 * L41 * ((ASSUMPTIONS!$H$63 * $I10) + (ASSUMPTIONS!$H$64 * $F10)), 
TRUE, $I24 *L41 * ((ASSUMPTIONS!$I$63 * $I10) + (ASSUMPTIONS!$I$64 * $F10))
)</f>
        <v>2923776</v>
      </c>
      <c r="M51" s="153">
        <f t="array" ref="M51">IFS(AND(M$36 = $E$18, M$36 =ASSUMPTIONS!$E$60), $E24 * M41 * ((ASSUMPTIONS!$E$63 * $I10) + (ASSUMPTIONS!$E$64 * $F10)), 
AND(M$36 = $F$18, M$36 =ASSUMPTIONS!$F$60), $F24 * M41 * ((ASSUMPTIONS!$F$63 * $I10) + (ASSUMPTIONS!$F$64 * $F10)), 
AND(M$36 = $G$18, M$36 =ASSUMPTIONS!$G$60), $G24 * M41 * ((ASSUMPTIONS!$G$63 * $I10) + (ASSUMPTIONS!$G$64 * $F10)), 
AND(M$36 = $H$18, M$36 =ASSUMPTIONS!$H$60), $H24 * M41 * ((ASSUMPTIONS!$H$63 * $I10) + (ASSUMPTIONS!$H$64 * $F10)), 
TRUE, $I24 *M41 * ((ASSUMPTIONS!$I$63 * $I10) + (ASSUMPTIONS!$I$64 * $F10))
)</f>
        <v>2923776</v>
      </c>
      <c r="N51" s="153">
        <f t="array" ref="N51">IFS(AND(N$36 = $E$18, N$36 =ASSUMPTIONS!$E$60), $E24 * N41 * ((ASSUMPTIONS!$E$63 * $I10) + (ASSUMPTIONS!$E$64 * $F10)), 
AND(N$36 = $F$18, N$36 =ASSUMPTIONS!$F$60), $F24 * N41 * ((ASSUMPTIONS!$F$63 * $I10) + (ASSUMPTIONS!$F$64 * $F10)), 
AND(N$36 = $G$18, N$36 =ASSUMPTIONS!$G$60), $G24 * N41 * ((ASSUMPTIONS!$G$63 * $I10) + (ASSUMPTIONS!$G$64 * $F10)), 
AND(N$36 = $H$18, N$36 =ASSUMPTIONS!$H$60), $H24 * N41 * ((ASSUMPTIONS!$H$63 * $I10) + (ASSUMPTIONS!$H$64 * $F10)), 
TRUE, $I24 *N41 * ((ASSUMPTIONS!$I$63 * $I10) + (ASSUMPTIONS!$I$64 * $F10))
)</f>
        <v>2923776</v>
      </c>
      <c r="O51" s="153">
        <f t="array" ref="O51">IFS(AND(O$36 = $E$18, O$36 =ASSUMPTIONS!$E$60), $E24 * O41 * ((ASSUMPTIONS!$E$63 * $I10) + (ASSUMPTIONS!$E$64 * $F10)), 
AND(O$36 = $F$18, O$36 =ASSUMPTIONS!$F$60), $F24 * O41 * ((ASSUMPTIONS!$F$63 * $I10) + (ASSUMPTIONS!$F$64 * $F10)), 
AND(O$36 = $G$18, O$36 =ASSUMPTIONS!$G$60), $G24 * O41 * ((ASSUMPTIONS!$G$63 * $I10) + (ASSUMPTIONS!$G$64 * $F10)), 
AND(O$36 = $H$18, O$36 =ASSUMPTIONS!$H$60), $H24 * O41 * ((ASSUMPTIONS!$H$63 * $I10) + (ASSUMPTIONS!$H$64 * $F10)), 
TRUE, $I24 *O41 * ((ASSUMPTIONS!$I$63 * $I10) + (ASSUMPTIONS!$I$64 * $F10))
)</f>
        <v>2923776</v>
      </c>
      <c r="P51" s="153">
        <f t="array" ref="P51">IFS(AND(P$36 = $E$18, P$36 =ASSUMPTIONS!$E$60), $E24 * P41 * ((ASSUMPTIONS!$E$63 * $I10) + (ASSUMPTIONS!$E$64 * $F10)), 
AND(P$36 = $F$18, P$36 =ASSUMPTIONS!$F$60), $F24 * P41 * ((ASSUMPTIONS!$F$63 * $I10) + (ASSUMPTIONS!$F$64 * $F10)), 
AND(P$36 = $G$18, P$36 =ASSUMPTIONS!$G$60), $G24 * P41 * ((ASSUMPTIONS!$G$63 * $I10) + (ASSUMPTIONS!$G$64 * $F10)), 
AND(P$36 = $H$18, P$36 =ASSUMPTIONS!$H$60), $H24 * P41 * ((ASSUMPTIONS!$H$63 * $I10) + (ASSUMPTIONS!$H$64 * $F10)), 
TRUE, $I24 *P41 * ((ASSUMPTIONS!$I$63 * $I10) + (ASSUMPTIONS!$I$64 * $F10))
)</f>
        <v>2923776</v>
      </c>
      <c r="Q51" s="153">
        <f t="array" ref="Q51">IFS(AND(Q$36 = $E$18, Q$36 =ASSUMPTIONS!$E$60), $E24 * Q41 * ((ASSUMPTIONS!$E$63 * $I10) + (ASSUMPTIONS!$E$64 * $F10)), 
AND(Q$36 = $F$18, Q$36 =ASSUMPTIONS!$F$60), $F24 * Q41 * ((ASSUMPTIONS!$F$63 * $I10) + (ASSUMPTIONS!$F$64 * $F10)), 
AND(Q$36 = $G$18, Q$36 =ASSUMPTIONS!$G$60), $G24 * Q41 * ((ASSUMPTIONS!$G$63 * $I10) + (ASSUMPTIONS!$G$64 * $F10)), 
AND(Q$36 = $H$18, Q$36 =ASSUMPTIONS!$H$60), $H24 * Q41 * ((ASSUMPTIONS!$H$63 * $I10) + (ASSUMPTIONS!$H$64 * $F10)), 
TRUE, $I24 *Q41 * ((ASSUMPTIONS!$I$63 * $I10) + (ASSUMPTIONS!$I$64 * $F10))
)</f>
        <v>3129658.56</v>
      </c>
      <c r="R51" s="153">
        <f t="array" ref="R51">IFS(AND(R$36 = $E$18, R$36 =ASSUMPTIONS!$E$60), $E24 * R41 * ((ASSUMPTIONS!$E$63 * $I10) + (ASSUMPTIONS!$E$64 * $F10)), 
AND(R$36 = $F$18, R$36 =ASSUMPTIONS!$F$60), $F24 * R41 * ((ASSUMPTIONS!$F$63 * $I10) + (ASSUMPTIONS!$F$64 * $F10)), 
AND(R$36 = $G$18, R$36 =ASSUMPTIONS!$G$60), $G24 * R41 * ((ASSUMPTIONS!$G$63 * $I10) + (ASSUMPTIONS!$G$64 * $F10)), 
AND(R$36 = $H$18, R$36 =ASSUMPTIONS!$H$60), $H24 * R41 * ((ASSUMPTIONS!$H$63 * $I10) + (ASSUMPTIONS!$H$64 * $F10)), 
TRUE, $I24 *R41 * ((ASSUMPTIONS!$I$63 * $I10) + (ASSUMPTIONS!$I$64 * $F10))
)</f>
        <v>3129658.56</v>
      </c>
      <c r="S51" s="153">
        <f t="array" ref="S51">IFS(AND(S$36 = $E$18, S$36 =ASSUMPTIONS!$E$60), $E24 * S41 * ((ASSUMPTIONS!$E$63 * $I10) + (ASSUMPTIONS!$E$64 * $F10)), 
AND(S$36 = $F$18, S$36 =ASSUMPTIONS!$F$60), $F24 * S41 * ((ASSUMPTIONS!$F$63 * $I10) + (ASSUMPTIONS!$F$64 * $F10)), 
AND(S$36 = $G$18, S$36 =ASSUMPTIONS!$G$60), $G24 * S41 * ((ASSUMPTIONS!$G$63 * $I10) + (ASSUMPTIONS!$G$64 * $F10)), 
AND(S$36 = $H$18, S$36 =ASSUMPTIONS!$H$60), $H24 * S41 * ((ASSUMPTIONS!$H$63 * $I10) + (ASSUMPTIONS!$H$64 * $F10)), 
TRUE, $I24 *S41 * ((ASSUMPTIONS!$I$63 * $I10) + (ASSUMPTIONS!$I$64 * $F10))
)</f>
        <v>3129658.56</v>
      </c>
      <c r="T51" s="153">
        <f t="array" ref="T51">IFS(AND(T$36 = $E$18, T$36 =ASSUMPTIONS!$E$60), $E24 * T41 * ((ASSUMPTIONS!$E$63 * $I10) + (ASSUMPTIONS!$E$64 * $F10)), 
AND(T$36 = $F$18, T$36 =ASSUMPTIONS!$F$60), $F24 * T41 * ((ASSUMPTIONS!$F$63 * $I10) + (ASSUMPTIONS!$F$64 * $F10)), 
AND(T$36 = $G$18, T$36 =ASSUMPTIONS!$G$60), $G24 * T41 * ((ASSUMPTIONS!$G$63 * $I10) + (ASSUMPTIONS!$G$64 * $F10)), 
AND(T$36 = $H$18, T$36 =ASSUMPTIONS!$H$60), $H24 * T41 * ((ASSUMPTIONS!$H$63 * $I10) + (ASSUMPTIONS!$H$64 * $F10)), 
TRUE, $I24 *T41 * ((ASSUMPTIONS!$I$63 * $I10) + (ASSUMPTIONS!$I$64 * $F10))
)</f>
        <v>3129658.56</v>
      </c>
      <c r="U51" s="153">
        <f t="array" ref="U51">IFS(AND(U$36 = $E$18, U$36 =ASSUMPTIONS!$E$60), $E24 * U41 * ((ASSUMPTIONS!$E$63 * $I10) + (ASSUMPTIONS!$E$64 * $F10)), 
AND(U$36 = $F$18, U$36 =ASSUMPTIONS!$F$60), $F24 * U41 * ((ASSUMPTIONS!$F$63 * $I10) + (ASSUMPTIONS!$F$64 * $F10)), 
AND(U$36 = $G$18, U$36 =ASSUMPTIONS!$G$60), $G24 * U41 * ((ASSUMPTIONS!$G$63 * $I10) + (ASSUMPTIONS!$G$64 * $F10)), 
AND(U$36 = $H$18, U$36 =ASSUMPTIONS!$H$60), $H24 * U41 * ((ASSUMPTIONS!$H$63 * $I10) + (ASSUMPTIONS!$H$64 * $F10)), 
TRUE, $I24 *U41 * ((ASSUMPTIONS!$I$63 * $I10) + (ASSUMPTIONS!$I$64 * $F10))
)</f>
        <v>3129658.56</v>
      </c>
      <c r="V51" s="153">
        <f t="array" ref="V51">IFS(AND(V$36 = $E$18, V$36 =ASSUMPTIONS!$E$60), $E24 * V41 * ((ASSUMPTIONS!$E$63 * $I10) + (ASSUMPTIONS!$E$64 * $F10)), 
AND(V$36 = $F$18, V$36 =ASSUMPTIONS!$F$60), $F24 * V41 * ((ASSUMPTIONS!$F$63 * $I10) + (ASSUMPTIONS!$F$64 * $F10)), 
AND(V$36 = $G$18, V$36 =ASSUMPTIONS!$G$60), $G24 * V41 * ((ASSUMPTIONS!$G$63 * $I10) + (ASSUMPTIONS!$G$64 * $F10)), 
AND(V$36 = $H$18, V$36 =ASSUMPTIONS!$H$60), $H24 * V41 * ((ASSUMPTIONS!$H$63 * $I10) + (ASSUMPTIONS!$H$64 * $F10)), 
TRUE, $I24 *V41 * ((ASSUMPTIONS!$I$63 * $I10) + (ASSUMPTIONS!$I$64 * $F10))
)</f>
        <v>3129658.56</v>
      </c>
      <c r="W51" s="153">
        <f t="array" ref="W51">IFS(AND(W$36 = $E$18, W$36 =ASSUMPTIONS!$E$60), $E24 * W41 * ((ASSUMPTIONS!$E$63 * $I10) + (ASSUMPTIONS!$E$64 * $F10)), 
AND(W$36 = $F$18, W$36 =ASSUMPTIONS!$F$60), $F24 * W41 * ((ASSUMPTIONS!$F$63 * $I10) + (ASSUMPTIONS!$F$64 * $F10)), 
AND(W$36 = $G$18, W$36 =ASSUMPTIONS!$G$60), $G24 * W41 * ((ASSUMPTIONS!$G$63 * $I10) + (ASSUMPTIONS!$G$64 * $F10)), 
AND(W$36 = $H$18, W$36 =ASSUMPTIONS!$H$60), $H24 * W41 * ((ASSUMPTIONS!$H$63 * $I10) + (ASSUMPTIONS!$H$64 * $F10)), 
TRUE, $I24 *W41 * ((ASSUMPTIONS!$I$63 * $I10) + (ASSUMPTIONS!$I$64 * $F10))
)</f>
        <v>3129658.56</v>
      </c>
      <c r="X51" s="153">
        <f t="array" ref="X51">IFS(AND(X$36 = $E$18, X$36 =ASSUMPTIONS!$E$60), $E24 * X41 * ((ASSUMPTIONS!$E$63 * $I10) + (ASSUMPTIONS!$E$64 * $F10)), 
AND(X$36 = $F$18, X$36 =ASSUMPTIONS!$F$60), $F24 * X41 * ((ASSUMPTIONS!$F$63 * $I10) + (ASSUMPTIONS!$F$64 * $F10)), 
AND(X$36 = $G$18, X$36 =ASSUMPTIONS!$G$60), $G24 * X41 * ((ASSUMPTIONS!$G$63 * $I10) + (ASSUMPTIONS!$G$64 * $F10)), 
AND(X$36 = $H$18, X$36 =ASSUMPTIONS!$H$60), $H24 * X41 * ((ASSUMPTIONS!$H$63 * $I10) + (ASSUMPTIONS!$H$64 * $F10)), 
TRUE, $I24 *X41 * ((ASSUMPTIONS!$I$63 * $I10) + (ASSUMPTIONS!$I$64 * $F10))
)</f>
        <v>3129658.56</v>
      </c>
      <c r="Y51" s="153">
        <f t="array" ref="Y51">IFS(AND(Y$36 = $E$18, Y$36 =ASSUMPTIONS!$E$60), $E24 * Y41 * ((ASSUMPTIONS!$E$63 * $I10) + (ASSUMPTIONS!$E$64 * $F10)), 
AND(Y$36 = $F$18, Y$36 =ASSUMPTIONS!$F$60), $F24 * Y41 * ((ASSUMPTIONS!$F$63 * $I10) + (ASSUMPTIONS!$F$64 * $F10)), 
AND(Y$36 = $G$18, Y$36 =ASSUMPTIONS!$G$60), $G24 * Y41 * ((ASSUMPTIONS!$G$63 * $I10) + (ASSUMPTIONS!$G$64 * $F10)), 
AND(Y$36 = $H$18, Y$36 =ASSUMPTIONS!$H$60), $H24 * Y41 * ((ASSUMPTIONS!$H$63 * $I10) + (ASSUMPTIONS!$H$64 * $F10)), 
TRUE, $I24 *Y41 * ((ASSUMPTIONS!$I$63 * $I10) + (ASSUMPTIONS!$I$64 * $F10))
)</f>
        <v>3129658.56</v>
      </c>
      <c r="Z51" s="153">
        <f t="array" ref="Z51">IFS(AND(Z$36 = $E$18, Z$36 =ASSUMPTIONS!$E$60), $E24 * Z41 * ((ASSUMPTIONS!$E$63 * $I10) + (ASSUMPTIONS!$E$64 * $F10)), 
AND(Z$36 = $F$18, Z$36 =ASSUMPTIONS!$F$60), $F24 * Z41 * ((ASSUMPTIONS!$F$63 * $I10) + (ASSUMPTIONS!$F$64 * $F10)), 
AND(Z$36 = $G$18, Z$36 =ASSUMPTIONS!$G$60), $G24 * Z41 * ((ASSUMPTIONS!$G$63 * $I10) + (ASSUMPTIONS!$G$64 * $F10)), 
AND(Z$36 = $H$18, Z$36 =ASSUMPTIONS!$H$60), $H24 * Z41 * ((ASSUMPTIONS!$H$63 * $I10) + (ASSUMPTIONS!$H$64 * $F10)), 
TRUE, $I24 *Z41 * ((ASSUMPTIONS!$I$63 * $I10) + (ASSUMPTIONS!$I$64 * $F10))
)</f>
        <v>3129658.56</v>
      </c>
      <c r="AA51" s="153">
        <f t="array" ref="AA51">IFS(AND(AA$36 = $E$18, AA$36 =ASSUMPTIONS!$E$60), $E24 * AA41 * ((ASSUMPTIONS!$E$63 * $I10) + (ASSUMPTIONS!$E$64 * $F10)), 
AND(AA$36 = $F$18, AA$36 =ASSUMPTIONS!$F$60), $F24 * AA41 * ((ASSUMPTIONS!$F$63 * $I10) + (ASSUMPTIONS!$F$64 * $F10)), 
AND(AA$36 = $G$18, AA$36 =ASSUMPTIONS!$G$60), $G24 * AA41 * ((ASSUMPTIONS!$G$63 * $I10) + (ASSUMPTIONS!$G$64 * $F10)), 
AND(AA$36 = $H$18, AA$36 =ASSUMPTIONS!$H$60), $H24 * AA41 * ((ASSUMPTIONS!$H$63 * $I10) + (ASSUMPTIONS!$H$64 * $F10)), 
TRUE, $I24 *AA41 * ((ASSUMPTIONS!$I$63 * $I10) + (ASSUMPTIONS!$I$64 * $F10))
)</f>
        <v>3129658.56</v>
      </c>
      <c r="AB51" s="153">
        <f t="array" ref="AB51">IFS(AND(AB$36 = $E$18, AB$36 =ASSUMPTIONS!$E$60), $E24 * AB41 * ((ASSUMPTIONS!$E$63 * $I10) + (ASSUMPTIONS!$E$64 * $F10)), 
AND(AB$36 = $F$18, AB$36 =ASSUMPTIONS!$F$60), $F24 * AB41 * ((ASSUMPTIONS!$F$63 * $I10) + (ASSUMPTIONS!$F$64 * $F10)), 
AND(AB$36 = $G$18, AB$36 =ASSUMPTIONS!$G$60), $G24 * AB41 * ((ASSUMPTIONS!$G$63 * $I10) + (ASSUMPTIONS!$G$64 * $F10)), 
AND(AB$36 = $H$18, AB$36 =ASSUMPTIONS!$H$60), $H24 * AB41 * ((ASSUMPTIONS!$H$63 * $I10) + (ASSUMPTIONS!$H$64 * $F10)), 
TRUE, $I24 *AB41 * ((ASSUMPTIONS!$I$63 * $I10) + (ASSUMPTIONS!$I$64 * $F10))
)</f>
        <v>3129658.56</v>
      </c>
      <c r="AC51" s="153">
        <f t="array" ref="AC51">IFS(AND(AC$36 = $E$18, AC$36 =ASSUMPTIONS!$E$60), $E24 * AC41 * ((ASSUMPTIONS!$E$63 * $I10) + (ASSUMPTIONS!$E$64 * $F10)), 
AND(AC$36 = $F$18, AC$36 =ASSUMPTIONS!$F$60), $F24 * AC41 * ((ASSUMPTIONS!$F$63 * $I10) + (ASSUMPTIONS!$F$64 * $F10)), 
AND(AC$36 = $G$18, AC$36 =ASSUMPTIONS!$G$60), $G24 * AC41 * ((ASSUMPTIONS!$G$63 * $I10) + (ASSUMPTIONS!$G$64 * $F10)), 
AND(AC$36 = $H$18, AC$36 =ASSUMPTIONS!$H$60), $H24 * AC41 * ((ASSUMPTIONS!$H$63 * $I10) + (ASSUMPTIONS!$H$64 * $F10)), 
TRUE, $I24 *AC41 * ((ASSUMPTIONS!$I$63 * $I10) + (ASSUMPTIONS!$I$64 * $F10))
)</f>
        <v>6822996.768</v>
      </c>
      <c r="AD51" s="153">
        <f t="array" ref="AD51">IFS(AND(AD$36 = $E$18, AD$36 =ASSUMPTIONS!$E$60), $E24 * AD41 * ((ASSUMPTIONS!$E$63 * $I10) + (ASSUMPTIONS!$E$64 * $F10)), 
AND(AD$36 = $F$18, AD$36 =ASSUMPTIONS!$F$60), $F24 * AD41 * ((ASSUMPTIONS!$F$63 * $I10) + (ASSUMPTIONS!$F$64 * $F10)), 
AND(AD$36 = $G$18, AD$36 =ASSUMPTIONS!$G$60), $G24 * AD41 * ((ASSUMPTIONS!$G$63 * $I10) + (ASSUMPTIONS!$G$64 * $F10)), 
AND(AD$36 = $H$18, AD$36 =ASSUMPTIONS!$H$60), $H24 * AD41 * ((ASSUMPTIONS!$H$63 * $I10) + (ASSUMPTIONS!$H$64 * $F10)), 
TRUE, $I24 *AD41 * ((ASSUMPTIONS!$I$63 * $I10) + (ASSUMPTIONS!$I$64 * $F10))
)</f>
        <v>6822996.768</v>
      </c>
      <c r="AE51" s="153">
        <f t="array" ref="AE51">IFS(AND(AE$36 = $E$18, AE$36 =ASSUMPTIONS!$E$60), $E24 * AE41 * ((ASSUMPTIONS!$E$63 * $I10) + (ASSUMPTIONS!$E$64 * $F10)), 
AND(AE$36 = $F$18, AE$36 =ASSUMPTIONS!$F$60), $F24 * AE41 * ((ASSUMPTIONS!$F$63 * $I10) + (ASSUMPTIONS!$F$64 * $F10)), 
AND(AE$36 = $G$18, AE$36 =ASSUMPTIONS!$G$60), $G24 * AE41 * ((ASSUMPTIONS!$G$63 * $I10) + (ASSUMPTIONS!$G$64 * $F10)), 
AND(AE$36 = $H$18, AE$36 =ASSUMPTIONS!$H$60), $H24 * AE41 * ((ASSUMPTIONS!$H$63 * $I10) + (ASSUMPTIONS!$H$64 * $F10)), 
TRUE, $I24 *AE41 * ((ASSUMPTIONS!$I$63 * $I10) + (ASSUMPTIONS!$I$64 * $F10))
)</f>
        <v>6822996.768</v>
      </c>
      <c r="AF51" s="153">
        <f t="array" ref="AF51">IFS(AND(AF$36 = $E$18, AF$36 =ASSUMPTIONS!$E$60), $E24 * AF41 * ((ASSUMPTIONS!$E$63 * $I10) + (ASSUMPTIONS!$E$64 * $F10)), 
AND(AF$36 = $F$18, AF$36 =ASSUMPTIONS!$F$60), $F24 * AF41 * ((ASSUMPTIONS!$F$63 * $I10) + (ASSUMPTIONS!$F$64 * $F10)), 
AND(AF$36 = $G$18, AF$36 =ASSUMPTIONS!$G$60), $G24 * AF41 * ((ASSUMPTIONS!$G$63 * $I10) + (ASSUMPTIONS!$G$64 * $F10)), 
AND(AF$36 = $H$18, AF$36 =ASSUMPTIONS!$H$60), $H24 * AF41 * ((ASSUMPTIONS!$H$63 * $I10) + (ASSUMPTIONS!$H$64 * $F10)), 
TRUE, $I24 *AF41 * ((ASSUMPTIONS!$I$63 * $I10) + (ASSUMPTIONS!$I$64 * $F10))
)</f>
        <v>6822996.768</v>
      </c>
      <c r="AG51" s="153">
        <f t="array" ref="AG51">IFS(AND(AG$36 = $E$18, AG$36 =ASSUMPTIONS!$E$60), $E24 * AG41 * ((ASSUMPTIONS!$E$63 * $I10) + (ASSUMPTIONS!$E$64 * $F10)), 
AND(AG$36 = $F$18, AG$36 =ASSUMPTIONS!$F$60), $F24 * AG41 * ((ASSUMPTIONS!$F$63 * $I10) + (ASSUMPTIONS!$F$64 * $F10)), 
AND(AG$36 = $G$18, AG$36 =ASSUMPTIONS!$G$60), $G24 * AG41 * ((ASSUMPTIONS!$G$63 * $I10) + (ASSUMPTIONS!$G$64 * $F10)), 
AND(AG$36 = $H$18, AG$36 =ASSUMPTIONS!$H$60), $H24 * AG41 * ((ASSUMPTIONS!$H$63 * $I10) + (ASSUMPTIONS!$H$64 * $F10)), 
TRUE, $I24 *AG41 * ((ASSUMPTIONS!$I$63 * $I10) + (ASSUMPTIONS!$I$64 * $F10))
)</f>
        <v>6822996.768</v>
      </c>
      <c r="AH51" s="153">
        <f t="array" ref="AH51">IFS(AND(AH$36 = $E$18, AH$36 =ASSUMPTIONS!$E$60), $E24 * AH41 * ((ASSUMPTIONS!$E$63 * $I10) + (ASSUMPTIONS!$E$64 * $F10)), 
AND(AH$36 = $F$18, AH$36 =ASSUMPTIONS!$F$60), $F24 * AH41 * ((ASSUMPTIONS!$F$63 * $I10) + (ASSUMPTIONS!$F$64 * $F10)), 
AND(AH$36 = $G$18, AH$36 =ASSUMPTIONS!$G$60), $G24 * AH41 * ((ASSUMPTIONS!$G$63 * $I10) + (ASSUMPTIONS!$G$64 * $F10)), 
AND(AH$36 = $H$18, AH$36 =ASSUMPTIONS!$H$60), $H24 * AH41 * ((ASSUMPTIONS!$H$63 * $I10) + (ASSUMPTIONS!$H$64 * $F10)), 
TRUE, $I24 *AH41 * ((ASSUMPTIONS!$I$63 * $I10) + (ASSUMPTIONS!$I$64 * $F10))
)</f>
        <v>6822996.768</v>
      </c>
      <c r="AI51" s="153">
        <f t="array" ref="AI51">IFS(AND(AI$36 = $E$18, AI$36 =ASSUMPTIONS!$E$60), $E24 * AI41 * ((ASSUMPTIONS!$E$63 * $I10) + (ASSUMPTIONS!$E$64 * $F10)), 
AND(AI$36 = $F$18, AI$36 =ASSUMPTIONS!$F$60), $F24 * AI41 * ((ASSUMPTIONS!$F$63 * $I10) + (ASSUMPTIONS!$F$64 * $F10)), 
AND(AI$36 = $G$18, AI$36 =ASSUMPTIONS!$G$60), $G24 * AI41 * ((ASSUMPTIONS!$G$63 * $I10) + (ASSUMPTIONS!$G$64 * $F10)), 
AND(AI$36 = $H$18, AI$36 =ASSUMPTIONS!$H$60), $H24 * AI41 * ((ASSUMPTIONS!$H$63 * $I10) + (ASSUMPTIONS!$H$64 * $F10)), 
TRUE, $I24 *AI41 * ((ASSUMPTIONS!$I$63 * $I10) + (ASSUMPTIONS!$I$64 * $F10))
)</f>
        <v>6822996.768</v>
      </c>
      <c r="AJ51" s="153">
        <f t="array" ref="AJ51">IFS(AND(AJ$36 = $E$18, AJ$36 =ASSUMPTIONS!$E$60), $E24 * AJ41 * ((ASSUMPTIONS!$E$63 * $I10) + (ASSUMPTIONS!$E$64 * $F10)), 
AND(AJ$36 = $F$18, AJ$36 =ASSUMPTIONS!$F$60), $F24 * AJ41 * ((ASSUMPTIONS!$F$63 * $I10) + (ASSUMPTIONS!$F$64 * $F10)), 
AND(AJ$36 = $G$18, AJ$36 =ASSUMPTIONS!$G$60), $G24 * AJ41 * ((ASSUMPTIONS!$G$63 * $I10) + (ASSUMPTIONS!$G$64 * $F10)), 
AND(AJ$36 = $H$18, AJ$36 =ASSUMPTIONS!$H$60), $H24 * AJ41 * ((ASSUMPTIONS!$H$63 * $I10) + (ASSUMPTIONS!$H$64 * $F10)), 
TRUE, $I24 *AJ41 * ((ASSUMPTIONS!$I$63 * $I10) + (ASSUMPTIONS!$I$64 * $F10))
)</f>
        <v>6822996.768</v>
      </c>
      <c r="AK51" s="153">
        <f t="array" ref="AK51">IFS(AND(AK$36 = $E$18, AK$36 =ASSUMPTIONS!$E$60), $E24 * AK41 * ((ASSUMPTIONS!$E$63 * $I10) + (ASSUMPTIONS!$E$64 * $F10)), 
AND(AK$36 = $F$18, AK$36 =ASSUMPTIONS!$F$60), $F24 * AK41 * ((ASSUMPTIONS!$F$63 * $I10) + (ASSUMPTIONS!$F$64 * $F10)), 
AND(AK$36 = $G$18, AK$36 =ASSUMPTIONS!$G$60), $G24 * AK41 * ((ASSUMPTIONS!$G$63 * $I10) + (ASSUMPTIONS!$G$64 * $F10)), 
AND(AK$36 = $H$18, AK$36 =ASSUMPTIONS!$H$60), $H24 * AK41 * ((ASSUMPTIONS!$H$63 * $I10) + (ASSUMPTIONS!$H$64 * $F10)), 
TRUE, $I24 *AK41 * ((ASSUMPTIONS!$I$63 * $I10) + (ASSUMPTIONS!$I$64 * $F10))
)</f>
        <v>6822996.768</v>
      </c>
      <c r="AL51" s="153">
        <f t="array" ref="AL51">IFS(AND(AL$36 = $E$18, AL$36 =ASSUMPTIONS!$E$60), $E24 * AL41 * ((ASSUMPTIONS!$E$63 * $I10) + (ASSUMPTIONS!$E$64 * $F10)), 
AND(AL$36 = $F$18, AL$36 =ASSUMPTIONS!$F$60), $F24 * AL41 * ((ASSUMPTIONS!$F$63 * $I10) + (ASSUMPTIONS!$F$64 * $F10)), 
AND(AL$36 = $G$18, AL$36 =ASSUMPTIONS!$G$60), $G24 * AL41 * ((ASSUMPTIONS!$G$63 * $I10) + (ASSUMPTIONS!$G$64 * $F10)), 
AND(AL$36 = $H$18, AL$36 =ASSUMPTIONS!$H$60), $H24 * AL41 * ((ASSUMPTIONS!$H$63 * $I10) + (ASSUMPTIONS!$H$64 * $F10)), 
TRUE, $I24 *AL41 * ((ASSUMPTIONS!$I$63 * $I10) + (ASSUMPTIONS!$I$64 * $F10))
)</f>
        <v>6822996.768</v>
      </c>
      <c r="AM51" s="153">
        <f t="array" ref="AM51">IFS(AND(AM$36 = $E$18, AM$36 =ASSUMPTIONS!$E$60), $E24 * AM41 * ((ASSUMPTIONS!$E$63 * $I10) + (ASSUMPTIONS!$E$64 * $F10)), 
AND(AM$36 = $F$18, AM$36 =ASSUMPTIONS!$F$60), $F24 * AM41 * ((ASSUMPTIONS!$F$63 * $I10) + (ASSUMPTIONS!$F$64 * $F10)), 
AND(AM$36 = $G$18, AM$36 =ASSUMPTIONS!$G$60), $G24 * AM41 * ((ASSUMPTIONS!$G$63 * $I10) + (ASSUMPTIONS!$G$64 * $F10)), 
AND(AM$36 = $H$18, AM$36 =ASSUMPTIONS!$H$60), $H24 * AM41 * ((ASSUMPTIONS!$H$63 * $I10) + (ASSUMPTIONS!$H$64 * $F10)), 
TRUE, $I24 *AM41 * ((ASSUMPTIONS!$I$63 * $I10) + (ASSUMPTIONS!$I$64 * $F10))
)</f>
        <v>6822996.768</v>
      </c>
      <c r="AN51" s="153">
        <f t="array" ref="AN51">IFS(AND(AN$36 = $E$18, AN$36 =ASSUMPTIONS!$E$60), $E24 * AN41 * ((ASSUMPTIONS!$E$63 * $I10) + (ASSUMPTIONS!$E$64 * $F10)), 
AND(AN$36 = $F$18, AN$36 =ASSUMPTIONS!$F$60), $F24 * AN41 * ((ASSUMPTIONS!$F$63 * $I10) + (ASSUMPTIONS!$F$64 * $F10)), 
AND(AN$36 = $G$18, AN$36 =ASSUMPTIONS!$G$60), $G24 * AN41 * ((ASSUMPTIONS!$G$63 * $I10) + (ASSUMPTIONS!$G$64 * $F10)), 
AND(AN$36 = $H$18, AN$36 =ASSUMPTIONS!$H$60), $H24 * AN41 * ((ASSUMPTIONS!$H$63 * $I10) + (ASSUMPTIONS!$H$64 * $F10)), 
TRUE, $I24 *AN41 * ((ASSUMPTIONS!$I$63 * $I10) + (ASSUMPTIONS!$I$64 * $F10))
)</f>
        <v>6822996.768</v>
      </c>
      <c r="AO51" s="153">
        <f t="array" ref="AO51">IFS(AND(AO$36 = $E$18, AO$36 =ASSUMPTIONS!$E$60), $E24 * AO41 * ((ASSUMPTIONS!$E$63 * $I10) + (ASSUMPTIONS!$E$64 * $F10)), 
AND(AO$36 = $F$18, AO$36 =ASSUMPTIONS!$F$60), $F24 * AO41 * ((ASSUMPTIONS!$F$63 * $I10) + (ASSUMPTIONS!$F$64 * $F10)), 
AND(AO$36 = $G$18, AO$36 =ASSUMPTIONS!$G$60), $G24 * AO41 * ((ASSUMPTIONS!$G$63 * $I10) + (ASSUMPTIONS!$G$64 * $F10)), 
AND(AO$36 = $H$18, AO$36 =ASSUMPTIONS!$H$60), $H24 * AO41 * ((ASSUMPTIONS!$H$63 * $I10) + (ASSUMPTIONS!$H$64 * $F10)), 
TRUE, $I24 *AO41 * ((ASSUMPTIONS!$I$63 * $I10) + (ASSUMPTIONS!$I$64 * $F10))
)</f>
        <v>22282188.26</v>
      </c>
      <c r="AP51" s="153">
        <f t="array" ref="AP51">IFS(AND(AP$36 = $E$18, AP$36 =ASSUMPTIONS!$E$60), $E24 * AP41 * ((ASSUMPTIONS!$E$63 * $I10) + (ASSUMPTIONS!$E$64 * $F10)), 
AND(AP$36 = $F$18, AP$36 =ASSUMPTIONS!$F$60), $F24 * AP41 * ((ASSUMPTIONS!$F$63 * $I10) + (ASSUMPTIONS!$F$64 * $F10)), 
AND(AP$36 = $G$18, AP$36 =ASSUMPTIONS!$G$60), $G24 * AP41 * ((ASSUMPTIONS!$G$63 * $I10) + (ASSUMPTIONS!$G$64 * $F10)), 
AND(AP$36 = $H$18, AP$36 =ASSUMPTIONS!$H$60), $H24 * AP41 * ((ASSUMPTIONS!$H$63 * $I10) + (ASSUMPTIONS!$H$64 * $F10)), 
TRUE, $I24 *AP41 * ((ASSUMPTIONS!$I$63 * $I10) + (ASSUMPTIONS!$I$64 * $F10))
)</f>
        <v>22282188.26</v>
      </c>
      <c r="AQ51" s="153">
        <f t="array" ref="AQ51">IFS(AND(AQ$36 = $E$18, AQ$36 =ASSUMPTIONS!$E$60), $E24 * AQ41 * ((ASSUMPTIONS!$E$63 * $I10) + (ASSUMPTIONS!$E$64 * $F10)), 
AND(AQ$36 = $F$18, AQ$36 =ASSUMPTIONS!$F$60), $F24 * AQ41 * ((ASSUMPTIONS!$F$63 * $I10) + (ASSUMPTIONS!$F$64 * $F10)), 
AND(AQ$36 = $G$18, AQ$36 =ASSUMPTIONS!$G$60), $G24 * AQ41 * ((ASSUMPTIONS!$G$63 * $I10) + (ASSUMPTIONS!$G$64 * $F10)), 
AND(AQ$36 = $H$18, AQ$36 =ASSUMPTIONS!$H$60), $H24 * AQ41 * ((ASSUMPTIONS!$H$63 * $I10) + (ASSUMPTIONS!$H$64 * $F10)), 
TRUE, $I24 *AQ41 * ((ASSUMPTIONS!$I$63 * $I10) + (ASSUMPTIONS!$I$64 * $F10))
)</f>
        <v>22282188.26</v>
      </c>
      <c r="AR51" s="153">
        <f t="array" ref="AR51">IFS(AND(AR$36 = $E$18, AR$36 =ASSUMPTIONS!$E$60), $E24 * AR41 * ((ASSUMPTIONS!$E$63 * $I10) + (ASSUMPTIONS!$E$64 * $F10)), 
AND(AR$36 = $F$18, AR$36 =ASSUMPTIONS!$F$60), $F24 * AR41 * ((ASSUMPTIONS!$F$63 * $I10) + (ASSUMPTIONS!$F$64 * $F10)), 
AND(AR$36 = $G$18, AR$36 =ASSUMPTIONS!$G$60), $G24 * AR41 * ((ASSUMPTIONS!$G$63 * $I10) + (ASSUMPTIONS!$G$64 * $F10)), 
AND(AR$36 = $H$18, AR$36 =ASSUMPTIONS!$H$60), $H24 * AR41 * ((ASSUMPTIONS!$H$63 * $I10) + (ASSUMPTIONS!$H$64 * $F10)), 
TRUE, $I24 *AR41 * ((ASSUMPTIONS!$I$63 * $I10) + (ASSUMPTIONS!$I$64 * $F10))
)</f>
        <v>22282188.26</v>
      </c>
      <c r="AS51" s="153">
        <f t="array" ref="AS51">IFS(AND(AS$36 = $E$18, AS$36 =ASSUMPTIONS!$E$60), $E24 * AS41 * ((ASSUMPTIONS!$E$63 * $I10) + (ASSUMPTIONS!$E$64 * $F10)), 
AND(AS$36 = $F$18, AS$36 =ASSUMPTIONS!$F$60), $F24 * AS41 * ((ASSUMPTIONS!$F$63 * $I10) + (ASSUMPTIONS!$F$64 * $F10)), 
AND(AS$36 = $G$18, AS$36 =ASSUMPTIONS!$G$60), $G24 * AS41 * ((ASSUMPTIONS!$G$63 * $I10) + (ASSUMPTIONS!$G$64 * $F10)), 
AND(AS$36 = $H$18, AS$36 =ASSUMPTIONS!$H$60), $H24 * AS41 * ((ASSUMPTIONS!$H$63 * $I10) + (ASSUMPTIONS!$H$64 * $F10)), 
TRUE, $I24 *AS41 * ((ASSUMPTIONS!$I$63 * $I10) + (ASSUMPTIONS!$I$64 * $F10))
)</f>
        <v>22282188.26</v>
      </c>
      <c r="AT51" s="153">
        <f t="array" ref="AT51">IFS(AND(AT$36 = $E$18, AT$36 =ASSUMPTIONS!$E$60), $E24 * AT41 * ((ASSUMPTIONS!$E$63 * $I10) + (ASSUMPTIONS!$E$64 * $F10)), 
AND(AT$36 = $F$18, AT$36 =ASSUMPTIONS!$F$60), $F24 * AT41 * ((ASSUMPTIONS!$F$63 * $I10) + (ASSUMPTIONS!$F$64 * $F10)), 
AND(AT$36 = $G$18, AT$36 =ASSUMPTIONS!$G$60), $G24 * AT41 * ((ASSUMPTIONS!$G$63 * $I10) + (ASSUMPTIONS!$G$64 * $F10)), 
AND(AT$36 = $H$18, AT$36 =ASSUMPTIONS!$H$60), $H24 * AT41 * ((ASSUMPTIONS!$H$63 * $I10) + (ASSUMPTIONS!$H$64 * $F10)), 
TRUE, $I24 *AT41 * ((ASSUMPTIONS!$I$63 * $I10) + (ASSUMPTIONS!$I$64 * $F10))
)</f>
        <v>22282188.26</v>
      </c>
      <c r="AU51" s="153">
        <f t="array" ref="AU51">IFS(AND(AU$36 = $E$18, AU$36 =ASSUMPTIONS!$E$60), $E24 * AU41 * ((ASSUMPTIONS!$E$63 * $I10) + (ASSUMPTIONS!$E$64 * $F10)), 
AND(AU$36 = $F$18, AU$36 =ASSUMPTIONS!$F$60), $F24 * AU41 * ((ASSUMPTIONS!$F$63 * $I10) + (ASSUMPTIONS!$F$64 * $F10)), 
AND(AU$36 = $G$18, AU$36 =ASSUMPTIONS!$G$60), $G24 * AU41 * ((ASSUMPTIONS!$G$63 * $I10) + (ASSUMPTIONS!$G$64 * $F10)), 
AND(AU$36 = $H$18, AU$36 =ASSUMPTIONS!$H$60), $H24 * AU41 * ((ASSUMPTIONS!$H$63 * $I10) + (ASSUMPTIONS!$H$64 * $F10)), 
TRUE, $I24 *AU41 * ((ASSUMPTIONS!$I$63 * $I10) + (ASSUMPTIONS!$I$64 * $F10))
)</f>
        <v>22282188.26</v>
      </c>
      <c r="AV51" s="153">
        <f t="array" ref="AV51">IFS(AND(AV$36 = $E$18, AV$36 =ASSUMPTIONS!$E$60), $E24 * AV41 * ((ASSUMPTIONS!$E$63 * $I10) + (ASSUMPTIONS!$E$64 * $F10)), 
AND(AV$36 = $F$18, AV$36 =ASSUMPTIONS!$F$60), $F24 * AV41 * ((ASSUMPTIONS!$F$63 * $I10) + (ASSUMPTIONS!$F$64 * $F10)), 
AND(AV$36 = $G$18, AV$36 =ASSUMPTIONS!$G$60), $G24 * AV41 * ((ASSUMPTIONS!$G$63 * $I10) + (ASSUMPTIONS!$G$64 * $F10)), 
AND(AV$36 = $H$18, AV$36 =ASSUMPTIONS!$H$60), $H24 * AV41 * ((ASSUMPTIONS!$H$63 * $I10) + (ASSUMPTIONS!$H$64 * $F10)), 
TRUE, $I24 *AV41 * ((ASSUMPTIONS!$I$63 * $I10) + (ASSUMPTIONS!$I$64 * $F10))
)</f>
        <v>22282188.26</v>
      </c>
      <c r="AW51" s="153">
        <f t="array" ref="AW51">IFS(AND(AW$36 = $E$18, AW$36 =ASSUMPTIONS!$E$60), $E24 * AW41 * ((ASSUMPTIONS!$E$63 * $I10) + (ASSUMPTIONS!$E$64 * $F10)), 
AND(AW$36 = $F$18, AW$36 =ASSUMPTIONS!$F$60), $F24 * AW41 * ((ASSUMPTIONS!$F$63 * $I10) + (ASSUMPTIONS!$F$64 * $F10)), 
AND(AW$36 = $G$18, AW$36 =ASSUMPTIONS!$G$60), $G24 * AW41 * ((ASSUMPTIONS!$G$63 * $I10) + (ASSUMPTIONS!$G$64 * $F10)), 
AND(AW$36 = $H$18, AW$36 =ASSUMPTIONS!$H$60), $H24 * AW41 * ((ASSUMPTIONS!$H$63 * $I10) + (ASSUMPTIONS!$H$64 * $F10)), 
TRUE, $I24 *AW41 * ((ASSUMPTIONS!$I$63 * $I10) + (ASSUMPTIONS!$I$64 * $F10))
)</f>
        <v>22282188.26</v>
      </c>
      <c r="AX51" s="153">
        <f t="array" ref="AX51">IFS(AND(AX$36 = $E$18, AX$36 =ASSUMPTIONS!$E$60), $E24 * AX41 * ((ASSUMPTIONS!$E$63 * $I10) + (ASSUMPTIONS!$E$64 * $F10)), 
AND(AX$36 = $F$18, AX$36 =ASSUMPTIONS!$F$60), $F24 * AX41 * ((ASSUMPTIONS!$F$63 * $I10) + (ASSUMPTIONS!$F$64 * $F10)), 
AND(AX$36 = $G$18, AX$36 =ASSUMPTIONS!$G$60), $G24 * AX41 * ((ASSUMPTIONS!$G$63 * $I10) + (ASSUMPTIONS!$G$64 * $F10)), 
AND(AX$36 = $H$18, AX$36 =ASSUMPTIONS!$H$60), $H24 * AX41 * ((ASSUMPTIONS!$H$63 * $I10) + (ASSUMPTIONS!$H$64 * $F10)), 
TRUE, $I24 *AX41 * ((ASSUMPTIONS!$I$63 * $I10) + (ASSUMPTIONS!$I$64 * $F10))
)</f>
        <v>22282188.26</v>
      </c>
      <c r="AY51" s="153">
        <f t="array" ref="AY51">IFS(AND(AY$36 = $E$18, AY$36 =ASSUMPTIONS!$E$60), $E24 * AY41 * ((ASSUMPTIONS!$E$63 * $I10) + (ASSUMPTIONS!$E$64 * $F10)), 
AND(AY$36 = $F$18, AY$36 =ASSUMPTIONS!$F$60), $F24 * AY41 * ((ASSUMPTIONS!$F$63 * $I10) + (ASSUMPTIONS!$F$64 * $F10)), 
AND(AY$36 = $G$18, AY$36 =ASSUMPTIONS!$G$60), $G24 * AY41 * ((ASSUMPTIONS!$G$63 * $I10) + (ASSUMPTIONS!$G$64 * $F10)), 
AND(AY$36 = $H$18, AY$36 =ASSUMPTIONS!$H$60), $H24 * AY41 * ((ASSUMPTIONS!$H$63 * $I10) + (ASSUMPTIONS!$H$64 * $F10)), 
TRUE, $I24 *AY41 * ((ASSUMPTIONS!$I$63 * $I10) + (ASSUMPTIONS!$I$64 * $F10))
)</f>
        <v>22282188.26</v>
      </c>
      <c r="AZ51" s="153">
        <f t="array" ref="AZ51">IFS(AND(AZ$36 = $E$18, AZ$36 =ASSUMPTIONS!$E$60), $E24 * AZ41 * ((ASSUMPTIONS!$E$63 * $I10) + (ASSUMPTIONS!$E$64 * $F10)), 
AND(AZ$36 = $F$18, AZ$36 =ASSUMPTIONS!$F$60), $F24 * AZ41 * ((ASSUMPTIONS!$F$63 * $I10) + (ASSUMPTIONS!$F$64 * $F10)), 
AND(AZ$36 = $G$18, AZ$36 =ASSUMPTIONS!$G$60), $G24 * AZ41 * ((ASSUMPTIONS!$G$63 * $I10) + (ASSUMPTIONS!$G$64 * $F10)), 
AND(AZ$36 = $H$18, AZ$36 =ASSUMPTIONS!$H$60), $H24 * AZ41 * ((ASSUMPTIONS!$H$63 * $I10) + (ASSUMPTIONS!$H$64 * $F10)), 
TRUE, $I24 *AZ41 * ((ASSUMPTIONS!$I$63 * $I10) + (ASSUMPTIONS!$I$64 * $F10))
)</f>
        <v>22282188.26</v>
      </c>
      <c r="BA51" s="153">
        <f t="array" ref="BA51">IFS(AND(BA$36 = $E$18, BA$36 =ASSUMPTIONS!$E$60), $E24 * BA41 * ((ASSUMPTIONS!$E$63 * $I10) + (ASSUMPTIONS!$E$64 * $F10)), 
AND(BA$36 = $F$18, BA$36 =ASSUMPTIONS!$F$60), $F24 * BA41 * ((ASSUMPTIONS!$F$63 * $I10) + (ASSUMPTIONS!$F$64 * $F10)), 
AND(BA$36 = $G$18, BA$36 =ASSUMPTIONS!$G$60), $G24 * BA41 * ((ASSUMPTIONS!$G$63 * $I10) + (ASSUMPTIONS!$G$64 * $F10)), 
AND(BA$36 = $H$18, BA$36 =ASSUMPTIONS!$H$60), $H24 * BA41 * ((ASSUMPTIONS!$H$63 * $I10) + (ASSUMPTIONS!$H$64 * $F10)), 
TRUE, $I24 *BA41 * ((ASSUMPTIONS!$I$63 * $I10) + (ASSUMPTIONS!$I$64 * $F10))
)</f>
        <v>25469387.34</v>
      </c>
      <c r="BB51" s="153">
        <f t="array" ref="BB51">IFS(AND(BB$36 = $E$18, BB$36 =ASSUMPTIONS!$E$60), $E24 * BB41 * ((ASSUMPTIONS!$E$63 * $I10) + (ASSUMPTIONS!$E$64 * $F10)), 
AND(BB$36 = $F$18, BB$36 =ASSUMPTIONS!$F$60), $F24 * BB41 * ((ASSUMPTIONS!$F$63 * $I10) + (ASSUMPTIONS!$F$64 * $F10)), 
AND(BB$36 = $G$18, BB$36 =ASSUMPTIONS!$G$60), $G24 * BB41 * ((ASSUMPTIONS!$G$63 * $I10) + (ASSUMPTIONS!$G$64 * $F10)), 
AND(BB$36 = $H$18, BB$36 =ASSUMPTIONS!$H$60), $H24 * BB41 * ((ASSUMPTIONS!$H$63 * $I10) + (ASSUMPTIONS!$H$64 * $F10)), 
TRUE, $I24 *BB41 * ((ASSUMPTIONS!$I$63 * $I10) + (ASSUMPTIONS!$I$64 * $F10))
)</f>
        <v>25469387.34</v>
      </c>
      <c r="BC51" s="153">
        <f t="array" ref="BC51">IFS(AND(BC$36 = $E$18, BC$36 =ASSUMPTIONS!$E$60), $E24 * BC41 * ((ASSUMPTIONS!$E$63 * $I10) + (ASSUMPTIONS!$E$64 * $F10)), 
AND(BC$36 = $F$18, BC$36 =ASSUMPTIONS!$F$60), $F24 * BC41 * ((ASSUMPTIONS!$F$63 * $I10) + (ASSUMPTIONS!$F$64 * $F10)), 
AND(BC$36 = $G$18, BC$36 =ASSUMPTIONS!$G$60), $G24 * BC41 * ((ASSUMPTIONS!$G$63 * $I10) + (ASSUMPTIONS!$G$64 * $F10)), 
AND(BC$36 = $H$18, BC$36 =ASSUMPTIONS!$H$60), $H24 * BC41 * ((ASSUMPTIONS!$H$63 * $I10) + (ASSUMPTIONS!$H$64 * $F10)), 
TRUE, $I24 *BC41 * ((ASSUMPTIONS!$I$63 * $I10) + (ASSUMPTIONS!$I$64 * $F10))
)</f>
        <v>25469387.34</v>
      </c>
      <c r="BD51" s="153">
        <f t="array" ref="BD51">IFS(AND(BD$36 = $E$18, BD$36 =ASSUMPTIONS!$E$60), $E24 * BD41 * ((ASSUMPTIONS!$E$63 * $I10) + (ASSUMPTIONS!$E$64 * $F10)), 
AND(BD$36 = $F$18, BD$36 =ASSUMPTIONS!$F$60), $F24 * BD41 * ((ASSUMPTIONS!$F$63 * $I10) + (ASSUMPTIONS!$F$64 * $F10)), 
AND(BD$36 = $G$18, BD$36 =ASSUMPTIONS!$G$60), $G24 * BD41 * ((ASSUMPTIONS!$G$63 * $I10) + (ASSUMPTIONS!$G$64 * $F10)), 
AND(BD$36 = $H$18, BD$36 =ASSUMPTIONS!$H$60), $H24 * BD41 * ((ASSUMPTIONS!$H$63 * $I10) + (ASSUMPTIONS!$H$64 * $F10)), 
TRUE, $I24 *BD41 * ((ASSUMPTIONS!$I$63 * $I10) + (ASSUMPTIONS!$I$64 * $F10))
)</f>
        <v>25469387.34</v>
      </c>
      <c r="BE51" s="153">
        <f t="array" ref="BE51">IFS(AND(BE$36 = $E$18, BE$36 =ASSUMPTIONS!$E$60), $E24 * BE41 * ((ASSUMPTIONS!$E$63 * $I10) + (ASSUMPTIONS!$E$64 * $F10)), 
AND(BE$36 = $F$18, BE$36 =ASSUMPTIONS!$F$60), $F24 * BE41 * ((ASSUMPTIONS!$F$63 * $I10) + (ASSUMPTIONS!$F$64 * $F10)), 
AND(BE$36 = $G$18, BE$36 =ASSUMPTIONS!$G$60), $G24 * BE41 * ((ASSUMPTIONS!$G$63 * $I10) + (ASSUMPTIONS!$G$64 * $F10)), 
AND(BE$36 = $H$18, BE$36 =ASSUMPTIONS!$H$60), $H24 * BE41 * ((ASSUMPTIONS!$H$63 * $I10) + (ASSUMPTIONS!$H$64 * $F10)), 
TRUE, $I24 *BE41 * ((ASSUMPTIONS!$I$63 * $I10) + (ASSUMPTIONS!$I$64 * $F10))
)</f>
        <v>25469387.34</v>
      </c>
      <c r="BF51" s="153">
        <f t="array" ref="BF51">IFS(AND(BF$36 = $E$18, BF$36 =ASSUMPTIONS!$E$60), $E24 * BF41 * ((ASSUMPTIONS!$E$63 * $I10) + (ASSUMPTIONS!$E$64 * $F10)), 
AND(BF$36 = $F$18, BF$36 =ASSUMPTIONS!$F$60), $F24 * BF41 * ((ASSUMPTIONS!$F$63 * $I10) + (ASSUMPTIONS!$F$64 * $F10)), 
AND(BF$36 = $G$18, BF$36 =ASSUMPTIONS!$G$60), $G24 * BF41 * ((ASSUMPTIONS!$G$63 * $I10) + (ASSUMPTIONS!$G$64 * $F10)), 
AND(BF$36 = $H$18, BF$36 =ASSUMPTIONS!$H$60), $H24 * BF41 * ((ASSUMPTIONS!$H$63 * $I10) + (ASSUMPTIONS!$H$64 * $F10)), 
TRUE, $I24 *BF41 * ((ASSUMPTIONS!$I$63 * $I10) + (ASSUMPTIONS!$I$64 * $F10))
)</f>
        <v>25469387.34</v>
      </c>
      <c r="BG51" s="153">
        <f t="array" ref="BG51">IFS(AND(BG$36 = $E$18, BG$36 =ASSUMPTIONS!$E$60), $E24 * BG41 * ((ASSUMPTIONS!$E$63 * $I10) + (ASSUMPTIONS!$E$64 * $F10)), 
AND(BG$36 = $F$18, BG$36 =ASSUMPTIONS!$F$60), $F24 * BG41 * ((ASSUMPTIONS!$F$63 * $I10) + (ASSUMPTIONS!$F$64 * $F10)), 
AND(BG$36 = $G$18, BG$36 =ASSUMPTIONS!$G$60), $G24 * BG41 * ((ASSUMPTIONS!$G$63 * $I10) + (ASSUMPTIONS!$G$64 * $F10)), 
AND(BG$36 = $H$18, BG$36 =ASSUMPTIONS!$H$60), $H24 * BG41 * ((ASSUMPTIONS!$H$63 * $I10) + (ASSUMPTIONS!$H$64 * $F10)), 
TRUE, $I24 *BG41 * ((ASSUMPTIONS!$I$63 * $I10) + (ASSUMPTIONS!$I$64 * $F10))
)</f>
        <v>25469387.34</v>
      </c>
      <c r="BH51" s="153">
        <f t="array" ref="BH51">IFS(AND(BH$36 = $E$18, BH$36 =ASSUMPTIONS!$E$60), $E24 * BH41 * ((ASSUMPTIONS!$E$63 * $I10) + (ASSUMPTIONS!$E$64 * $F10)), 
AND(BH$36 = $F$18, BH$36 =ASSUMPTIONS!$F$60), $F24 * BH41 * ((ASSUMPTIONS!$F$63 * $I10) + (ASSUMPTIONS!$F$64 * $F10)), 
AND(BH$36 = $G$18, BH$36 =ASSUMPTIONS!$G$60), $G24 * BH41 * ((ASSUMPTIONS!$G$63 * $I10) + (ASSUMPTIONS!$G$64 * $F10)), 
AND(BH$36 = $H$18, BH$36 =ASSUMPTIONS!$H$60), $H24 * BH41 * ((ASSUMPTIONS!$H$63 * $I10) + (ASSUMPTIONS!$H$64 * $F10)), 
TRUE, $I24 *BH41 * ((ASSUMPTIONS!$I$63 * $I10) + (ASSUMPTIONS!$I$64 * $F10))
)</f>
        <v>25469387.34</v>
      </c>
      <c r="BI51" s="153">
        <f t="array" ref="BI51">IFS(AND(BI$36 = $E$18, BI$36 =ASSUMPTIONS!$E$60), $E24 * BI41 * ((ASSUMPTIONS!$E$63 * $I10) + (ASSUMPTIONS!$E$64 * $F10)), 
AND(BI$36 = $F$18, BI$36 =ASSUMPTIONS!$F$60), $F24 * BI41 * ((ASSUMPTIONS!$F$63 * $I10) + (ASSUMPTIONS!$F$64 * $F10)), 
AND(BI$36 = $G$18, BI$36 =ASSUMPTIONS!$G$60), $G24 * BI41 * ((ASSUMPTIONS!$G$63 * $I10) + (ASSUMPTIONS!$G$64 * $F10)), 
AND(BI$36 = $H$18, BI$36 =ASSUMPTIONS!$H$60), $H24 * BI41 * ((ASSUMPTIONS!$H$63 * $I10) + (ASSUMPTIONS!$H$64 * $F10)), 
TRUE, $I24 *BI41 * ((ASSUMPTIONS!$I$63 * $I10) + (ASSUMPTIONS!$I$64 * $F10))
)</f>
        <v>25469387.34</v>
      </c>
      <c r="BJ51" s="153">
        <f t="array" ref="BJ51">IFS(AND(BJ$36 = $E$18, BJ$36 =ASSUMPTIONS!$E$60), $E24 * BJ41 * ((ASSUMPTIONS!$E$63 * $I10) + (ASSUMPTIONS!$E$64 * $F10)), 
AND(BJ$36 = $F$18, BJ$36 =ASSUMPTIONS!$F$60), $F24 * BJ41 * ((ASSUMPTIONS!$F$63 * $I10) + (ASSUMPTIONS!$F$64 * $F10)), 
AND(BJ$36 = $G$18, BJ$36 =ASSUMPTIONS!$G$60), $G24 * BJ41 * ((ASSUMPTIONS!$G$63 * $I10) + (ASSUMPTIONS!$G$64 * $F10)), 
AND(BJ$36 = $H$18, BJ$36 =ASSUMPTIONS!$H$60), $H24 * BJ41 * ((ASSUMPTIONS!$H$63 * $I10) + (ASSUMPTIONS!$H$64 * $F10)), 
TRUE, $I24 *BJ41 * ((ASSUMPTIONS!$I$63 * $I10) + (ASSUMPTIONS!$I$64 * $F10))
)</f>
        <v>25469387.34</v>
      </c>
      <c r="BK51" s="153">
        <f t="array" ref="BK51">IFS(AND(BK$36 = $E$18, BK$36 =ASSUMPTIONS!$E$60), $E24 * BK41 * ((ASSUMPTIONS!$E$63 * $I10) + (ASSUMPTIONS!$E$64 * $F10)), 
AND(BK$36 = $F$18, BK$36 =ASSUMPTIONS!$F$60), $F24 * BK41 * ((ASSUMPTIONS!$F$63 * $I10) + (ASSUMPTIONS!$F$64 * $F10)), 
AND(BK$36 = $G$18, BK$36 =ASSUMPTIONS!$G$60), $G24 * BK41 * ((ASSUMPTIONS!$G$63 * $I10) + (ASSUMPTIONS!$G$64 * $F10)), 
AND(BK$36 = $H$18, BK$36 =ASSUMPTIONS!$H$60), $H24 * BK41 * ((ASSUMPTIONS!$H$63 * $I10) + (ASSUMPTIONS!$H$64 * $F10)), 
TRUE, $I24 *BK41 * ((ASSUMPTIONS!$I$63 * $I10) + (ASSUMPTIONS!$I$64 * $F10))
)</f>
        <v>25469387.34</v>
      </c>
      <c r="BL51" s="153">
        <f t="array" ref="BL51">IFS(AND(BL$36 = $E$18, BL$36 =ASSUMPTIONS!$E$60), $E24 * BL41 * ((ASSUMPTIONS!$E$63 * $I10) + (ASSUMPTIONS!$E$64 * $F10)), 
AND(BL$36 = $F$18, BL$36 =ASSUMPTIONS!$F$60), $F24 * BL41 * ((ASSUMPTIONS!$F$63 * $I10) + (ASSUMPTIONS!$F$64 * $F10)), 
AND(BL$36 = $G$18, BL$36 =ASSUMPTIONS!$G$60), $G24 * BL41 * ((ASSUMPTIONS!$G$63 * $I10) + (ASSUMPTIONS!$G$64 * $F10)), 
AND(BL$36 = $H$18, BL$36 =ASSUMPTIONS!$H$60), $H24 * BL41 * ((ASSUMPTIONS!$H$63 * $I10) + (ASSUMPTIONS!$H$64 * $F10)), 
TRUE, $I24 *BL41 * ((ASSUMPTIONS!$I$63 * $I10) + (ASSUMPTIONS!$I$64 * $F10))
)</f>
        <v>25469387.34</v>
      </c>
    </row>
    <row r="52" ht="15.75" customHeight="1">
      <c r="D52" s="35" t="s">
        <v>40</v>
      </c>
      <c r="E52" s="153">
        <f t="array" ref="E52">IFS(AND(E$36 = $E$18, E$36 =ASSUMPTIONS!$E$60), $E25 * E42 * ((ASSUMPTIONS!$E$63 * $I11) + (ASSUMPTIONS!$E$64 * $F11)), 
AND(E$36 = $F$18, E$36 =ASSUMPTIONS!$F$60), $F25 * E42 * ((ASSUMPTIONS!$F$63 * $I11) + (ASSUMPTIONS!$F$64 * $F11)), 
AND(E$36 = $G$18, E$36 =ASSUMPTIONS!$G$60), $G25 * E42 * ((ASSUMPTIONS!$G$63 * $I11) + (ASSUMPTIONS!$G$64 * $F11)), 
AND(E$36 = $H$18, E$36 =ASSUMPTIONS!$H$60), $H25 * E42 * ((ASSUMPTIONS!$H$63 * $I11) + (ASSUMPTIONS!$H$64 * $F11)), 
TRUE, $I25 *E42 * ((ASSUMPTIONS!$I$63 * $I11) + (ASSUMPTIONS!$I$64 * $F11))
)</f>
        <v>0</v>
      </c>
      <c r="F52" s="153">
        <f t="array" ref="F52">IFS(AND(F$36 = $E$18, F$36 =ASSUMPTIONS!$E$60), $E25 * F42 * ((ASSUMPTIONS!$E$63 * $I11) + (ASSUMPTIONS!$E$64 * $F11)), 
AND(F$36 = $F$18, F$36 =ASSUMPTIONS!$F$60), $F25 * F42 * ((ASSUMPTIONS!$F$63 * $I11) + (ASSUMPTIONS!$F$64 * $F11)), 
AND(F$36 = $G$18, F$36 =ASSUMPTIONS!$G$60), $G25 * F42 * ((ASSUMPTIONS!$G$63 * $I11) + (ASSUMPTIONS!$G$64 * $F11)), 
AND(F$36 = $H$18, F$36 =ASSUMPTIONS!$H$60), $H25 * F42 * ((ASSUMPTIONS!$H$63 * $I11) + (ASSUMPTIONS!$H$64 * $F11)), 
TRUE, $I25 *F42 * ((ASSUMPTIONS!$I$63 * $I11) + (ASSUMPTIONS!$I$64 * $F11))
)</f>
        <v>0</v>
      </c>
      <c r="G52" s="153">
        <f t="array" ref="G52">IFS(AND(G$36 = $E$18, G$36 =ASSUMPTIONS!$E$60), $E25 * G42 * ((ASSUMPTIONS!$E$63 * $I11) + (ASSUMPTIONS!$E$64 * $F11)), 
AND(G$36 = $F$18, G$36 =ASSUMPTIONS!$F$60), $F25 * G42 * ((ASSUMPTIONS!$F$63 * $I11) + (ASSUMPTIONS!$F$64 * $F11)), 
AND(G$36 = $G$18, G$36 =ASSUMPTIONS!$G$60), $G25 * G42 * ((ASSUMPTIONS!$G$63 * $I11) + (ASSUMPTIONS!$G$64 * $F11)), 
AND(G$36 = $H$18, G$36 =ASSUMPTIONS!$H$60), $H25 * G42 * ((ASSUMPTIONS!$H$63 * $I11) + (ASSUMPTIONS!$H$64 * $F11)), 
TRUE, $I25 *G42 * ((ASSUMPTIONS!$I$63 * $I11) + (ASSUMPTIONS!$I$64 * $F11))
)</f>
        <v>0</v>
      </c>
      <c r="H52" s="153">
        <f t="array" ref="H52">IFS(AND(H$36 = $E$18, H$36 =ASSUMPTIONS!$E$60), $E25 * H42 * ((ASSUMPTIONS!$E$63 * $I11) + (ASSUMPTIONS!$E$64 * $F11)), 
AND(H$36 = $F$18, H$36 =ASSUMPTIONS!$F$60), $F25 * H42 * ((ASSUMPTIONS!$F$63 * $I11) + (ASSUMPTIONS!$F$64 * $F11)), 
AND(H$36 = $G$18, H$36 =ASSUMPTIONS!$G$60), $G25 * H42 * ((ASSUMPTIONS!$G$63 * $I11) + (ASSUMPTIONS!$G$64 * $F11)), 
AND(H$36 = $H$18, H$36 =ASSUMPTIONS!$H$60), $H25 * H42 * ((ASSUMPTIONS!$H$63 * $I11) + (ASSUMPTIONS!$H$64 * $F11)), 
TRUE, $I25 *H42 * ((ASSUMPTIONS!$I$63 * $I11) + (ASSUMPTIONS!$I$64 * $F11))
)</f>
        <v>0</v>
      </c>
      <c r="I52" s="153">
        <f t="array" ref="I52">IFS(AND(I$36 = $E$18, I$36 =ASSUMPTIONS!$E$60), $E25 * I42 * ((ASSUMPTIONS!$E$63 * $I11) + (ASSUMPTIONS!$E$64 * $F11)), 
AND(I$36 = $F$18, I$36 =ASSUMPTIONS!$F$60), $F25 * I42 * ((ASSUMPTIONS!$F$63 * $I11) + (ASSUMPTIONS!$F$64 * $F11)), 
AND(I$36 = $G$18, I$36 =ASSUMPTIONS!$G$60), $G25 * I42 * ((ASSUMPTIONS!$G$63 * $I11) + (ASSUMPTIONS!$G$64 * $F11)), 
AND(I$36 = $H$18, I$36 =ASSUMPTIONS!$H$60), $H25 * I42 * ((ASSUMPTIONS!$H$63 * $I11) + (ASSUMPTIONS!$H$64 * $F11)), 
TRUE, $I25 *I42 * ((ASSUMPTIONS!$I$63 * $I11) + (ASSUMPTIONS!$I$64 * $F11))
)</f>
        <v>0</v>
      </c>
      <c r="J52" s="153">
        <f t="array" ref="J52">IFS(AND(J$36 = $E$18, J$36 =ASSUMPTIONS!$E$60), $E25 * J42 * ((ASSUMPTIONS!$E$63 * $I11) + (ASSUMPTIONS!$E$64 * $F11)), 
AND(J$36 = $F$18, J$36 =ASSUMPTIONS!$F$60), $F25 * J42 * ((ASSUMPTIONS!$F$63 * $I11) + (ASSUMPTIONS!$F$64 * $F11)), 
AND(J$36 = $G$18, J$36 =ASSUMPTIONS!$G$60), $G25 * J42 * ((ASSUMPTIONS!$G$63 * $I11) + (ASSUMPTIONS!$G$64 * $F11)), 
AND(J$36 = $H$18, J$36 =ASSUMPTIONS!$H$60), $H25 * J42 * ((ASSUMPTIONS!$H$63 * $I11) + (ASSUMPTIONS!$H$64 * $F11)), 
TRUE, $I25 *J42 * ((ASSUMPTIONS!$I$63 * $I11) + (ASSUMPTIONS!$I$64 * $F11))
)</f>
        <v>0</v>
      </c>
      <c r="K52" s="153">
        <f t="array" ref="K52">IFS(AND(K$36 = $E$18, K$36 =ASSUMPTIONS!$E$60), $E25 * K42 * ((ASSUMPTIONS!$E$63 * $I11) + (ASSUMPTIONS!$E$64 * $F11)), 
AND(K$36 = $F$18, K$36 =ASSUMPTIONS!$F$60), $F25 * K42 * ((ASSUMPTIONS!$F$63 * $I11) + (ASSUMPTIONS!$F$64 * $F11)), 
AND(K$36 = $G$18, K$36 =ASSUMPTIONS!$G$60), $G25 * K42 * ((ASSUMPTIONS!$G$63 * $I11) + (ASSUMPTIONS!$G$64 * $F11)), 
AND(K$36 = $H$18, K$36 =ASSUMPTIONS!$H$60), $H25 * K42 * ((ASSUMPTIONS!$H$63 * $I11) + (ASSUMPTIONS!$H$64 * $F11)), 
TRUE, $I25 *K42 * ((ASSUMPTIONS!$I$63 * $I11) + (ASSUMPTIONS!$I$64 * $F11))
)</f>
        <v>482220</v>
      </c>
      <c r="L52" s="153">
        <f t="array" ref="L52">IFS(AND(L$36 = $E$18, L$36 =ASSUMPTIONS!$E$60), $E25 * L42 * ((ASSUMPTIONS!$E$63 * $I11) + (ASSUMPTIONS!$E$64 * $F11)), 
AND(L$36 = $F$18, L$36 =ASSUMPTIONS!$F$60), $F25 * L42 * ((ASSUMPTIONS!$F$63 * $I11) + (ASSUMPTIONS!$F$64 * $F11)), 
AND(L$36 = $G$18, L$36 =ASSUMPTIONS!$G$60), $G25 * L42 * ((ASSUMPTIONS!$G$63 * $I11) + (ASSUMPTIONS!$G$64 * $F11)), 
AND(L$36 = $H$18, L$36 =ASSUMPTIONS!$H$60), $H25 * L42 * ((ASSUMPTIONS!$H$63 * $I11) + (ASSUMPTIONS!$H$64 * $F11)), 
TRUE, $I25 *L42 * ((ASSUMPTIONS!$I$63 * $I11) + (ASSUMPTIONS!$I$64 * $F11))
)</f>
        <v>482220</v>
      </c>
      <c r="M52" s="153">
        <f t="array" ref="M52">IFS(AND(M$36 = $E$18, M$36 =ASSUMPTIONS!$E$60), $E25 * M42 * ((ASSUMPTIONS!$E$63 * $I11) + (ASSUMPTIONS!$E$64 * $F11)), 
AND(M$36 = $F$18, M$36 =ASSUMPTIONS!$F$60), $F25 * M42 * ((ASSUMPTIONS!$F$63 * $I11) + (ASSUMPTIONS!$F$64 * $F11)), 
AND(M$36 = $G$18, M$36 =ASSUMPTIONS!$G$60), $G25 * M42 * ((ASSUMPTIONS!$G$63 * $I11) + (ASSUMPTIONS!$G$64 * $F11)), 
AND(M$36 = $H$18, M$36 =ASSUMPTIONS!$H$60), $H25 * M42 * ((ASSUMPTIONS!$H$63 * $I11) + (ASSUMPTIONS!$H$64 * $F11)), 
TRUE, $I25 *M42 * ((ASSUMPTIONS!$I$63 * $I11) + (ASSUMPTIONS!$I$64 * $F11))
)</f>
        <v>482220</v>
      </c>
      <c r="N52" s="153">
        <f t="array" ref="N52">IFS(AND(N$36 = $E$18, N$36 =ASSUMPTIONS!$E$60), $E25 * N42 * ((ASSUMPTIONS!$E$63 * $I11) + (ASSUMPTIONS!$E$64 * $F11)), 
AND(N$36 = $F$18, N$36 =ASSUMPTIONS!$F$60), $F25 * N42 * ((ASSUMPTIONS!$F$63 * $I11) + (ASSUMPTIONS!$F$64 * $F11)), 
AND(N$36 = $G$18, N$36 =ASSUMPTIONS!$G$60), $G25 * N42 * ((ASSUMPTIONS!$G$63 * $I11) + (ASSUMPTIONS!$G$64 * $F11)), 
AND(N$36 = $H$18, N$36 =ASSUMPTIONS!$H$60), $H25 * N42 * ((ASSUMPTIONS!$H$63 * $I11) + (ASSUMPTIONS!$H$64 * $F11)), 
TRUE, $I25 *N42 * ((ASSUMPTIONS!$I$63 * $I11) + (ASSUMPTIONS!$I$64 * $F11))
)</f>
        <v>482220</v>
      </c>
      <c r="O52" s="153">
        <f t="array" ref="O52">IFS(AND(O$36 = $E$18, O$36 =ASSUMPTIONS!$E$60), $E25 * O42 * ((ASSUMPTIONS!$E$63 * $I11) + (ASSUMPTIONS!$E$64 * $F11)), 
AND(O$36 = $F$18, O$36 =ASSUMPTIONS!$F$60), $F25 * O42 * ((ASSUMPTIONS!$F$63 * $I11) + (ASSUMPTIONS!$F$64 * $F11)), 
AND(O$36 = $G$18, O$36 =ASSUMPTIONS!$G$60), $G25 * O42 * ((ASSUMPTIONS!$G$63 * $I11) + (ASSUMPTIONS!$G$64 * $F11)), 
AND(O$36 = $H$18, O$36 =ASSUMPTIONS!$H$60), $H25 * O42 * ((ASSUMPTIONS!$H$63 * $I11) + (ASSUMPTIONS!$H$64 * $F11)), 
TRUE, $I25 *O42 * ((ASSUMPTIONS!$I$63 * $I11) + (ASSUMPTIONS!$I$64 * $F11))
)</f>
        <v>482220</v>
      </c>
      <c r="P52" s="153">
        <f t="array" ref="P52">IFS(AND(P$36 = $E$18, P$36 =ASSUMPTIONS!$E$60), $E25 * P42 * ((ASSUMPTIONS!$E$63 * $I11) + (ASSUMPTIONS!$E$64 * $F11)), 
AND(P$36 = $F$18, P$36 =ASSUMPTIONS!$F$60), $F25 * P42 * ((ASSUMPTIONS!$F$63 * $I11) + (ASSUMPTIONS!$F$64 * $F11)), 
AND(P$36 = $G$18, P$36 =ASSUMPTIONS!$G$60), $G25 * P42 * ((ASSUMPTIONS!$G$63 * $I11) + (ASSUMPTIONS!$G$64 * $F11)), 
AND(P$36 = $H$18, P$36 =ASSUMPTIONS!$H$60), $H25 * P42 * ((ASSUMPTIONS!$H$63 * $I11) + (ASSUMPTIONS!$H$64 * $F11)), 
TRUE, $I25 *P42 * ((ASSUMPTIONS!$I$63 * $I11) + (ASSUMPTIONS!$I$64 * $F11))
)</f>
        <v>482220</v>
      </c>
      <c r="Q52" s="153">
        <f t="array" ref="Q52">IFS(AND(Q$36 = $E$18, Q$36 =ASSUMPTIONS!$E$60), $E25 * Q42 * ((ASSUMPTIONS!$E$63 * $I11) + (ASSUMPTIONS!$E$64 * $F11)), 
AND(Q$36 = $F$18, Q$36 =ASSUMPTIONS!$F$60), $F25 * Q42 * ((ASSUMPTIONS!$F$63 * $I11) + (ASSUMPTIONS!$F$64 * $F11)), 
AND(Q$36 = $G$18, Q$36 =ASSUMPTIONS!$G$60), $G25 * Q42 * ((ASSUMPTIONS!$G$63 * $I11) + (ASSUMPTIONS!$G$64 * $F11)), 
AND(Q$36 = $H$18, Q$36 =ASSUMPTIONS!$H$60), $H25 * Q42 * ((ASSUMPTIONS!$H$63 * $I11) + (ASSUMPTIONS!$H$64 * $F11)), 
TRUE, $I25 *Q42 * ((ASSUMPTIONS!$I$63 * $I11) + (ASSUMPTIONS!$I$64 * $F11))
)</f>
        <v>515487.54</v>
      </c>
      <c r="R52" s="153">
        <f t="array" ref="R52">IFS(AND(R$36 = $E$18, R$36 =ASSUMPTIONS!$E$60), $E25 * R42 * ((ASSUMPTIONS!$E$63 * $I11) + (ASSUMPTIONS!$E$64 * $F11)), 
AND(R$36 = $F$18, R$36 =ASSUMPTIONS!$F$60), $F25 * R42 * ((ASSUMPTIONS!$F$63 * $I11) + (ASSUMPTIONS!$F$64 * $F11)), 
AND(R$36 = $G$18, R$36 =ASSUMPTIONS!$G$60), $G25 * R42 * ((ASSUMPTIONS!$G$63 * $I11) + (ASSUMPTIONS!$G$64 * $F11)), 
AND(R$36 = $H$18, R$36 =ASSUMPTIONS!$H$60), $H25 * R42 * ((ASSUMPTIONS!$H$63 * $I11) + (ASSUMPTIONS!$H$64 * $F11)), 
TRUE, $I25 *R42 * ((ASSUMPTIONS!$I$63 * $I11) + (ASSUMPTIONS!$I$64 * $F11))
)</f>
        <v>515487.54</v>
      </c>
      <c r="S52" s="153">
        <f t="array" ref="S52">IFS(AND(S$36 = $E$18, S$36 =ASSUMPTIONS!$E$60), $E25 * S42 * ((ASSUMPTIONS!$E$63 * $I11) + (ASSUMPTIONS!$E$64 * $F11)), 
AND(S$36 = $F$18, S$36 =ASSUMPTIONS!$F$60), $F25 * S42 * ((ASSUMPTIONS!$F$63 * $I11) + (ASSUMPTIONS!$F$64 * $F11)), 
AND(S$36 = $G$18, S$36 =ASSUMPTIONS!$G$60), $G25 * S42 * ((ASSUMPTIONS!$G$63 * $I11) + (ASSUMPTIONS!$G$64 * $F11)), 
AND(S$36 = $H$18, S$36 =ASSUMPTIONS!$H$60), $H25 * S42 * ((ASSUMPTIONS!$H$63 * $I11) + (ASSUMPTIONS!$H$64 * $F11)), 
TRUE, $I25 *S42 * ((ASSUMPTIONS!$I$63 * $I11) + (ASSUMPTIONS!$I$64 * $F11))
)</f>
        <v>515487.54</v>
      </c>
      <c r="T52" s="153">
        <f t="array" ref="T52">IFS(AND(T$36 = $E$18, T$36 =ASSUMPTIONS!$E$60), $E25 * T42 * ((ASSUMPTIONS!$E$63 * $I11) + (ASSUMPTIONS!$E$64 * $F11)), 
AND(T$36 = $F$18, T$36 =ASSUMPTIONS!$F$60), $F25 * T42 * ((ASSUMPTIONS!$F$63 * $I11) + (ASSUMPTIONS!$F$64 * $F11)), 
AND(T$36 = $G$18, T$36 =ASSUMPTIONS!$G$60), $G25 * T42 * ((ASSUMPTIONS!$G$63 * $I11) + (ASSUMPTIONS!$G$64 * $F11)), 
AND(T$36 = $H$18, T$36 =ASSUMPTIONS!$H$60), $H25 * T42 * ((ASSUMPTIONS!$H$63 * $I11) + (ASSUMPTIONS!$H$64 * $F11)), 
TRUE, $I25 *T42 * ((ASSUMPTIONS!$I$63 * $I11) + (ASSUMPTIONS!$I$64 * $F11))
)</f>
        <v>515487.54</v>
      </c>
      <c r="U52" s="153">
        <f t="array" ref="U52">IFS(AND(U$36 = $E$18, U$36 =ASSUMPTIONS!$E$60), $E25 * U42 * ((ASSUMPTIONS!$E$63 * $I11) + (ASSUMPTIONS!$E$64 * $F11)), 
AND(U$36 = $F$18, U$36 =ASSUMPTIONS!$F$60), $F25 * U42 * ((ASSUMPTIONS!$F$63 * $I11) + (ASSUMPTIONS!$F$64 * $F11)), 
AND(U$36 = $G$18, U$36 =ASSUMPTIONS!$G$60), $G25 * U42 * ((ASSUMPTIONS!$G$63 * $I11) + (ASSUMPTIONS!$G$64 * $F11)), 
AND(U$36 = $H$18, U$36 =ASSUMPTIONS!$H$60), $H25 * U42 * ((ASSUMPTIONS!$H$63 * $I11) + (ASSUMPTIONS!$H$64 * $F11)), 
TRUE, $I25 *U42 * ((ASSUMPTIONS!$I$63 * $I11) + (ASSUMPTIONS!$I$64 * $F11))
)</f>
        <v>515487.54</v>
      </c>
      <c r="V52" s="153">
        <f t="array" ref="V52">IFS(AND(V$36 = $E$18, V$36 =ASSUMPTIONS!$E$60), $E25 * V42 * ((ASSUMPTIONS!$E$63 * $I11) + (ASSUMPTIONS!$E$64 * $F11)), 
AND(V$36 = $F$18, V$36 =ASSUMPTIONS!$F$60), $F25 * V42 * ((ASSUMPTIONS!$F$63 * $I11) + (ASSUMPTIONS!$F$64 * $F11)), 
AND(V$36 = $G$18, V$36 =ASSUMPTIONS!$G$60), $G25 * V42 * ((ASSUMPTIONS!$G$63 * $I11) + (ASSUMPTIONS!$G$64 * $F11)), 
AND(V$36 = $H$18, V$36 =ASSUMPTIONS!$H$60), $H25 * V42 * ((ASSUMPTIONS!$H$63 * $I11) + (ASSUMPTIONS!$H$64 * $F11)), 
TRUE, $I25 *V42 * ((ASSUMPTIONS!$I$63 * $I11) + (ASSUMPTIONS!$I$64 * $F11))
)</f>
        <v>515487.54</v>
      </c>
      <c r="W52" s="153">
        <f t="array" ref="W52">IFS(AND(W$36 = $E$18, W$36 =ASSUMPTIONS!$E$60), $E25 * W42 * ((ASSUMPTIONS!$E$63 * $I11) + (ASSUMPTIONS!$E$64 * $F11)), 
AND(W$36 = $F$18, W$36 =ASSUMPTIONS!$F$60), $F25 * W42 * ((ASSUMPTIONS!$F$63 * $I11) + (ASSUMPTIONS!$F$64 * $F11)), 
AND(W$36 = $G$18, W$36 =ASSUMPTIONS!$G$60), $G25 * W42 * ((ASSUMPTIONS!$G$63 * $I11) + (ASSUMPTIONS!$G$64 * $F11)), 
AND(W$36 = $H$18, W$36 =ASSUMPTIONS!$H$60), $H25 * W42 * ((ASSUMPTIONS!$H$63 * $I11) + (ASSUMPTIONS!$H$64 * $F11)), 
TRUE, $I25 *W42 * ((ASSUMPTIONS!$I$63 * $I11) + (ASSUMPTIONS!$I$64 * $F11))
)</f>
        <v>515487.54</v>
      </c>
      <c r="X52" s="153">
        <f t="array" ref="X52">IFS(AND(X$36 = $E$18, X$36 =ASSUMPTIONS!$E$60), $E25 * X42 * ((ASSUMPTIONS!$E$63 * $I11) + (ASSUMPTIONS!$E$64 * $F11)), 
AND(X$36 = $F$18, X$36 =ASSUMPTIONS!$F$60), $F25 * X42 * ((ASSUMPTIONS!$F$63 * $I11) + (ASSUMPTIONS!$F$64 * $F11)), 
AND(X$36 = $G$18, X$36 =ASSUMPTIONS!$G$60), $G25 * X42 * ((ASSUMPTIONS!$G$63 * $I11) + (ASSUMPTIONS!$G$64 * $F11)), 
AND(X$36 = $H$18, X$36 =ASSUMPTIONS!$H$60), $H25 * X42 * ((ASSUMPTIONS!$H$63 * $I11) + (ASSUMPTIONS!$H$64 * $F11)), 
TRUE, $I25 *X42 * ((ASSUMPTIONS!$I$63 * $I11) + (ASSUMPTIONS!$I$64 * $F11))
)</f>
        <v>515487.54</v>
      </c>
      <c r="Y52" s="153">
        <f t="array" ref="Y52">IFS(AND(Y$36 = $E$18, Y$36 =ASSUMPTIONS!$E$60), $E25 * Y42 * ((ASSUMPTIONS!$E$63 * $I11) + (ASSUMPTIONS!$E$64 * $F11)), 
AND(Y$36 = $F$18, Y$36 =ASSUMPTIONS!$F$60), $F25 * Y42 * ((ASSUMPTIONS!$F$63 * $I11) + (ASSUMPTIONS!$F$64 * $F11)), 
AND(Y$36 = $G$18, Y$36 =ASSUMPTIONS!$G$60), $G25 * Y42 * ((ASSUMPTIONS!$G$63 * $I11) + (ASSUMPTIONS!$G$64 * $F11)), 
AND(Y$36 = $H$18, Y$36 =ASSUMPTIONS!$H$60), $H25 * Y42 * ((ASSUMPTIONS!$H$63 * $I11) + (ASSUMPTIONS!$H$64 * $F11)), 
TRUE, $I25 *Y42 * ((ASSUMPTIONS!$I$63 * $I11) + (ASSUMPTIONS!$I$64 * $F11))
)</f>
        <v>515487.54</v>
      </c>
      <c r="Z52" s="153">
        <f t="array" ref="Z52">IFS(AND(Z$36 = $E$18, Z$36 =ASSUMPTIONS!$E$60), $E25 * Z42 * ((ASSUMPTIONS!$E$63 * $I11) + (ASSUMPTIONS!$E$64 * $F11)), 
AND(Z$36 = $F$18, Z$36 =ASSUMPTIONS!$F$60), $F25 * Z42 * ((ASSUMPTIONS!$F$63 * $I11) + (ASSUMPTIONS!$F$64 * $F11)), 
AND(Z$36 = $G$18, Z$36 =ASSUMPTIONS!$G$60), $G25 * Z42 * ((ASSUMPTIONS!$G$63 * $I11) + (ASSUMPTIONS!$G$64 * $F11)), 
AND(Z$36 = $H$18, Z$36 =ASSUMPTIONS!$H$60), $H25 * Z42 * ((ASSUMPTIONS!$H$63 * $I11) + (ASSUMPTIONS!$H$64 * $F11)), 
TRUE, $I25 *Z42 * ((ASSUMPTIONS!$I$63 * $I11) + (ASSUMPTIONS!$I$64 * $F11))
)</f>
        <v>515487.54</v>
      </c>
      <c r="AA52" s="153">
        <f t="array" ref="AA52">IFS(AND(AA$36 = $E$18, AA$36 =ASSUMPTIONS!$E$60), $E25 * AA42 * ((ASSUMPTIONS!$E$63 * $I11) + (ASSUMPTIONS!$E$64 * $F11)), 
AND(AA$36 = $F$18, AA$36 =ASSUMPTIONS!$F$60), $F25 * AA42 * ((ASSUMPTIONS!$F$63 * $I11) + (ASSUMPTIONS!$F$64 * $F11)), 
AND(AA$36 = $G$18, AA$36 =ASSUMPTIONS!$G$60), $G25 * AA42 * ((ASSUMPTIONS!$G$63 * $I11) + (ASSUMPTIONS!$G$64 * $F11)), 
AND(AA$36 = $H$18, AA$36 =ASSUMPTIONS!$H$60), $H25 * AA42 * ((ASSUMPTIONS!$H$63 * $I11) + (ASSUMPTIONS!$H$64 * $F11)), 
TRUE, $I25 *AA42 * ((ASSUMPTIONS!$I$63 * $I11) + (ASSUMPTIONS!$I$64 * $F11))
)</f>
        <v>515487.54</v>
      </c>
      <c r="AB52" s="153">
        <f t="array" ref="AB52">IFS(AND(AB$36 = $E$18, AB$36 =ASSUMPTIONS!$E$60), $E25 * AB42 * ((ASSUMPTIONS!$E$63 * $I11) + (ASSUMPTIONS!$E$64 * $F11)), 
AND(AB$36 = $F$18, AB$36 =ASSUMPTIONS!$F$60), $F25 * AB42 * ((ASSUMPTIONS!$F$63 * $I11) + (ASSUMPTIONS!$F$64 * $F11)), 
AND(AB$36 = $G$18, AB$36 =ASSUMPTIONS!$G$60), $G25 * AB42 * ((ASSUMPTIONS!$G$63 * $I11) + (ASSUMPTIONS!$G$64 * $F11)), 
AND(AB$36 = $H$18, AB$36 =ASSUMPTIONS!$H$60), $H25 * AB42 * ((ASSUMPTIONS!$H$63 * $I11) + (ASSUMPTIONS!$H$64 * $F11)), 
TRUE, $I25 *AB42 * ((ASSUMPTIONS!$I$63 * $I11) + (ASSUMPTIONS!$I$64 * $F11))
)</f>
        <v>515487.54</v>
      </c>
      <c r="AC52" s="153">
        <f t="array" ref="AC52">IFS(AND(AC$36 = $E$18, AC$36 =ASSUMPTIONS!$E$60), $E25 * AC42 * ((ASSUMPTIONS!$E$63 * $I11) + (ASSUMPTIONS!$E$64 * $F11)), 
AND(AC$36 = $F$18, AC$36 =ASSUMPTIONS!$F$60), $F25 * AC42 * ((ASSUMPTIONS!$F$63 * $I11) + (ASSUMPTIONS!$F$64 * $F11)), 
AND(AC$36 = $G$18, AC$36 =ASSUMPTIONS!$G$60), $G25 * AC42 * ((ASSUMPTIONS!$G$63 * $I11) + (ASSUMPTIONS!$G$64 * $F11)), 
AND(AC$36 = $H$18, AC$36 =ASSUMPTIONS!$H$60), $H25 * AC42 * ((ASSUMPTIONS!$H$63 * $I11) + (ASSUMPTIONS!$H$64 * $F11)), 
TRUE, $I25 *AC42 * ((ASSUMPTIONS!$I$63 * $I11) + (ASSUMPTIONS!$I$64 * $F11))
)</f>
        <v>1111211.186</v>
      </c>
      <c r="AD52" s="153">
        <f t="array" ref="AD52">IFS(AND(AD$36 = $E$18, AD$36 =ASSUMPTIONS!$E$60), $E25 * AD42 * ((ASSUMPTIONS!$E$63 * $I11) + (ASSUMPTIONS!$E$64 * $F11)), 
AND(AD$36 = $F$18, AD$36 =ASSUMPTIONS!$F$60), $F25 * AD42 * ((ASSUMPTIONS!$F$63 * $I11) + (ASSUMPTIONS!$F$64 * $F11)), 
AND(AD$36 = $G$18, AD$36 =ASSUMPTIONS!$G$60), $G25 * AD42 * ((ASSUMPTIONS!$G$63 * $I11) + (ASSUMPTIONS!$G$64 * $F11)), 
AND(AD$36 = $H$18, AD$36 =ASSUMPTIONS!$H$60), $H25 * AD42 * ((ASSUMPTIONS!$H$63 * $I11) + (ASSUMPTIONS!$H$64 * $F11)), 
TRUE, $I25 *AD42 * ((ASSUMPTIONS!$I$63 * $I11) + (ASSUMPTIONS!$I$64 * $F11))
)</f>
        <v>1111211.186</v>
      </c>
      <c r="AE52" s="153">
        <f t="array" ref="AE52">IFS(AND(AE$36 = $E$18, AE$36 =ASSUMPTIONS!$E$60), $E25 * AE42 * ((ASSUMPTIONS!$E$63 * $I11) + (ASSUMPTIONS!$E$64 * $F11)), 
AND(AE$36 = $F$18, AE$36 =ASSUMPTIONS!$F$60), $F25 * AE42 * ((ASSUMPTIONS!$F$63 * $I11) + (ASSUMPTIONS!$F$64 * $F11)), 
AND(AE$36 = $G$18, AE$36 =ASSUMPTIONS!$G$60), $G25 * AE42 * ((ASSUMPTIONS!$G$63 * $I11) + (ASSUMPTIONS!$G$64 * $F11)), 
AND(AE$36 = $H$18, AE$36 =ASSUMPTIONS!$H$60), $H25 * AE42 * ((ASSUMPTIONS!$H$63 * $I11) + (ASSUMPTIONS!$H$64 * $F11)), 
TRUE, $I25 *AE42 * ((ASSUMPTIONS!$I$63 * $I11) + (ASSUMPTIONS!$I$64 * $F11))
)</f>
        <v>1111211.186</v>
      </c>
      <c r="AF52" s="153">
        <f t="array" ref="AF52">IFS(AND(AF$36 = $E$18, AF$36 =ASSUMPTIONS!$E$60), $E25 * AF42 * ((ASSUMPTIONS!$E$63 * $I11) + (ASSUMPTIONS!$E$64 * $F11)), 
AND(AF$36 = $F$18, AF$36 =ASSUMPTIONS!$F$60), $F25 * AF42 * ((ASSUMPTIONS!$F$63 * $I11) + (ASSUMPTIONS!$F$64 * $F11)), 
AND(AF$36 = $G$18, AF$36 =ASSUMPTIONS!$G$60), $G25 * AF42 * ((ASSUMPTIONS!$G$63 * $I11) + (ASSUMPTIONS!$G$64 * $F11)), 
AND(AF$36 = $H$18, AF$36 =ASSUMPTIONS!$H$60), $H25 * AF42 * ((ASSUMPTIONS!$H$63 * $I11) + (ASSUMPTIONS!$H$64 * $F11)), 
TRUE, $I25 *AF42 * ((ASSUMPTIONS!$I$63 * $I11) + (ASSUMPTIONS!$I$64 * $F11))
)</f>
        <v>1111211.186</v>
      </c>
      <c r="AG52" s="153">
        <f t="array" ref="AG52">IFS(AND(AG$36 = $E$18, AG$36 =ASSUMPTIONS!$E$60), $E25 * AG42 * ((ASSUMPTIONS!$E$63 * $I11) + (ASSUMPTIONS!$E$64 * $F11)), 
AND(AG$36 = $F$18, AG$36 =ASSUMPTIONS!$F$60), $F25 * AG42 * ((ASSUMPTIONS!$F$63 * $I11) + (ASSUMPTIONS!$F$64 * $F11)), 
AND(AG$36 = $G$18, AG$36 =ASSUMPTIONS!$G$60), $G25 * AG42 * ((ASSUMPTIONS!$G$63 * $I11) + (ASSUMPTIONS!$G$64 * $F11)), 
AND(AG$36 = $H$18, AG$36 =ASSUMPTIONS!$H$60), $H25 * AG42 * ((ASSUMPTIONS!$H$63 * $I11) + (ASSUMPTIONS!$H$64 * $F11)), 
TRUE, $I25 *AG42 * ((ASSUMPTIONS!$I$63 * $I11) + (ASSUMPTIONS!$I$64 * $F11))
)</f>
        <v>1111211.186</v>
      </c>
      <c r="AH52" s="153">
        <f t="array" ref="AH52">IFS(AND(AH$36 = $E$18, AH$36 =ASSUMPTIONS!$E$60), $E25 * AH42 * ((ASSUMPTIONS!$E$63 * $I11) + (ASSUMPTIONS!$E$64 * $F11)), 
AND(AH$36 = $F$18, AH$36 =ASSUMPTIONS!$F$60), $F25 * AH42 * ((ASSUMPTIONS!$F$63 * $I11) + (ASSUMPTIONS!$F$64 * $F11)), 
AND(AH$36 = $G$18, AH$36 =ASSUMPTIONS!$G$60), $G25 * AH42 * ((ASSUMPTIONS!$G$63 * $I11) + (ASSUMPTIONS!$G$64 * $F11)), 
AND(AH$36 = $H$18, AH$36 =ASSUMPTIONS!$H$60), $H25 * AH42 * ((ASSUMPTIONS!$H$63 * $I11) + (ASSUMPTIONS!$H$64 * $F11)), 
TRUE, $I25 *AH42 * ((ASSUMPTIONS!$I$63 * $I11) + (ASSUMPTIONS!$I$64 * $F11))
)</f>
        <v>1111211.186</v>
      </c>
      <c r="AI52" s="153">
        <f t="array" ref="AI52">IFS(AND(AI$36 = $E$18, AI$36 =ASSUMPTIONS!$E$60), $E25 * AI42 * ((ASSUMPTIONS!$E$63 * $I11) + (ASSUMPTIONS!$E$64 * $F11)), 
AND(AI$36 = $F$18, AI$36 =ASSUMPTIONS!$F$60), $F25 * AI42 * ((ASSUMPTIONS!$F$63 * $I11) + (ASSUMPTIONS!$F$64 * $F11)), 
AND(AI$36 = $G$18, AI$36 =ASSUMPTIONS!$G$60), $G25 * AI42 * ((ASSUMPTIONS!$G$63 * $I11) + (ASSUMPTIONS!$G$64 * $F11)), 
AND(AI$36 = $H$18, AI$36 =ASSUMPTIONS!$H$60), $H25 * AI42 * ((ASSUMPTIONS!$H$63 * $I11) + (ASSUMPTIONS!$H$64 * $F11)), 
TRUE, $I25 *AI42 * ((ASSUMPTIONS!$I$63 * $I11) + (ASSUMPTIONS!$I$64 * $F11))
)</f>
        <v>1111211.186</v>
      </c>
      <c r="AJ52" s="153">
        <f t="array" ref="AJ52">IFS(AND(AJ$36 = $E$18, AJ$36 =ASSUMPTIONS!$E$60), $E25 * AJ42 * ((ASSUMPTIONS!$E$63 * $I11) + (ASSUMPTIONS!$E$64 * $F11)), 
AND(AJ$36 = $F$18, AJ$36 =ASSUMPTIONS!$F$60), $F25 * AJ42 * ((ASSUMPTIONS!$F$63 * $I11) + (ASSUMPTIONS!$F$64 * $F11)), 
AND(AJ$36 = $G$18, AJ$36 =ASSUMPTIONS!$G$60), $G25 * AJ42 * ((ASSUMPTIONS!$G$63 * $I11) + (ASSUMPTIONS!$G$64 * $F11)), 
AND(AJ$36 = $H$18, AJ$36 =ASSUMPTIONS!$H$60), $H25 * AJ42 * ((ASSUMPTIONS!$H$63 * $I11) + (ASSUMPTIONS!$H$64 * $F11)), 
TRUE, $I25 *AJ42 * ((ASSUMPTIONS!$I$63 * $I11) + (ASSUMPTIONS!$I$64 * $F11))
)</f>
        <v>1111211.186</v>
      </c>
      <c r="AK52" s="153">
        <f t="array" ref="AK52">IFS(AND(AK$36 = $E$18, AK$36 =ASSUMPTIONS!$E$60), $E25 * AK42 * ((ASSUMPTIONS!$E$63 * $I11) + (ASSUMPTIONS!$E$64 * $F11)), 
AND(AK$36 = $F$18, AK$36 =ASSUMPTIONS!$F$60), $F25 * AK42 * ((ASSUMPTIONS!$F$63 * $I11) + (ASSUMPTIONS!$F$64 * $F11)), 
AND(AK$36 = $G$18, AK$36 =ASSUMPTIONS!$G$60), $G25 * AK42 * ((ASSUMPTIONS!$G$63 * $I11) + (ASSUMPTIONS!$G$64 * $F11)), 
AND(AK$36 = $H$18, AK$36 =ASSUMPTIONS!$H$60), $H25 * AK42 * ((ASSUMPTIONS!$H$63 * $I11) + (ASSUMPTIONS!$H$64 * $F11)), 
TRUE, $I25 *AK42 * ((ASSUMPTIONS!$I$63 * $I11) + (ASSUMPTIONS!$I$64 * $F11))
)</f>
        <v>1111211.186</v>
      </c>
      <c r="AL52" s="153">
        <f t="array" ref="AL52">IFS(AND(AL$36 = $E$18, AL$36 =ASSUMPTIONS!$E$60), $E25 * AL42 * ((ASSUMPTIONS!$E$63 * $I11) + (ASSUMPTIONS!$E$64 * $F11)), 
AND(AL$36 = $F$18, AL$36 =ASSUMPTIONS!$F$60), $F25 * AL42 * ((ASSUMPTIONS!$F$63 * $I11) + (ASSUMPTIONS!$F$64 * $F11)), 
AND(AL$36 = $G$18, AL$36 =ASSUMPTIONS!$G$60), $G25 * AL42 * ((ASSUMPTIONS!$G$63 * $I11) + (ASSUMPTIONS!$G$64 * $F11)), 
AND(AL$36 = $H$18, AL$36 =ASSUMPTIONS!$H$60), $H25 * AL42 * ((ASSUMPTIONS!$H$63 * $I11) + (ASSUMPTIONS!$H$64 * $F11)), 
TRUE, $I25 *AL42 * ((ASSUMPTIONS!$I$63 * $I11) + (ASSUMPTIONS!$I$64 * $F11))
)</f>
        <v>1111211.186</v>
      </c>
      <c r="AM52" s="153">
        <f t="array" ref="AM52">IFS(AND(AM$36 = $E$18, AM$36 =ASSUMPTIONS!$E$60), $E25 * AM42 * ((ASSUMPTIONS!$E$63 * $I11) + (ASSUMPTIONS!$E$64 * $F11)), 
AND(AM$36 = $F$18, AM$36 =ASSUMPTIONS!$F$60), $F25 * AM42 * ((ASSUMPTIONS!$F$63 * $I11) + (ASSUMPTIONS!$F$64 * $F11)), 
AND(AM$36 = $G$18, AM$36 =ASSUMPTIONS!$G$60), $G25 * AM42 * ((ASSUMPTIONS!$G$63 * $I11) + (ASSUMPTIONS!$G$64 * $F11)), 
AND(AM$36 = $H$18, AM$36 =ASSUMPTIONS!$H$60), $H25 * AM42 * ((ASSUMPTIONS!$H$63 * $I11) + (ASSUMPTIONS!$H$64 * $F11)), 
TRUE, $I25 *AM42 * ((ASSUMPTIONS!$I$63 * $I11) + (ASSUMPTIONS!$I$64 * $F11))
)</f>
        <v>1111211.186</v>
      </c>
      <c r="AN52" s="153">
        <f t="array" ref="AN52">IFS(AND(AN$36 = $E$18, AN$36 =ASSUMPTIONS!$E$60), $E25 * AN42 * ((ASSUMPTIONS!$E$63 * $I11) + (ASSUMPTIONS!$E$64 * $F11)), 
AND(AN$36 = $F$18, AN$36 =ASSUMPTIONS!$F$60), $F25 * AN42 * ((ASSUMPTIONS!$F$63 * $I11) + (ASSUMPTIONS!$F$64 * $F11)), 
AND(AN$36 = $G$18, AN$36 =ASSUMPTIONS!$G$60), $G25 * AN42 * ((ASSUMPTIONS!$G$63 * $I11) + (ASSUMPTIONS!$G$64 * $F11)), 
AND(AN$36 = $H$18, AN$36 =ASSUMPTIONS!$H$60), $H25 * AN42 * ((ASSUMPTIONS!$H$63 * $I11) + (ASSUMPTIONS!$H$64 * $F11)), 
TRUE, $I25 *AN42 * ((ASSUMPTIONS!$I$63 * $I11) + (ASSUMPTIONS!$I$64 * $F11))
)</f>
        <v>1111211.186</v>
      </c>
      <c r="AO52" s="153">
        <f t="array" ref="AO52">IFS(AND(AO$36 = $E$18, AO$36 =ASSUMPTIONS!$E$60), $E25 * AO42 * ((ASSUMPTIONS!$E$63 * $I11) + (ASSUMPTIONS!$E$64 * $F11)), 
AND(AO$36 = $F$18, AO$36 =ASSUMPTIONS!$F$60), $F25 * AO42 * ((ASSUMPTIONS!$F$63 * $I11) + (ASSUMPTIONS!$F$64 * $F11)), 
AND(AO$36 = $G$18, AO$36 =ASSUMPTIONS!$G$60), $G25 * AO42 * ((ASSUMPTIONS!$G$63 * $I11) + (ASSUMPTIONS!$G$64 * $F11)), 
AND(AO$36 = $H$18, AO$36 =ASSUMPTIONS!$H$60), $H25 * AO42 * ((ASSUMPTIONS!$H$63 * $I11) + (ASSUMPTIONS!$H$64 * $F11)), 
TRUE, $I25 *AO42 * ((ASSUMPTIONS!$I$63 * $I11) + (ASSUMPTIONS!$I$64 * $F11))
)</f>
        <v>3592092.346</v>
      </c>
      <c r="AP52" s="153">
        <f t="array" ref="AP52">IFS(AND(AP$36 = $E$18, AP$36 =ASSUMPTIONS!$E$60), $E25 * AP42 * ((ASSUMPTIONS!$E$63 * $I11) + (ASSUMPTIONS!$E$64 * $F11)), 
AND(AP$36 = $F$18, AP$36 =ASSUMPTIONS!$F$60), $F25 * AP42 * ((ASSUMPTIONS!$F$63 * $I11) + (ASSUMPTIONS!$F$64 * $F11)), 
AND(AP$36 = $G$18, AP$36 =ASSUMPTIONS!$G$60), $G25 * AP42 * ((ASSUMPTIONS!$G$63 * $I11) + (ASSUMPTIONS!$G$64 * $F11)), 
AND(AP$36 = $H$18, AP$36 =ASSUMPTIONS!$H$60), $H25 * AP42 * ((ASSUMPTIONS!$H$63 * $I11) + (ASSUMPTIONS!$H$64 * $F11)), 
TRUE, $I25 *AP42 * ((ASSUMPTIONS!$I$63 * $I11) + (ASSUMPTIONS!$I$64 * $F11))
)</f>
        <v>3592092.346</v>
      </c>
      <c r="AQ52" s="153">
        <f t="array" ref="AQ52">IFS(AND(AQ$36 = $E$18, AQ$36 =ASSUMPTIONS!$E$60), $E25 * AQ42 * ((ASSUMPTIONS!$E$63 * $I11) + (ASSUMPTIONS!$E$64 * $F11)), 
AND(AQ$36 = $F$18, AQ$36 =ASSUMPTIONS!$F$60), $F25 * AQ42 * ((ASSUMPTIONS!$F$63 * $I11) + (ASSUMPTIONS!$F$64 * $F11)), 
AND(AQ$36 = $G$18, AQ$36 =ASSUMPTIONS!$G$60), $G25 * AQ42 * ((ASSUMPTIONS!$G$63 * $I11) + (ASSUMPTIONS!$G$64 * $F11)), 
AND(AQ$36 = $H$18, AQ$36 =ASSUMPTIONS!$H$60), $H25 * AQ42 * ((ASSUMPTIONS!$H$63 * $I11) + (ASSUMPTIONS!$H$64 * $F11)), 
TRUE, $I25 *AQ42 * ((ASSUMPTIONS!$I$63 * $I11) + (ASSUMPTIONS!$I$64 * $F11))
)</f>
        <v>3592092.346</v>
      </c>
      <c r="AR52" s="153">
        <f t="array" ref="AR52">IFS(AND(AR$36 = $E$18, AR$36 =ASSUMPTIONS!$E$60), $E25 * AR42 * ((ASSUMPTIONS!$E$63 * $I11) + (ASSUMPTIONS!$E$64 * $F11)), 
AND(AR$36 = $F$18, AR$36 =ASSUMPTIONS!$F$60), $F25 * AR42 * ((ASSUMPTIONS!$F$63 * $I11) + (ASSUMPTIONS!$F$64 * $F11)), 
AND(AR$36 = $G$18, AR$36 =ASSUMPTIONS!$G$60), $G25 * AR42 * ((ASSUMPTIONS!$G$63 * $I11) + (ASSUMPTIONS!$G$64 * $F11)), 
AND(AR$36 = $H$18, AR$36 =ASSUMPTIONS!$H$60), $H25 * AR42 * ((ASSUMPTIONS!$H$63 * $I11) + (ASSUMPTIONS!$H$64 * $F11)), 
TRUE, $I25 *AR42 * ((ASSUMPTIONS!$I$63 * $I11) + (ASSUMPTIONS!$I$64 * $F11))
)</f>
        <v>3592092.346</v>
      </c>
      <c r="AS52" s="153">
        <f t="array" ref="AS52">IFS(AND(AS$36 = $E$18, AS$36 =ASSUMPTIONS!$E$60), $E25 * AS42 * ((ASSUMPTIONS!$E$63 * $I11) + (ASSUMPTIONS!$E$64 * $F11)), 
AND(AS$36 = $F$18, AS$36 =ASSUMPTIONS!$F$60), $F25 * AS42 * ((ASSUMPTIONS!$F$63 * $I11) + (ASSUMPTIONS!$F$64 * $F11)), 
AND(AS$36 = $G$18, AS$36 =ASSUMPTIONS!$G$60), $G25 * AS42 * ((ASSUMPTIONS!$G$63 * $I11) + (ASSUMPTIONS!$G$64 * $F11)), 
AND(AS$36 = $H$18, AS$36 =ASSUMPTIONS!$H$60), $H25 * AS42 * ((ASSUMPTIONS!$H$63 * $I11) + (ASSUMPTIONS!$H$64 * $F11)), 
TRUE, $I25 *AS42 * ((ASSUMPTIONS!$I$63 * $I11) + (ASSUMPTIONS!$I$64 * $F11))
)</f>
        <v>3592092.346</v>
      </c>
      <c r="AT52" s="153">
        <f t="array" ref="AT52">IFS(AND(AT$36 = $E$18, AT$36 =ASSUMPTIONS!$E$60), $E25 * AT42 * ((ASSUMPTIONS!$E$63 * $I11) + (ASSUMPTIONS!$E$64 * $F11)), 
AND(AT$36 = $F$18, AT$36 =ASSUMPTIONS!$F$60), $F25 * AT42 * ((ASSUMPTIONS!$F$63 * $I11) + (ASSUMPTIONS!$F$64 * $F11)), 
AND(AT$36 = $G$18, AT$36 =ASSUMPTIONS!$G$60), $G25 * AT42 * ((ASSUMPTIONS!$G$63 * $I11) + (ASSUMPTIONS!$G$64 * $F11)), 
AND(AT$36 = $H$18, AT$36 =ASSUMPTIONS!$H$60), $H25 * AT42 * ((ASSUMPTIONS!$H$63 * $I11) + (ASSUMPTIONS!$H$64 * $F11)), 
TRUE, $I25 *AT42 * ((ASSUMPTIONS!$I$63 * $I11) + (ASSUMPTIONS!$I$64 * $F11))
)</f>
        <v>3592092.346</v>
      </c>
      <c r="AU52" s="153">
        <f t="array" ref="AU52">IFS(AND(AU$36 = $E$18, AU$36 =ASSUMPTIONS!$E$60), $E25 * AU42 * ((ASSUMPTIONS!$E$63 * $I11) + (ASSUMPTIONS!$E$64 * $F11)), 
AND(AU$36 = $F$18, AU$36 =ASSUMPTIONS!$F$60), $F25 * AU42 * ((ASSUMPTIONS!$F$63 * $I11) + (ASSUMPTIONS!$F$64 * $F11)), 
AND(AU$36 = $G$18, AU$36 =ASSUMPTIONS!$G$60), $G25 * AU42 * ((ASSUMPTIONS!$G$63 * $I11) + (ASSUMPTIONS!$G$64 * $F11)), 
AND(AU$36 = $H$18, AU$36 =ASSUMPTIONS!$H$60), $H25 * AU42 * ((ASSUMPTIONS!$H$63 * $I11) + (ASSUMPTIONS!$H$64 * $F11)), 
TRUE, $I25 *AU42 * ((ASSUMPTIONS!$I$63 * $I11) + (ASSUMPTIONS!$I$64 * $F11))
)</f>
        <v>3592092.346</v>
      </c>
      <c r="AV52" s="153">
        <f t="array" ref="AV52">IFS(AND(AV$36 = $E$18, AV$36 =ASSUMPTIONS!$E$60), $E25 * AV42 * ((ASSUMPTIONS!$E$63 * $I11) + (ASSUMPTIONS!$E$64 * $F11)), 
AND(AV$36 = $F$18, AV$36 =ASSUMPTIONS!$F$60), $F25 * AV42 * ((ASSUMPTIONS!$F$63 * $I11) + (ASSUMPTIONS!$F$64 * $F11)), 
AND(AV$36 = $G$18, AV$36 =ASSUMPTIONS!$G$60), $G25 * AV42 * ((ASSUMPTIONS!$G$63 * $I11) + (ASSUMPTIONS!$G$64 * $F11)), 
AND(AV$36 = $H$18, AV$36 =ASSUMPTIONS!$H$60), $H25 * AV42 * ((ASSUMPTIONS!$H$63 * $I11) + (ASSUMPTIONS!$H$64 * $F11)), 
TRUE, $I25 *AV42 * ((ASSUMPTIONS!$I$63 * $I11) + (ASSUMPTIONS!$I$64 * $F11))
)</f>
        <v>3592092.346</v>
      </c>
      <c r="AW52" s="153">
        <f t="array" ref="AW52">IFS(AND(AW$36 = $E$18, AW$36 =ASSUMPTIONS!$E$60), $E25 * AW42 * ((ASSUMPTIONS!$E$63 * $I11) + (ASSUMPTIONS!$E$64 * $F11)), 
AND(AW$36 = $F$18, AW$36 =ASSUMPTIONS!$F$60), $F25 * AW42 * ((ASSUMPTIONS!$F$63 * $I11) + (ASSUMPTIONS!$F$64 * $F11)), 
AND(AW$36 = $G$18, AW$36 =ASSUMPTIONS!$G$60), $G25 * AW42 * ((ASSUMPTIONS!$G$63 * $I11) + (ASSUMPTIONS!$G$64 * $F11)), 
AND(AW$36 = $H$18, AW$36 =ASSUMPTIONS!$H$60), $H25 * AW42 * ((ASSUMPTIONS!$H$63 * $I11) + (ASSUMPTIONS!$H$64 * $F11)), 
TRUE, $I25 *AW42 * ((ASSUMPTIONS!$I$63 * $I11) + (ASSUMPTIONS!$I$64 * $F11))
)</f>
        <v>3592092.346</v>
      </c>
      <c r="AX52" s="153">
        <f t="array" ref="AX52">IFS(AND(AX$36 = $E$18, AX$36 =ASSUMPTIONS!$E$60), $E25 * AX42 * ((ASSUMPTIONS!$E$63 * $I11) + (ASSUMPTIONS!$E$64 * $F11)), 
AND(AX$36 = $F$18, AX$36 =ASSUMPTIONS!$F$60), $F25 * AX42 * ((ASSUMPTIONS!$F$63 * $I11) + (ASSUMPTIONS!$F$64 * $F11)), 
AND(AX$36 = $G$18, AX$36 =ASSUMPTIONS!$G$60), $G25 * AX42 * ((ASSUMPTIONS!$G$63 * $I11) + (ASSUMPTIONS!$G$64 * $F11)), 
AND(AX$36 = $H$18, AX$36 =ASSUMPTIONS!$H$60), $H25 * AX42 * ((ASSUMPTIONS!$H$63 * $I11) + (ASSUMPTIONS!$H$64 * $F11)), 
TRUE, $I25 *AX42 * ((ASSUMPTIONS!$I$63 * $I11) + (ASSUMPTIONS!$I$64 * $F11))
)</f>
        <v>3592092.346</v>
      </c>
      <c r="AY52" s="153">
        <f t="array" ref="AY52">IFS(AND(AY$36 = $E$18, AY$36 =ASSUMPTIONS!$E$60), $E25 * AY42 * ((ASSUMPTIONS!$E$63 * $I11) + (ASSUMPTIONS!$E$64 * $F11)), 
AND(AY$36 = $F$18, AY$36 =ASSUMPTIONS!$F$60), $F25 * AY42 * ((ASSUMPTIONS!$F$63 * $I11) + (ASSUMPTIONS!$F$64 * $F11)), 
AND(AY$36 = $G$18, AY$36 =ASSUMPTIONS!$G$60), $G25 * AY42 * ((ASSUMPTIONS!$G$63 * $I11) + (ASSUMPTIONS!$G$64 * $F11)), 
AND(AY$36 = $H$18, AY$36 =ASSUMPTIONS!$H$60), $H25 * AY42 * ((ASSUMPTIONS!$H$63 * $I11) + (ASSUMPTIONS!$H$64 * $F11)), 
TRUE, $I25 *AY42 * ((ASSUMPTIONS!$I$63 * $I11) + (ASSUMPTIONS!$I$64 * $F11))
)</f>
        <v>3592092.346</v>
      </c>
      <c r="AZ52" s="153">
        <f t="array" ref="AZ52">IFS(AND(AZ$36 = $E$18, AZ$36 =ASSUMPTIONS!$E$60), $E25 * AZ42 * ((ASSUMPTIONS!$E$63 * $I11) + (ASSUMPTIONS!$E$64 * $F11)), 
AND(AZ$36 = $F$18, AZ$36 =ASSUMPTIONS!$F$60), $F25 * AZ42 * ((ASSUMPTIONS!$F$63 * $I11) + (ASSUMPTIONS!$F$64 * $F11)), 
AND(AZ$36 = $G$18, AZ$36 =ASSUMPTIONS!$G$60), $G25 * AZ42 * ((ASSUMPTIONS!$G$63 * $I11) + (ASSUMPTIONS!$G$64 * $F11)), 
AND(AZ$36 = $H$18, AZ$36 =ASSUMPTIONS!$H$60), $H25 * AZ42 * ((ASSUMPTIONS!$H$63 * $I11) + (ASSUMPTIONS!$H$64 * $F11)), 
TRUE, $I25 *AZ42 * ((ASSUMPTIONS!$I$63 * $I11) + (ASSUMPTIONS!$I$64 * $F11))
)</f>
        <v>3592092.346</v>
      </c>
      <c r="BA52" s="153">
        <f t="array" ref="BA52">IFS(AND(BA$36 = $E$18, BA$36 =ASSUMPTIONS!$E$60), $E25 * BA42 * ((ASSUMPTIONS!$E$63 * $I11) + (ASSUMPTIONS!$E$64 * $F11)), 
AND(BA$36 = $F$18, BA$36 =ASSUMPTIONS!$F$60), $F25 * BA42 * ((ASSUMPTIONS!$F$63 * $I11) + (ASSUMPTIONS!$F$64 * $F11)), 
AND(BA$36 = $G$18, BA$36 =ASSUMPTIONS!$G$60), $G25 * BA42 * ((ASSUMPTIONS!$G$63 * $I11) + (ASSUMPTIONS!$G$64 * $F11)), 
AND(BA$36 = $H$18, BA$36 =ASSUMPTIONS!$H$60), $H25 * BA42 * ((ASSUMPTIONS!$H$63 * $I11) + (ASSUMPTIONS!$H$64 * $F11)), 
TRUE, $I25 *BA42 * ((ASSUMPTIONS!$I$63 * $I11) + (ASSUMPTIONS!$I$64 * $F11))
)</f>
        <v>3962485.935</v>
      </c>
      <c r="BB52" s="153">
        <f t="array" ref="BB52">IFS(AND(BB$36 = $E$18, BB$36 =ASSUMPTIONS!$E$60), $E25 * BB42 * ((ASSUMPTIONS!$E$63 * $I11) + (ASSUMPTIONS!$E$64 * $F11)), 
AND(BB$36 = $F$18, BB$36 =ASSUMPTIONS!$F$60), $F25 * BB42 * ((ASSUMPTIONS!$F$63 * $I11) + (ASSUMPTIONS!$F$64 * $F11)), 
AND(BB$36 = $G$18, BB$36 =ASSUMPTIONS!$G$60), $G25 * BB42 * ((ASSUMPTIONS!$G$63 * $I11) + (ASSUMPTIONS!$G$64 * $F11)), 
AND(BB$36 = $H$18, BB$36 =ASSUMPTIONS!$H$60), $H25 * BB42 * ((ASSUMPTIONS!$H$63 * $I11) + (ASSUMPTIONS!$H$64 * $F11)), 
TRUE, $I25 *BB42 * ((ASSUMPTIONS!$I$63 * $I11) + (ASSUMPTIONS!$I$64 * $F11))
)</f>
        <v>3962485.935</v>
      </c>
      <c r="BC52" s="153">
        <f t="array" ref="BC52">IFS(AND(BC$36 = $E$18, BC$36 =ASSUMPTIONS!$E$60), $E25 * BC42 * ((ASSUMPTIONS!$E$63 * $I11) + (ASSUMPTIONS!$E$64 * $F11)), 
AND(BC$36 = $F$18, BC$36 =ASSUMPTIONS!$F$60), $F25 * BC42 * ((ASSUMPTIONS!$F$63 * $I11) + (ASSUMPTIONS!$F$64 * $F11)), 
AND(BC$36 = $G$18, BC$36 =ASSUMPTIONS!$G$60), $G25 * BC42 * ((ASSUMPTIONS!$G$63 * $I11) + (ASSUMPTIONS!$G$64 * $F11)), 
AND(BC$36 = $H$18, BC$36 =ASSUMPTIONS!$H$60), $H25 * BC42 * ((ASSUMPTIONS!$H$63 * $I11) + (ASSUMPTIONS!$H$64 * $F11)), 
TRUE, $I25 *BC42 * ((ASSUMPTIONS!$I$63 * $I11) + (ASSUMPTIONS!$I$64 * $F11))
)</f>
        <v>3962485.935</v>
      </c>
      <c r="BD52" s="153">
        <f t="array" ref="BD52">IFS(AND(BD$36 = $E$18, BD$36 =ASSUMPTIONS!$E$60), $E25 * BD42 * ((ASSUMPTIONS!$E$63 * $I11) + (ASSUMPTIONS!$E$64 * $F11)), 
AND(BD$36 = $F$18, BD$36 =ASSUMPTIONS!$F$60), $F25 * BD42 * ((ASSUMPTIONS!$F$63 * $I11) + (ASSUMPTIONS!$F$64 * $F11)), 
AND(BD$36 = $G$18, BD$36 =ASSUMPTIONS!$G$60), $G25 * BD42 * ((ASSUMPTIONS!$G$63 * $I11) + (ASSUMPTIONS!$G$64 * $F11)), 
AND(BD$36 = $H$18, BD$36 =ASSUMPTIONS!$H$60), $H25 * BD42 * ((ASSUMPTIONS!$H$63 * $I11) + (ASSUMPTIONS!$H$64 * $F11)), 
TRUE, $I25 *BD42 * ((ASSUMPTIONS!$I$63 * $I11) + (ASSUMPTIONS!$I$64 * $F11))
)</f>
        <v>3962485.935</v>
      </c>
      <c r="BE52" s="153">
        <f t="array" ref="BE52">IFS(AND(BE$36 = $E$18, BE$36 =ASSUMPTIONS!$E$60), $E25 * BE42 * ((ASSUMPTIONS!$E$63 * $I11) + (ASSUMPTIONS!$E$64 * $F11)), 
AND(BE$36 = $F$18, BE$36 =ASSUMPTIONS!$F$60), $F25 * BE42 * ((ASSUMPTIONS!$F$63 * $I11) + (ASSUMPTIONS!$F$64 * $F11)), 
AND(BE$36 = $G$18, BE$36 =ASSUMPTIONS!$G$60), $G25 * BE42 * ((ASSUMPTIONS!$G$63 * $I11) + (ASSUMPTIONS!$G$64 * $F11)), 
AND(BE$36 = $H$18, BE$36 =ASSUMPTIONS!$H$60), $H25 * BE42 * ((ASSUMPTIONS!$H$63 * $I11) + (ASSUMPTIONS!$H$64 * $F11)), 
TRUE, $I25 *BE42 * ((ASSUMPTIONS!$I$63 * $I11) + (ASSUMPTIONS!$I$64 * $F11))
)</f>
        <v>3962485.935</v>
      </c>
      <c r="BF52" s="153">
        <f t="array" ref="BF52">IFS(AND(BF$36 = $E$18, BF$36 =ASSUMPTIONS!$E$60), $E25 * BF42 * ((ASSUMPTIONS!$E$63 * $I11) + (ASSUMPTIONS!$E$64 * $F11)), 
AND(BF$36 = $F$18, BF$36 =ASSUMPTIONS!$F$60), $F25 * BF42 * ((ASSUMPTIONS!$F$63 * $I11) + (ASSUMPTIONS!$F$64 * $F11)), 
AND(BF$36 = $G$18, BF$36 =ASSUMPTIONS!$G$60), $G25 * BF42 * ((ASSUMPTIONS!$G$63 * $I11) + (ASSUMPTIONS!$G$64 * $F11)), 
AND(BF$36 = $H$18, BF$36 =ASSUMPTIONS!$H$60), $H25 * BF42 * ((ASSUMPTIONS!$H$63 * $I11) + (ASSUMPTIONS!$H$64 * $F11)), 
TRUE, $I25 *BF42 * ((ASSUMPTIONS!$I$63 * $I11) + (ASSUMPTIONS!$I$64 * $F11))
)</f>
        <v>3962485.935</v>
      </c>
      <c r="BG52" s="153">
        <f t="array" ref="BG52">IFS(AND(BG$36 = $E$18, BG$36 =ASSUMPTIONS!$E$60), $E25 * BG42 * ((ASSUMPTIONS!$E$63 * $I11) + (ASSUMPTIONS!$E$64 * $F11)), 
AND(BG$36 = $F$18, BG$36 =ASSUMPTIONS!$F$60), $F25 * BG42 * ((ASSUMPTIONS!$F$63 * $I11) + (ASSUMPTIONS!$F$64 * $F11)), 
AND(BG$36 = $G$18, BG$36 =ASSUMPTIONS!$G$60), $G25 * BG42 * ((ASSUMPTIONS!$G$63 * $I11) + (ASSUMPTIONS!$G$64 * $F11)), 
AND(BG$36 = $H$18, BG$36 =ASSUMPTIONS!$H$60), $H25 * BG42 * ((ASSUMPTIONS!$H$63 * $I11) + (ASSUMPTIONS!$H$64 * $F11)), 
TRUE, $I25 *BG42 * ((ASSUMPTIONS!$I$63 * $I11) + (ASSUMPTIONS!$I$64 * $F11))
)</f>
        <v>3962485.935</v>
      </c>
      <c r="BH52" s="153">
        <f t="array" ref="BH52">IFS(AND(BH$36 = $E$18, BH$36 =ASSUMPTIONS!$E$60), $E25 * BH42 * ((ASSUMPTIONS!$E$63 * $I11) + (ASSUMPTIONS!$E$64 * $F11)), 
AND(BH$36 = $F$18, BH$36 =ASSUMPTIONS!$F$60), $F25 * BH42 * ((ASSUMPTIONS!$F$63 * $I11) + (ASSUMPTIONS!$F$64 * $F11)), 
AND(BH$36 = $G$18, BH$36 =ASSUMPTIONS!$G$60), $G25 * BH42 * ((ASSUMPTIONS!$G$63 * $I11) + (ASSUMPTIONS!$G$64 * $F11)), 
AND(BH$36 = $H$18, BH$36 =ASSUMPTIONS!$H$60), $H25 * BH42 * ((ASSUMPTIONS!$H$63 * $I11) + (ASSUMPTIONS!$H$64 * $F11)), 
TRUE, $I25 *BH42 * ((ASSUMPTIONS!$I$63 * $I11) + (ASSUMPTIONS!$I$64 * $F11))
)</f>
        <v>3962485.935</v>
      </c>
      <c r="BI52" s="153">
        <f t="array" ref="BI52">IFS(AND(BI$36 = $E$18, BI$36 =ASSUMPTIONS!$E$60), $E25 * BI42 * ((ASSUMPTIONS!$E$63 * $I11) + (ASSUMPTIONS!$E$64 * $F11)), 
AND(BI$36 = $F$18, BI$36 =ASSUMPTIONS!$F$60), $F25 * BI42 * ((ASSUMPTIONS!$F$63 * $I11) + (ASSUMPTIONS!$F$64 * $F11)), 
AND(BI$36 = $G$18, BI$36 =ASSUMPTIONS!$G$60), $G25 * BI42 * ((ASSUMPTIONS!$G$63 * $I11) + (ASSUMPTIONS!$G$64 * $F11)), 
AND(BI$36 = $H$18, BI$36 =ASSUMPTIONS!$H$60), $H25 * BI42 * ((ASSUMPTIONS!$H$63 * $I11) + (ASSUMPTIONS!$H$64 * $F11)), 
TRUE, $I25 *BI42 * ((ASSUMPTIONS!$I$63 * $I11) + (ASSUMPTIONS!$I$64 * $F11))
)</f>
        <v>3962485.935</v>
      </c>
      <c r="BJ52" s="153">
        <f t="array" ref="BJ52">IFS(AND(BJ$36 = $E$18, BJ$36 =ASSUMPTIONS!$E$60), $E25 * BJ42 * ((ASSUMPTIONS!$E$63 * $I11) + (ASSUMPTIONS!$E$64 * $F11)), 
AND(BJ$36 = $F$18, BJ$36 =ASSUMPTIONS!$F$60), $F25 * BJ42 * ((ASSUMPTIONS!$F$63 * $I11) + (ASSUMPTIONS!$F$64 * $F11)), 
AND(BJ$36 = $G$18, BJ$36 =ASSUMPTIONS!$G$60), $G25 * BJ42 * ((ASSUMPTIONS!$G$63 * $I11) + (ASSUMPTIONS!$G$64 * $F11)), 
AND(BJ$36 = $H$18, BJ$36 =ASSUMPTIONS!$H$60), $H25 * BJ42 * ((ASSUMPTIONS!$H$63 * $I11) + (ASSUMPTIONS!$H$64 * $F11)), 
TRUE, $I25 *BJ42 * ((ASSUMPTIONS!$I$63 * $I11) + (ASSUMPTIONS!$I$64 * $F11))
)</f>
        <v>3962485.935</v>
      </c>
      <c r="BK52" s="153">
        <f t="array" ref="BK52">IFS(AND(BK$36 = $E$18, BK$36 =ASSUMPTIONS!$E$60), $E25 * BK42 * ((ASSUMPTIONS!$E$63 * $I11) + (ASSUMPTIONS!$E$64 * $F11)), 
AND(BK$36 = $F$18, BK$36 =ASSUMPTIONS!$F$60), $F25 * BK42 * ((ASSUMPTIONS!$F$63 * $I11) + (ASSUMPTIONS!$F$64 * $F11)), 
AND(BK$36 = $G$18, BK$36 =ASSUMPTIONS!$G$60), $G25 * BK42 * ((ASSUMPTIONS!$G$63 * $I11) + (ASSUMPTIONS!$G$64 * $F11)), 
AND(BK$36 = $H$18, BK$36 =ASSUMPTIONS!$H$60), $H25 * BK42 * ((ASSUMPTIONS!$H$63 * $I11) + (ASSUMPTIONS!$H$64 * $F11)), 
TRUE, $I25 *BK42 * ((ASSUMPTIONS!$I$63 * $I11) + (ASSUMPTIONS!$I$64 * $F11))
)</f>
        <v>3962485.935</v>
      </c>
      <c r="BL52" s="153">
        <f t="array" ref="BL52">IFS(AND(BL$36 = $E$18, BL$36 =ASSUMPTIONS!$E$60), $E25 * BL42 * ((ASSUMPTIONS!$E$63 * $I11) + (ASSUMPTIONS!$E$64 * $F11)), 
AND(BL$36 = $F$18, BL$36 =ASSUMPTIONS!$F$60), $F25 * BL42 * ((ASSUMPTIONS!$F$63 * $I11) + (ASSUMPTIONS!$F$64 * $F11)), 
AND(BL$36 = $G$18, BL$36 =ASSUMPTIONS!$G$60), $G25 * BL42 * ((ASSUMPTIONS!$G$63 * $I11) + (ASSUMPTIONS!$G$64 * $F11)), 
AND(BL$36 = $H$18, BL$36 =ASSUMPTIONS!$H$60), $H25 * BL42 * ((ASSUMPTIONS!$H$63 * $I11) + (ASSUMPTIONS!$H$64 * $F11)), 
TRUE, $I25 *BL42 * ((ASSUMPTIONS!$I$63 * $I11) + (ASSUMPTIONS!$I$64 * $F11))
)</f>
        <v>3962485.935</v>
      </c>
    </row>
    <row r="53" ht="15.75" customHeight="1">
      <c r="D53" s="35" t="s">
        <v>42</v>
      </c>
      <c r="E53" s="153">
        <f t="array" ref="E53">IFS(AND(E$36 = $E$18, E$36 =ASSUMPTIONS!$E$60), $E26 * E43 * ((ASSUMPTIONS!$E$63 * $I12) + (ASSUMPTIONS!$E$64 * $F12)), 
AND(E$36 = $F$18, E$36 =ASSUMPTIONS!$F$60), $F26 * E43 * ((ASSUMPTIONS!$F$63 * $I12) + (ASSUMPTIONS!$F$64 * $F12)), 
AND(E$36 = $G$18, E$36 =ASSUMPTIONS!$G$60), $G26 * E43 * ((ASSUMPTIONS!$G$63 * $I12) + (ASSUMPTIONS!$G$64 * $F12)), 
AND(E$36 = $H$18, E$36 =ASSUMPTIONS!$H$60), $H26 * E43 * ((ASSUMPTIONS!$H$63 * $I12) + (ASSUMPTIONS!$H$64 * $F12)), 
TRUE, $I26 *E43 * ((ASSUMPTIONS!$I$63 * $I12) + (ASSUMPTIONS!$I$64 * $F12))
)</f>
        <v>0</v>
      </c>
      <c r="F53" s="153">
        <f t="array" ref="F53">IFS(AND(F$36 = $E$18, F$36 =ASSUMPTIONS!$E$60), $E26 * F43 * ((ASSUMPTIONS!$E$63 * $I12) + (ASSUMPTIONS!$E$64 * $F12)), 
AND(F$36 = $F$18, F$36 =ASSUMPTIONS!$F$60), $F26 * F43 * ((ASSUMPTIONS!$F$63 * $I12) + (ASSUMPTIONS!$F$64 * $F12)), 
AND(F$36 = $G$18, F$36 =ASSUMPTIONS!$G$60), $G26 * F43 * ((ASSUMPTIONS!$G$63 * $I12) + (ASSUMPTIONS!$G$64 * $F12)), 
AND(F$36 = $H$18, F$36 =ASSUMPTIONS!$H$60), $H26 * F43 * ((ASSUMPTIONS!$H$63 * $I12) + (ASSUMPTIONS!$H$64 * $F12)), 
TRUE, $I26 *F43 * ((ASSUMPTIONS!$I$63 * $I12) + (ASSUMPTIONS!$I$64 * $F12))
)</f>
        <v>0</v>
      </c>
      <c r="G53" s="153">
        <f t="array" ref="G53">IFS(AND(G$36 = $E$18, G$36 =ASSUMPTIONS!$E$60), $E26 * G43 * ((ASSUMPTIONS!$E$63 * $I12) + (ASSUMPTIONS!$E$64 * $F12)), 
AND(G$36 = $F$18, G$36 =ASSUMPTIONS!$F$60), $F26 * G43 * ((ASSUMPTIONS!$F$63 * $I12) + (ASSUMPTIONS!$F$64 * $F12)), 
AND(G$36 = $G$18, G$36 =ASSUMPTIONS!$G$60), $G26 * G43 * ((ASSUMPTIONS!$G$63 * $I12) + (ASSUMPTIONS!$G$64 * $F12)), 
AND(G$36 = $H$18, G$36 =ASSUMPTIONS!$H$60), $H26 * G43 * ((ASSUMPTIONS!$H$63 * $I12) + (ASSUMPTIONS!$H$64 * $F12)), 
TRUE, $I26 *G43 * ((ASSUMPTIONS!$I$63 * $I12) + (ASSUMPTIONS!$I$64 * $F12))
)</f>
        <v>0</v>
      </c>
      <c r="H53" s="153">
        <f t="array" ref="H53">IFS(AND(H$36 = $E$18, H$36 =ASSUMPTIONS!$E$60), $E26 * H43 * ((ASSUMPTIONS!$E$63 * $I12) + (ASSUMPTIONS!$E$64 * $F12)), 
AND(H$36 = $F$18, H$36 =ASSUMPTIONS!$F$60), $F26 * H43 * ((ASSUMPTIONS!$F$63 * $I12) + (ASSUMPTIONS!$F$64 * $F12)), 
AND(H$36 = $G$18, H$36 =ASSUMPTIONS!$G$60), $G26 * H43 * ((ASSUMPTIONS!$G$63 * $I12) + (ASSUMPTIONS!$G$64 * $F12)), 
AND(H$36 = $H$18, H$36 =ASSUMPTIONS!$H$60), $H26 * H43 * ((ASSUMPTIONS!$H$63 * $I12) + (ASSUMPTIONS!$H$64 * $F12)), 
TRUE, $I26 *H43 * ((ASSUMPTIONS!$I$63 * $I12) + (ASSUMPTIONS!$I$64 * $F12))
)</f>
        <v>0</v>
      </c>
      <c r="I53" s="153">
        <f t="array" ref="I53">IFS(AND(I$36 = $E$18, I$36 =ASSUMPTIONS!$E$60), $E26 * I43 * ((ASSUMPTIONS!$E$63 * $I12) + (ASSUMPTIONS!$E$64 * $F12)), 
AND(I$36 = $F$18, I$36 =ASSUMPTIONS!$F$60), $F26 * I43 * ((ASSUMPTIONS!$F$63 * $I12) + (ASSUMPTIONS!$F$64 * $F12)), 
AND(I$36 = $G$18, I$36 =ASSUMPTIONS!$G$60), $G26 * I43 * ((ASSUMPTIONS!$G$63 * $I12) + (ASSUMPTIONS!$G$64 * $F12)), 
AND(I$36 = $H$18, I$36 =ASSUMPTIONS!$H$60), $H26 * I43 * ((ASSUMPTIONS!$H$63 * $I12) + (ASSUMPTIONS!$H$64 * $F12)), 
TRUE, $I26 *I43 * ((ASSUMPTIONS!$I$63 * $I12) + (ASSUMPTIONS!$I$64 * $F12))
)</f>
        <v>0</v>
      </c>
      <c r="J53" s="153">
        <f t="array" ref="J53">IFS(AND(J$36 = $E$18, J$36 =ASSUMPTIONS!$E$60), $E26 * J43 * ((ASSUMPTIONS!$E$63 * $I12) + (ASSUMPTIONS!$E$64 * $F12)), 
AND(J$36 = $F$18, J$36 =ASSUMPTIONS!$F$60), $F26 * J43 * ((ASSUMPTIONS!$F$63 * $I12) + (ASSUMPTIONS!$F$64 * $F12)), 
AND(J$36 = $G$18, J$36 =ASSUMPTIONS!$G$60), $G26 * J43 * ((ASSUMPTIONS!$G$63 * $I12) + (ASSUMPTIONS!$G$64 * $F12)), 
AND(J$36 = $H$18, J$36 =ASSUMPTIONS!$H$60), $H26 * J43 * ((ASSUMPTIONS!$H$63 * $I12) + (ASSUMPTIONS!$H$64 * $F12)), 
TRUE, $I26 *J43 * ((ASSUMPTIONS!$I$63 * $I12) + (ASSUMPTIONS!$I$64 * $F12))
)</f>
        <v>0</v>
      </c>
      <c r="K53" s="153">
        <f t="array" ref="K53">IFS(AND(K$36 = $E$18, K$36 =ASSUMPTIONS!$E$60), $E26 * K43 * ((ASSUMPTIONS!$E$63 * $I12) + (ASSUMPTIONS!$E$64 * $F12)), 
AND(K$36 = $F$18, K$36 =ASSUMPTIONS!$F$60), $F26 * K43 * ((ASSUMPTIONS!$F$63 * $I12) + (ASSUMPTIONS!$F$64 * $F12)), 
AND(K$36 = $G$18, K$36 =ASSUMPTIONS!$G$60), $G26 * K43 * ((ASSUMPTIONS!$G$63 * $I12) + (ASSUMPTIONS!$G$64 * $F12)), 
AND(K$36 = $H$18, K$36 =ASSUMPTIONS!$H$60), $H26 * K43 * ((ASSUMPTIONS!$H$63 * $I12) + (ASSUMPTIONS!$H$64 * $F12)), 
TRUE, $I26 *K43 * ((ASSUMPTIONS!$I$63 * $I12) + (ASSUMPTIONS!$I$64 * $F12))
)</f>
        <v>410343.84</v>
      </c>
      <c r="L53" s="153">
        <f t="array" ref="L53">IFS(AND(L$36 = $E$18, L$36 =ASSUMPTIONS!$E$60), $E26 * L43 * ((ASSUMPTIONS!$E$63 * $I12) + (ASSUMPTIONS!$E$64 * $F12)), 
AND(L$36 = $F$18, L$36 =ASSUMPTIONS!$F$60), $F26 * L43 * ((ASSUMPTIONS!$F$63 * $I12) + (ASSUMPTIONS!$F$64 * $F12)), 
AND(L$36 = $G$18, L$36 =ASSUMPTIONS!$G$60), $G26 * L43 * ((ASSUMPTIONS!$G$63 * $I12) + (ASSUMPTIONS!$G$64 * $F12)), 
AND(L$36 = $H$18, L$36 =ASSUMPTIONS!$H$60), $H26 * L43 * ((ASSUMPTIONS!$H$63 * $I12) + (ASSUMPTIONS!$H$64 * $F12)), 
TRUE, $I26 *L43 * ((ASSUMPTIONS!$I$63 * $I12) + (ASSUMPTIONS!$I$64 * $F12))
)</f>
        <v>410343.84</v>
      </c>
      <c r="M53" s="153">
        <f t="array" ref="M53">IFS(AND(M$36 = $E$18, M$36 =ASSUMPTIONS!$E$60), $E26 * M43 * ((ASSUMPTIONS!$E$63 * $I12) + (ASSUMPTIONS!$E$64 * $F12)), 
AND(M$36 = $F$18, M$36 =ASSUMPTIONS!$F$60), $F26 * M43 * ((ASSUMPTIONS!$F$63 * $I12) + (ASSUMPTIONS!$F$64 * $F12)), 
AND(M$36 = $G$18, M$36 =ASSUMPTIONS!$G$60), $G26 * M43 * ((ASSUMPTIONS!$G$63 * $I12) + (ASSUMPTIONS!$G$64 * $F12)), 
AND(M$36 = $H$18, M$36 =ASSUMPTIONS!$H$60), $H26 * M43 * ((ASSUMPTIONS!$H$63 * $I12) + (ASSUMPTIONS!$H$64 * $F12)), 
TRUE, $I26 *M43 * ((ASSUMPTIONS!$I$63 * $I12) + (ASSUMPTIONS!$I$64 * $F12))
)</f>
        <v>410343.84</v>
      </c>
      <c r="N53" s="153">
        <f t="array" ref="N53">IFS(AND(N$36 = $E$18, N$36 =ASSUMPTIONS!$E$60), $E26 * N43 * ((ASSUMPTIONS!$E$63 * $I12) + (ASSUMPTIONS!$E$64 * $F12)), 
AND(N$36 = $F$18, N$36 =ASSUMPTIONS!$F$60), $F26 * N43 * ((ASSUMPTIONS!$F$63 * $I12) + (ASSUMPTIONS!$F$64 * $F12)), 
AND(N$36 = $G$18, N$36 =ASSUMPTIONS!$G$60), $G26 * N43 * ((ASSUMPTIONS!$G$63 * $I12) + (ASSUMPTIONS!$G$64 * $F12)), 
AND(N$36 = $H$18, N$36 =ASSUMPTIONS!$H$60), $H26 * N43 * ((ASSUMPTIONS!$H$63 * $I12) + (ASSUMPTIONS!$H$64 * $F12)), 
TRUE, $I26 *N43 * ((ASSUMPTIONS!$I$63 * $I12) + (ASSUMPTIONS!$I$64 * $F12))
)</f>
        <v>410343.84</v>
      </c>
      <c r="O53" s="153">
        <f t="array" ref="O53">IFS(AND(O$36 = $E$18, O$36 =ASSUMPTIONS!$E$60), $E26 * O43 * ((ASSUMPTIONS!$E$63 * $I12) + (ASSUMPTIONS!$E$64 * $F12)), 
AND(O$36 = $F$18, O$36 =ASSUMPTIONS!$F$60), $F26 * O43 * ((ASSUMPTIONS!$F$63 * $I12) + (ASSUMPTIONS!$F$64 * $F12)), 
AND(O$36 = $G$18, O$36 =ASSUMPTIONS!$G$60), $G26 * O43 * ((ASSUMPTIONS!$G$63 * $I12) + (ASSUMPTIONS!$G$64 * $F12)), 
AND(O$36 = $H$18, O$36 =ASSUMPTIONS!$H$60), $H26 * O43 * ((ASSUMPTIONS!$H$63 * $I12) + (ASSUMPTIONS!$H$64 * $F12)), 
TRUE, $I26 *O43 * ((ASSUMPTIONS!$I$63 * $I12) + (ASSUMPTIONS!$I$64 * $F12))
)</f>
        <v>410343.84</v>
      </c>
      <c r="P53" s="153">
        <f t="array" ref="P53">IFS(AND(P$36 = $E$18, P$36 =ASSUMPTIONS!$E$60), $E26 * P43 * ((ASSUMPTIONS!$E$63 * $I12) + (ASSUMPTIONS!$E$64 * $F12)), 
AND(P$36 = $F$18, P$36 =ASSUMPTIONS!$F$60), $F26 * P43 * ((ASSUMPTIONS!$F$63 * $I12) + (ASSUMPTIONS!$F$64 * $F12)), 
AND(P$36 = $G$18, P$36 =ASSUMPTIONS!$G$60), $G26 * P43 * ((ASSUMPTIONS!$G$63 * $I12) + (ASSUMPTIONS!$G$64 * $F12)), 
AND(P$36 = $H$18, P$36 =ASSUMPTIONS!$H$60), $H26 * P43 * ((ASSUMPTIONS!$H$63 * $I12) + (ASSUMPTIONS!$H$64 * $F12)), 
TRUE, $I26 *P43 * ((ASSUMPTIONS!$I$63 * $I12) + (ASSUMPTIONS!$I$64 * $F12))
)</f>
        <v>410343.84</v>
      </c>
      <c r="Q53" s="153">
        <f t="array" ref="Q53">IFS(AND(Q$36 = $E$18, Q$36 =ASSUMPTIONS!$E$60), $E26 * Q43 * ((ASSUMPTIONS!$E$63 * $I12) + (ASSUMPTIONS!$E$64 * $F12)), 
AND(Q$36 = $F$18, Q$36 =ASSUMPTIONS!$F$60), $F26 * Q43 * ((ASSUMPTIONS!$F$63 * $I12) + (ASSUMPTIONS!$F$64 * $F12)), 
AND(Q$36 = $G$18, Q$36 =ASSUMPTIONS!$G$60), $G26 * Q43 * ((ASSUMPTIONS!$G$63 * $I12) + (ASSUMPTIONS!$G$64 * $F12)), 
AND(Q$36 = $H$18, Q$36 =ASSUMPTIONS!$H$60), $H26 * Q43 * ((ASSUMPTIONS!$H$63 * $I12) + (ASSUMPTIONS!$H$64 * $F12)), 
TRUE, $I26 *Q43 * ((ASSUMPTIONS!$I$63 * $I12) + (ASSUMPTIONS!$I$64 * $F12))
)</f>
        <v>435966.9804</v>
      </c>
      <c r="R53" s="153">
        <f t="array" ref="R53">IFS(AND(R$36 = $E$18, R$36 =ASSUMPTIONS!$E$60), $E26 * R43 * ((ASSUMPTIONS!$E$63 * $I12) + (ASSUMPTIONS!$E$64 * $F12)), 
AND(R$36 = $F$18, R$36 =ASSUMPTIONS!$F$60), $F26 * R43 * ((ASSUMPTIONS!$F$63 * $I12) + (ASSUMPTIONS!$F$64 * $F12)), 
AND(R$36 = $G$18, R$36 =ASSUMPTIONS!$G$60), $G26 * R43 * ((ASSUMPTIONS!$G$63 * $I12) + (ASSUMPTIONS!$G$64 * $F12)), 
AND(R$36 = $H$18, R$36 =ASSUMPTIONS!$H$60), $H26 * R43 * ((ASSUMPTIONS!$H$63 * $I12) + (ASSUMPTIONS!$H$64 * $F12)), 
TRUE, $I26 *R43 * ((ASSUMPTIONS!$I$63 * $I12) + (ASSUMPTIONS!$I$64 * $F12))
)</f>
        <v>435966.9804</v>
      </c>
      <c r="S53" s="153">
        <f t="array" ref="S53">IFS(AND(S$36 = $E$18, S$36 =ASSUMPTIONS!$E$60), $E26 * S43 * ((ASSUMPTIONS!$E$63 * $I12) + (ASSUMPTIONS!$E$64 * $F12)), 
AND(S$36 = $F$18, S$36 =ASSUMPTIONS!$F$60), $F26 * S43 * ((ASSUMPTIONS!$F$63 * $I12) + (ASSUMPTIONS!$F$64 * $F12)), 
AND(S$36 = $G$18, S$36 =ASSUMPTIONS!$G$60), $G26 * S43 * ((ASSUMPTIONS!$G$63 * $I12) + (ASSUMPTIONS!$G$64 * $F12)), 
AND(S$36 = $H$18, S$36 =ASSUMPTIONS!$H$60), $H26 * S43 * ((ASSUMPTIONS!$H$63 * $I12) + (ASSUMPTIONS!$H$64 * $F12)), 
TRUE, $I26 *S43 * ((ASSUMPTIONS!$I$63 * $I12) + (ASSUMPTIONS!$I$64 * $F12))
)</f>
        <v>435966.9804</v>
      </c>
      <c r="T53" s="153">
        <f t="array" ref="T53">IFS(AND(T$36 = $E$18, T$36 =ASSUMPTIONS!$E$60), $E26 * T43 * ((ASSUMPTIONS!$E$63 * $I12) + (ASSUMPTIONS!$E$64 * $F12)), 
AND(T$36 = $F$18, T$36 =ASSUMPTIONS!$F$60), $F26 * T43 * ((ASSUMPTIONS!$F$63 * $I12) + (ASSUMPTIONS!$F$64 * $F12)), 
AND(T$36 = $G$18, T$36 =ASSUMPTIONS!$G$60), $G26 * T43 * ((ASSUMPTIONS!$G$63 * $I12) + (ASSUMPTIONS!$G$64 * $F12)), 
AND(T$36 = $H$18, T$36 =ASSUMPTIONS!$H$60), $H26 * T43 * ((ASSUMPTIONS!$H$63 * $I12) + (ASSUMPTIONS!$H$64 * $F12)), 
TRUE, $I26 *T43 * ((ASSUMPTIONS!$I$63 * $I12) + (ASSUMPTIONS!$I$64 * $F12))
)</f>
        <v>435966.9804</v>
      </c>
      <c r="U53" s="153">
        <f t="array" ref="U53">IFS(AND(U$36 = $E$18, U$36 =ASSUMPTIONS!$E$60), $E26 * U43 * ((ASSUMPTIONS!$E$63 * $I12) + (ASSUMPTIONS!$E$64 * $F12)), 
AND(U$36 = $F$18, U$36 =ASSUMPTIONS!$F$60), $F26 * U43 * ((ASSUMPTIONS!$F$63 * $I12) + (ASSUMPTIONS!$F$64 * $F12)), 
AND(U$36 = $G$18, U$36 =ASSUMPTIONS!$G$60), $G26 * U43 * ((ASSUMPTIONS!$G$63 * $I12) + (ASSUMPTIONS!$G$64 * $F12)), 
AND(U$36 = $H$18, U$36 =ASSUMPTIONS!$H$60), $H26 * U43 * ((ASSUMPTIONS!$H$63 * $I12) + (ASSUMPTIONS!$H$64 * $F12)), 
TRUE, $I26 *U43 * ((ASSUMPTIONS!$I$63 * $I12) + (ASSUMPTIONS!$I$64 * $F12))
)</f>
        <v>435966.9804</v>
      </c>
      <c r="V53" s="153">
        <f t="array" ref="V53">IFS(AND(V$36 = $E$18, V$36 =ASSUMPTIONS!$E$60), $E26 * V43 * ((ASSUMPTIONS!$E$63 * $I12) + (ASSUMPTIONS!$E$64 * $F12)), 
AND(V$36 = $F$18, V$36 =ASSUMPTIONS!$F$60), $F26 * V43 * ((ASSUMPTIONS!$F$63 * $I12) + (ASSUMPTIONS!$F$64 * $F12)), 
AND(V$36 = $G$18, V$36 =ASSUMPTIONS!$G$60), $G26 * V43 * ((ASSUMPTIONS!$G$63 * $I12) + (ASSUMPTIONS!$G$64 * $F12)), 
AND(V$36 = $H$18, V$36 =ASSUMPTIONS!$H$60), $H26 * V43 * ((ASSUMPTIONS!$H$63 * $I12) + (ASSUMPTIONS!$H$64 * $F12)), 
TRUE, $I26 *V43 * ((ASSUMPTIONS!$I$63 * $I12) + (ASSUMPTIONS!$I$64 * $F12))
)</f>
        <v>435966.9804</v>
      </c>
      <c r="W53" s="153">
        <f t="array" ref="W53">IFS(AND(W$36 = $E$18, W$36 =ASSUMPTIONS!$E$60), $E26 * W43 * ((ASSUMPTIONS!$E$63 * $I12) + (ASSUMPTIONS!$E$64 * $F12)), 
AND(W$36 = $F$18, W$36 =ASSUMPTIONS!$F$60), $F26 * W43 * ((ASSUMPTIONS!$F$63 * $I12) + (ASSUMPTIONS!$F$64 * $F12)), 
AND(W$36 = $G$18, W$36 =ASSUMPTIONS!$G$60), $G26 * W43 * ((ASSUMPTIONS!$G$63 * $I12) + (ASSUMPTIONS!$G$64 * $F12)), 
AND(W$36 = $H$18, W$36 =ASSUMPTIONS!$H$60), $H26 * W43 * ((ASSUMPTIONS!$H$63 * $I12) + (ASSUMPTIONS!$H$64 * $F12)), 
TRUE, $I26 *W43 * ((ASSUMPTIONS!$I$63 * $I12) + (ASSUMPTIONS!$I$64 * $F12))
)</f>
        <v>435966.9804</v>
      </c>
      <c r="X53" s="153">
        <f t="array" ref="X53">IFS(AND(X$36 = $E$18, X$36 =ASSUMPTIONS!$E$60), $E26 * X43 * ((ASSUMPTIONS!$E$63 * $I12) + (ASSUMPTIONS!$E$64 * $F12)), 
AND(X$36 = $F$18, X$36 =ASSUMPTIONS!$F$60), $F26 * X43 * ((ASSUMPTIONS!$F$63 * $I12) + (ASSUMPTIONS!$F$64 * $F12)), 
AND(X$36 = $G$18, X$36 =ASSUMPTIONS!$G$60), $G26 * X43 * ((ASSUMPTIONS!$G$63 * $I12) + (ASSUMPTIONS!$G$64 * $F12)), 
AND(X$36 = $H$18, X$36 =ASSUMPTIONS!$H$60), $H26 * X43 * ((ASSUMPTIONS!$H$63 * $I12) + (ASSUMPTIONS!$H$64 * $F12)), 
TRUE, $I26 *X43 * ((ASSUMPTIONS!$I$63 * $I12) + (ASSUMPTIONS!$I$64 * $F12))
)</f>
        <v>435966.9804</v>
      </c>
      <c r="Y53" s="153">
        <f t="array" ref="Y53">IFS(AND(Y$36 = $E$18, Y$36 =ASSUMPTIONS!$E$60), $E26 * Y43 * ((ASSUMPTIONS!$E$63 * $I12) + (ASSUMPTIONS!$E$64 * $F12)), 
AND(Y$36 = $F$18, Y$36 =ASSUMPTIONS!$F$60), $F26 * Y43 * ((ASSUMPTIONS!$F$63 * $I12) + (ASSUMPTIONS!$F$64 * $F12)), 
AND(Y$36 = $G$18, Y$36 =ASSUMPTIONS!$G$60), $G26 * Y43 * ((ASSUMPTIONS!$G$63 * $I12) + (ASSUMPTIONS!$G$64 * $F12)), 
AND(Y$36 = $H$18, Y$36 =ASSUMPTIONS!$H$60), $H26 * Y43 * ((ASSUMPTIONS!$H$63 * $I12) + (ASSUMPTIONS!$H$64 * $F12)), 
TRUE, $I26 *Y43 * ((ASSUMPTIONS!$I$63 * $I12) + (ASSUMPTIONS!$I$64 * $F12))
)</f>
        <v>435966.9804</v>
      </c>
      <c r="Z53" s="153">
        <f t="array" ref="Z53">IFS(AND(Z$36 = $E$18, Z$36 =ASSUMPTIONS!$E$60), $E26 * Z43 * ((ASSUMPTIONS!$E$63 * $I12) + (ASSUMPTIONS!$E$64 * $F12)), 
AND(Z$36 = $F$18, Z$36 =ASSUMPTIONS!$F$60), $F26 * Z43 * ((ASSUMPTIONS!$F$63 * $I12) + (ASSUMPTIONS!$F$64 * $F12)), 
AND(Z$36 = $G$18, Z$36 =ASSUMPTIONS!$G$60), $G26 * Z43 * ((ASSUMPTIONS!$G$63 * $I12) + (ASSUMPTIONS!$G$64 * $F12)), 
AND(Z$36 = $H$18, Z$36 =ASSUMPTIONS!$H$60), $H26 * Z43 * ((ASSUMPTIONS!$H$63 * $I12) + (ASSUMPTIONS!$H$64 * $F12)), 
TRUE, $I26 *Z43 * ((ASSUMPTIONS!$I$63 * $I12) + (ASSUMPTIONS!$I$64 * $F12))
)</f>
        <v>435966.9804</v>
      </c>
      <c r="AA53" s="153">
        <f t="array" ref="AA53">IFS(AND(AA$36 = $E$18, AA$36 =ASSUMPTIONS!$E$60), $E26 * AA43 * ((ASSUMPTIONS!$E$63 * $I12) + (ASSUMPTIONS!$E$64 * $F12)), 
AND(AA$36 = $F$18, AA$36 =ASSUMPTIONS!$F$60), $F26 * AA43 * ((ASSUMPTIONS!$F$63 * $I12) + (ASSUMPTIONS!$F$64 * $F12)), 
AND(AA$36 = $G$18, AA$36 =ASSUMPTIONS!$G$60), $G26 * AA43 * ((ASSUMPTIONS!$G$63 * $I12) + (ASSUMPTIONS!$G$64 * $F12)), 
AND(AA$36 = $H$18, AA$36 =ASSUMPTIONS!$H$60), $H26 * AA43 * ((ASSUMPTIONS!$H$63 * $I12) + (ASSUMPTIONS!$H$64 * $F12)), 
TRUE, $I26 *AA43 * ((ASSUMPTIONS!$I$63 * $I12) + (ASSUMPTIONS!$I$64 * $F12))
)</f>
        <v>435966.9804</v>
      </c>
      <c r="AB53" s="153">
        <f t="array" ref="AB53">IFS(AND(AB$36 = $E$18, AB$36 =ASSUMPTIONS!$E$60), $E26 * AB43 * ((ASSUMPTIONS!$E$63 * $I12) + (ASSUMPTIONS!$E$64 * $F12)), 
AND(AB$36 = $F$18, AB$36 =ASSUMPTIONS!$F$60), $F26 * AB43 * ((ASSUMPTIONS!$F$63 * $I12) + (ASSUMPTIONS!$F$64 * $F12)), 
AND(AB$36 = $G$18, AB$36 =ASSUMPTIONS!$G$60), $G26 * AB43 * ((ASSUMPTIONS!$G$63 * $I12) + (ASSUMPTIONS!$G$64 * $F12)), 
AND(AB$36 = $H$18, AB$36 =ASSUMPTIONS!$H$60), $H26 * AB43 * ((ASSUMPTIONS!$H$63 * $I12) + (ASSUMPTIONS!$H$64 * $F12)), 
TRUE, $I26 *AB43 * ((ASSUMPTIONS!$I$63 * $I12) + (ASSUMPTIONS!$I$64 * $F12))
)</f>
        <v>435966.9804</v>
      </c>
      <c r="AC53" s="153">
        <f t="array" ref="AC53">IFS(AND(AC$36 = $E$18, AC$36 =ASSUMPTIONS!$E$60), $E26 * AC43 * ((ASSUMPTIONS!$E$63 * $I12) + (ASSUMPTIONS!$E$64 * $F12)), 
AND(AC$36 = $F$18, AC$36 =ASSUMPTIONS!$F$60), $F26 * AC43 * ((ASSUMPTIONS!$F$63 * $I12) + (ASSUMPTIONS!$F$64 * $F12)), 
AND(AC$36 = $G$18, AC$36 =ASSUMPTIONS!$G$60), $G26 * AC43 * ((ASSUMPTIONS!$G$63 * $I12) + (ASSUMPTIONS!$G$64 * $F12)), 
AND(AC$36 = $H$18, AC$36 =ASSUMPTIONS!$H$60), $H26 * AC43 * ((ASSUMPTIONS!$H$63 * $I12) + (ASSUMPTIONS!$H$64 * $F12)), 
TRUE, $I26 *AC43 * ((ASSUMPTIONS!$I$63 * $I12) + (ASSUMPTIONS!$I$64 * $F12))
)</f>
        <v>936975.6421</v>
      </c>
      <c r="AD53" s="153">
        <f t="array" ref="AD53">IFS(AND(AD$36 = $E$18, AD$36 =ASSUMPTIONS!$E$60), $E26 * AD43 * ((ASSUMPTIONS!$E$63 * $I12) + (ASSUMPTIONS!$E$64 * $F12)), 
AND(AD$36 = $F$18, AD$36 =ASSUMPTIONS!$F$60), $F26 * AD43 * ((ASSUMPTIONS!$F$63 * $I12) + (ASSUMPTIONS!$F$64 * $F12)), 
AND(AD$36 = $G$18, AD$36 =ASSUMPTIONS!$G$60), $G26 * AD43 * ((ASSUMPTIONS!$G$63 * $I12) + (ASSUMPTIONS!$G$64 * $F12)), 
AND(AD$36 = $H$18, AD$36 =ASSUMPTIONS!$H$60), $H26 * AD43 * ((ASSUMPTIONS!$H$63 * $I12) + (ASSUMPTIONS!$H$64 * $F12)), 
TRUE, $I26 *AD43 * ((ASSUMPTIONS!$I$63 * $I12) + (ASSUMPTIONS!$I$64 * $F12))
)</f>
        <v>936975.6421</v>
      </c>
      <c r="AE53" s="153">
        <f t="array" ref="AE53">IFS(AND(AE$36 = $E$18, AE$36 =ASSUMPTIONS!$E$60), $E26 * AE43 * ((ASSUMPTIONS!$E$63 * $I12) + (ASSUMPTIONS!$E$64 * $F12)), 
AND(AE$36 = $F$18, AE$36 =ASSUMPTIONS!$F$60), $F26 * AE43 * ((ASSUMPTIONS!$F$63 * $I12) + (ASSUMPTIONS!$F$64 * $F12)), 
AND(AE$36 = $G$18, AE$36 =ASSUMPTIONS!$G$60), $G26 * AE43 * ((ASSUMPTIONS!$G$63 * $I12) + (ASSUMPTIONS!$G$64 * $F12)), 
AND(AE$36 = $H$18, AE$36 =ASSUMPTIONS!$H$60), $H26 * AE43 * ((ASSUMPTIONS!$H$63 * $I12) + (ASSUMPTIONS!$H$64 * $F12)), 
TRUE, $I26 *AE43 * ((ASSUMPTIONS!$I$63 * $I12) + (ASSUMPTIONS!$I$64 * $F12))
)</f>
        <v>936975.6421</v>
      </c>
      <c r="AF53" s="153">
        <f t="array" ref="AF53">IFS(AND(AF$36 = $E$18, AF$36 =ASSUMPTIONS!$E$60), $E26 * AF43 * ((ASSUMPTIONS!$E$63 * $I12) + (ASSUMPTIONS!$E$64 * $F12)), 
AND(AF$36 = $F$18, AF$36 =ASSUMPTIONS!$F$60), $F26 * AF43 * ((ASSUMPTIONS!$F$63 * $I12) + (ASSUMPTIONS!$F$64 * $F12)), 
AND(AF$36 = $G$18, AF$36 =ASSUMPTIONS!$G$60), $G26 * AF43 * ((ASSUMPTIONS!$G$63 * $I12) + (ASSUMPTIONS!$G$64 * $F12)), 
AND(AF$36 = $H$18, AF$36 =ASSUMPTIONS!$H$60), $H26 * AF43 * ((ASSUMPTIONS!$H$63 * $I12) + (ASSUMPTIONS!$H$64 * $F12)), 
TRUE, $I26 *AF43 * ((ASSUMPTIONS!$I$63 * $I12) + (ASSUMPTIONS!$I$64 * $F12))
)</f>
        <v>936975.6421</v>
      </c>
      <c r="AG53" s="153">
        <f t="array" ref="AG53">IFS(AND(AG$36 = $E$18, AG$36 =ASSUMPTIONS!$E$60), $E26 * AG43 * ((ASSUMPTIONS!$E$63 * $I12) + (ASSUMPTIONS!$E$64 * $F12)), 
AND(AG$36 = $F$18, AG$36 =ASSUMPTIONS!$F$60), $F26 * AG43 * ((ASSUMPTIONS!$F$63 * $I12) + (ASSUMPTIONS!$F$64 * $F12)), 
AND(AG$36 = $G$18, AG$36 =ASSUMPTIONS!$G$60), $G26 * AG43 * ((ASSUMPTIONS!$G$63 * $I12) + (ASSUMPTIONS!$G$64 * $F12)), 
AND(AG$36 = $H$18, AG$36 =ASSUMPTIONS!$H$60), $H26 * AG43 * ((ASSUMPTIONS!$H$63 * $I12) + (ASSUMPTIONS!$H$64 * $F12)), 
TRUE, $I26 *AG43 * ((ASSUMPTIONS!$I$63 * $I12) + (ASSUMPTIONS!$I$64 * $F12))
)</f>
        <v>936975.6421</v>
      </c>
      <c r="AH53" s="153">
        <f t="array" ref="AH53">IFS(AND(AH$36 = $E$18, AH$36 =ASSUMPTIONS!$E$60), $E26 * AH43 * ((ASSUMPTIONS!$E$63 * $I12) + (ASSUMPTIONS!$E$64 * $F12)), 
AND(AH$36 = $F$18, AH$36 =ASSUMPTIONS!$F$60), $F26 * AH43 * ((ASSUMPTIONS!$F$63 * $I12) + (ASSUMPTIONS!$F$64 * $F12)), 
AND(AH$36 = $G$18, AH$36 =ASSUMPTIONS!$G$60), $G26 * AH43 * ((ASSUMPTIONS!$G$63 * $I12) + (ASSUMPTIONS!$G$64 * $F12)), 
AND(AH$36 = $H$18, AH$36 =ASSUMPTIONS!$H$60), $H26 * AH43 * ((ASSUMPTIONS!$H$63 * $I12) + (ASSUMPTIONS!$H$64 * $F12)), 
TRUE, $I26 *AH43 * ((ASSUMPTIONS!$I$63 * $I12) + (ASSUMPTIONS!$I$64 * $F12))
)</f>
        <v>936975.6421</v>
      </c>
      <c r="AI53" s="153">
        <f t="array" ref="AI53">IFS(AND(AI$36 = $E$18, AI$36 =ASSUMPTIONS!$E$60), $E26 * AI43 * ((ASSUMPTIONS!$E$63 * $I12) + (ASSUMPTIONS!$E$64 * $F12)), 
AND(AI$36 = $F$18, AI$36 =ASSUMPTIONS!$F$60), $F26 * AI43 * ((ASSUMPTIONS!$F$63 * $I12) + (ASSUMPTIONS!$F$64 * $F12)), 
AND(AI$36 = $G$18, AI$36 =ASSUMPTIONS!$G$60), $G26 * AI43 * ((ASSUMPTIONS!$G$63 * $I12) + (ASSUMPTIONS!$G$64 * $F12)), 
AND(AI$36 = $H$18, AI$36 =ASSUMPTIONS!$H$60), $H26 * AI43 * ((ASSUMPTIONS!$H$63 * $I12) + (ASSUMPTIONS!$H$64 * $F12)), 
TRUE, $I26 *AI43 * ((ASSUMPTIONS!$I$63 * $I12) + (ASSUMPTIONS!$I$64 * $F12))
)</f>
        <v>936975.6421</v>
      </c>
      <c r="AJ53" s="153">
        <f t="array" ref="AJ53">IFS(AND(AJ$36 = $E$18, AJ$36 =ASSUMPTIONS!$E$60), $E26 * AJ43 * ((ASSUMPTIONS!$E$63 * $I12) + (ASSUMPTIONS!$E$64 * $F12)), 
AND(AJ$36 = $F$18, AJ$36 =ASSUMPTIONS!$F$60), $F26 * AJ43 * ((ASSUMPTIONS!$F$63 * $I12) + (ASSUMPTIONS!$F$64 * $F12)), 
AND(AJ$36 = $G$18, AJ$36 =ASSUMPTIONS!$G$60), $G26 * AJ43 * ((ASSUMPTIONS!$G$63 * $I12) + (ASSUMPTIONS!$G$64 * $F12)), 
AND(AJ$36 = $H$18, AJ$36 =ASSUMPTIONS!$H$60), $H26 * AJ43 * ((ASSUMPTIONS!$H$63 * $I12) + (ASSUMPTIONS!$H$64 * $F12)), 
TRUE, $I26 *AJ43 * ((ASSUMPTIONS!$I$63 * $I12) + (ASSUMPTIONS!$I$64 * $F12))
)</f>
        <v>936975.6421</v>
      </c>
      <c r="AK53" s="153">
        <f t="array" ref="AK53">IFS(AND(AK$36 = $E$18, AK$36 =ASSUMPTIONS!$E$60), $E26 * AK43 * ((ASSUMPTIONS!$E$63 * $I12) + (ASSUMPTIONS!$E$64 * $F12)), 
AND(AK$36 = $F$18, AK$36 =ASSUMPTIONS!$F$60), $F26 * AK43 * ((ASSUMPTIONS!$F$63 * $I12) + (ASSUMPTIONS!$F$64 * $F12)), 
AND(AK$36 = $G$18, AK$36 =ASSUMPTIONS!$G$60), $G26 * AK43 * ((ASSUMPTIONS!$G$63 * $I12) + (ASSUMPTIONS!$G$64 * $F12)), 
AND(AK$36 = $H$18, AK$36 =ASSUMPTIONS!$H$60), $H26 * AK43 * ((ASSUMPTIONS!$H$63 * $I12) + (ASSUMPTIONS!$H$64 * $F12)), 
TRUE, $I26 *AK43 * ((ASSUMPTIONS!$I$63 * $I12) + (ASSUMPTIONS!$I$64 * $F12))
)</f>
        <v>936975.6421</v>
      </c>
      <c r="AL53" s="153">
        <f t="array" ref="AL53">IFS(AND(AL$36 = $E$18, AL$36 =ASSUMPTIONS!$E$60), $E26 * AL43 * ((ASSUMPTIONS!$E$63 * $I12) + (ASSUMPTIONS!$E$64 * $F12)), 
AND(AL$36 = $F$18, AL$36 =ASSUMPTIONS!$F$60), $F26 * AL43 * ((ASSUMPTIONS!$F$63 * $I12) + (ASSUMPTIONS!$F$64 * $F12)), 
AND(AL$36 = $G$18, AL$36 =ASSUMPTIONS!$G$60), $G26 * AL43 * ((ASSUMPTIONS!$G$63 * $I12) + (ASSUMPTIONS!$G$64 * $F12)), 
AND(AL$36 = $H$18, AL$36 =ASSUMPTIONS!$H$60), $H26 * AL43 * ((ASSUMPTIONS!$H$63 * $I12) + (ASSUMPTIONS!$H$64 * $F12)), 
TRUE, $I26 *AL43 * ((ASSUMPTIONS!$I$63 * $I12) + (ASSUMPTIONS!$I$64 * $F12))
)</f>
        <v>936975.6421</v>
      </c>
      <c r="AM53" s="153">
        <f t="array" ref="AM53">IFS(AND(AM$36 = $E$18, AM$36 =ASSUMPTIONS!$E$60), $E26 * AM43 * ((ASSUMPTIONS!$E$63 * $I12) + (ASSUMPTIONS!$E$64 * $F12)), 
AND(AM$36 = $F$18, AM$36 =ASSUMPTIONS!$F$60), $F26 * AM43 * ((ASSUMPTIONS!$F$63 * $I12) + (ASSUMPTIONS!$F$64 * $F12)), 
AND(AM$36 = $G$18, AM$36 =ASSUMPTIONS!$G$60), $G26 * AM43 * ((ASSUMPTIONS!$G$63 * $I12) + (ASSUMPTIONS!$G$64 * $F12)), 
AND(AM$36 = $H$18, AM$36 =ASSUMPTIONS!$H$60), $H26 * AM43 * ((ASSUMPTIONS!$H$63 * $I12) + (ASSUMPTIONS!$H$64 * $F12)), 
TRUE, $I26 *AM43 * ((ASSUMPTIONS!$I$63 * $I12) + (ASSUMPTIONS!$I$64 * $F12))
)</f>
        <v>936975.6421</v>
      </c>
      <c r="AN53" s="153">
        <f t="array" ref="AN53">IFS(AND(AN$36 = $E$18, AN$36 =ASSUMPTIONS!$E$60), $E26 * AN43 * ((ASSUMPTIONS!$E$63 * $I12) + (ASSUMPTIONS!$E$64 * $F12)), 
AND(AN$36 = $F$18, AN$36 =ASSUMPTIONS!$F$60), $F26 * AN43 * ((ASSUMPTIONS!$F$63 * $I12) + (ASSUMPTIONS!$F$64 * $F12)), 
AND(AN$36 = $G$18, AN$36 =ASSUMPTIONS!$G$60), $G26 * AN43 * ((ASSUMPTIONS!$G$63 * $I12) + (ASSUMPTIONS!$G$64 * $F12)), 
AND(AN$36 = $H$18, AN$36 =ASSUMPTIONS!$H$60), $H26 * AN43 * ((ASSUMPTIONS!$H$63 * $I12) + (ASSUMPTIONS!$H$64 * $F12)), 
TRUE, $I26 *AN43 * ((ASSUMPTIONS!$I$63 * $I12) + (ASSUMPTIONS!$I$64 * $F12))
)</f>
        <v>936975.6421</v>
      </c>
      <c r="AO53" s="153">
        <f t="array" ref="AO53">IFS(AND(AO$36 = $E$18, AO$36 =ASSUMPTIONS!$E$60), $E26 * AO43 * ((ASSUMPTIONS!$E$63 * $I12) + (ASSUMPTIONS!$E$64 * $F12)), 
AND(AO$36 = $F$18, AO$36 =ASSUMPTIONS!$F$60), $F26 * AO43 * ((ASSUMPTIONS!$F$63 * $I12) + (ASSUMPTIONS!$F$64 * $F12)), 
AND(AO$36 = $G$18, AO$36 =ASSUMPTIONS!$G$60), $G26 * AO43 * ((ASSUMPTIONS!$G$63 * $I12) + (ASSUMPTIONS!$G$64 * $F12)), 
AND(AO$36 = $H$18, AO$36 =ASSUMPTIONS!$H$60), $H26 * AO43 * ((ASSUMPTIONS!$H$63 * $I12) + (ASSUMPTIONS!$H$64 * $F12)), 
TRUE, $I26 *AO43 * ((ASSUMPTIONS!$I$63 * $I12) + (ASSUMPTIONS!$I$64 * $F12))
)</f>
        <v>3019024.97</v>
      </c>
      <c r="AP53" s="153">
        <f t="array" ref="AP53">IFS(AND(AP$36 = $E$18, AP$36 =ASSUMPTIONS!$E$60), $E26 * AP43 * ((ASSUMPTIONS!$E$63 * $I12) + (ASSUMPTIONS!$E$64 * $F12)), 
AND(AP$36 = $F$18, AP$36 =ASSUMPTIONS!$F$60), $F26 * AP43 * ((ASSUMPTIONS!$F$63 * $I12) + (ASSUMPTIONS!$F$64 * $F12)), 
AND(AP$36 = $G$18, AP$36 =ASSUMPTIONS!$G$60), $G26 * AP43 * ((ASSUMPTIONS!$G$63 * $I12) + (ASSUMPTIONS!$G$64 * $F12)), 
AND(AP$36 = $H$18, AP$36 =ASSUMPTIONS!$H$60), $H26 * AP43 * ((ASSUMPTIONS!$H$63 * $I12) + (ASSUMPTIONS!$H$64 * $F12)), 
TRUE, $I26 *AP43 * ((ASSUMPTIONS!$I$63 * $I12) + (ASSUMPTIONS!$I$64 * $F12))
)</f>
        <v>3019024.97</v>
      </c>
      <c r="AQ53" s="153">
        <f t="array" ref="AQ53">IFS(AND(AQ$36 = $E$18, AQ$36 =ASSUMPTIONS!$E$60), $E26 * AQ43 * ((ASSUMPTIONS!$E$63 * $I12) + (ASSUMPTIONS!$E$64 * $F12)), 
AND(AQ$36 = $F$18, AQ$36 =ASSUMPTIONS!$F$60), $F26 * AQ43 * ((ASSUMPTIONS!$F$63 * $I12) + (ASSUMPTIONS!$F$64 * $F12)), 
AND(AQ$36 = $G$18, AQ$36 =ASSUMPTIONS!$G$60), $G26 * AQ43 * ((ASSUMPTIONS!$G$63 * $I12) + (ASSUMPTIONS!$G$64 * $F12)), 
AND(AQ$36 = $H$18, AQ$36 =ASSUMPTIONS!$H$60), $H26 * AQ43 * ((ASSUMPTIONS!$H$63 * $I12) + (ASSUMPTIONS!$H$64 * $F12)), 
TRUE, $I26 *AQ43 * ((ASSUMPTIONS!$I$63 * $I12) + (ASSUMPTIONS!$I$64 * $F12))
)</f>
        <v>3019024.97</v>
      </c>
      <c r="AR53" s="153">
        <f t="array" ref="AR53">IFS(AND(AR$36 = $E$18, AR$36 =ASSUMPTIONS!$E$60), $E26 * AR43 * ((ASSUMPTIONS!$E$63 * $I12) + (ASSUMPTIONS!$E$64 * $F12)), 
AND(AR$36 = $F$18, AR$36 =ASSUMPTIONS!$F$60), $F26 * AR43 * ((ASSUMPTIONS!$F$63 * $I12) + (ASSUMPTIONS!$F$64 * $F12)), 
AND(AR$36 = $G$18, AR$36 =ASSUMPTIONS!$G$60), $G26 * AR43 * ((ASSUMPTIONS!$G$63 * $I12) + (ASSUMPTIONS!$G$64 * $F12)), 
AND(AR$36 = $H$18, AR$36 =ASSUMPTIONS!$H$60), $H26 * AR43 * ((ASSUMPTIONS!$H$63 * $I12) + (ASSUMPTIONS!$H$64 * $F12)), 
TRUE, $I26 *AR43 * ((ASSUMPTIONS!$I$63 * $I12) + (ASSUMPTIONS!$I$64 * $F12))
)</f>
        <v>3019024.97</v>
      </c>
      <c r="AS53" s="153">
        <f t="array" ref="AS53">IFS(AND(AS$36 = $E$18, AS$36 =ASSUMPTIONS!$E$60), $E26 * AS43 * ((ASSUMPTIONS!$E$63 * $I12) + (ASSUMPTIONS!$E$64 * $F12)), 
AND(AS$36 = $F$18, AS$36 =ASSUMPTIONS!$F$60), $F26 * AS43 * ((ASSUMPTIONS!$F$63 * $I12) + (ASSUMPTIONS!$F$64 * $F12)), 
AND(AS$36 = $G$18, AS$36 =ASSUMPTIONS!$G$60), $G26 * AS43 * ((ASSUMPTIONS!$G$63 * $I12) + (ASSUMPTIONS!$G$64 * $F12)), 
AND(AS$36 = $H$18, AS$36 =ASSUMPTIONS!$H$60), $H26 * AS43 * ((ASSUMPTIONS!$H$63 * $I12) + (ASSUMPTIONS!$H$64 * $F12)), 
TRUE, $I26 *AS43 * ((ASSUMPTIONS!$I$63 * $I12) + (ASSUMPTIONS!$I$64 * $F12))
)</f>
        <v>3019024.97</v>
      </c>
      <c r="AT53" s="153">
        <f t="array" ref="AT53">IFS(AND(AT$36 = $E$18, AT$36 =ASSUMPTIONS!$E$60), $E26 * AT43 * ((ASSUMPTIONS!$E$63 * $I12) + (ASSUMPTIONS!$E$64 * $F12)), 
AND(AT$36 = $F$18, AT$36 =ASSUMPTIONS!$F$60), $F26 * AT43 * ((ASSUMPTIONS!$F$63 * $I12) + (ASSUMPTIONS!$F$64 * $F12)), 
AND(AT$36 = $G$18, AT$36 =ASSUMPTIONS!$G$60), $G26 * AT43 * ((ASSUMPTIONS!$G$63 * $I12) + (ASSUMPTIONS!$G$64 * $F12)), 
AND(AT$36 = $H$18, AT$36 =ASSUMPTIONS!$H$60), $H26 * AT43 * ((ASSUMPTIONS!$H$63 * $I12) + (ASSUMPTIONS!$H$64 * $F12)), 
TRUE, $I26 *AT43 * ((ASSUMPTIONS!$I$63 * $I12) + (ASSUMPTIONS!$I$64 * $F12))
)</f>
        <v>3019024.97</v>
      </c>
      <c r="AU53" s="153">
        <f t="array" ref="AU53">IFS(AND(AU$36 = $E$18, AU$36 =ASSUMPTIONS!$E$60), $E26 * AU43 * ((ASSUMPTIONS!$E$63 * $I12) + (ASSUMPTIONS!$E$64 * $F12)), 
AND(AU$36 = $F$18, AU$36 =ASSUMPTIONS!$F$60), $F26 * AU43 * ((ASSUMPTIONS!$F$63 * $I12) + (ASSUMPTIONS!$F$64 * $F12)), 
AND(AU$36 = $G$18, AU$36 =ASSUMPTIONS!$G$60), $G26 * AU43 * ((ASSUMPTIONS!$G$63 * $I12) + (ASSUMPTIONS!$G$64 * $F12)), 
AND(AU$36 = $H$18, AU$36 =ASSUMPTIONS!$H$60), $H26 * AU43 * ((ASSUMPTIONS!$H$63 * $I12) + (ASSUMPTIONS!$H$64 * $F12)), 
TRUE, $I26 *AU43 * ((ASSUMPTIONS!$I$63 * $I12) + (ASSUMPTIONS!$I$64 * $F12))
)</f>
        <v>3019024.97</v>
      </c>
      <c r="AV53" s="153">
        <f t="array" ref="AV53">IFS(AND(AV$36 = $E$18, AV$36 =ASSUMPTIONS!$E$60), $E26 * AV43 * ((ASSUMPTIONS!$E$63 * $I12) + (ASSUMPTIONS!$E$64 * $F12)), 
AND(AV$36 = $F$18, AV$36 =ASSUMPTIONS!$F$60), $F26 * AV43 * ((ASSUMPTIONS!$F$63 * $I12) + (ASSUMPTIONS!$F$64 * $F12)), 
AND(AV$36 = $G$18, AV$36 =ASSUMPTIONS!$G$60), $G26 * AV43 * ((ASSUMPTIONS!$G$63 * $I12) + (ASSUMPTIONS!$G$64 * $F12)), 
AND(AV$36 = $H$18, AV$36 =ASSUMPTIONS!$H$60), $H26 * AV43 * ((ASSUMPTIONS!$H$63 * $I12) + (ASSUMPTIONS!$H$64 * $F12)), 
TRUE, $I26 *AV43 * ((ASSUMPTIONS!$I$63 * $I12) + (ASSUMPTIONS!$I$64 * $F12))
)</f>
        <v>3019024.97</v>
      </c>
      <c r="AW53" s="153">
        <f t="array" ref="AW53">IFS(AND(AW$36 = $E$18, AW$36 =ASSUMPTIONS!$E$60), $E26 * AW43 * ((ASSUMPTIONS!$E$63 * $I12) + (ASSUMPTIONS!$E$64 * $F12)), 
AND(AW$36 = $F$18, AW$36 =ASSUMPTIONS!$F$60), $F26 * AW43 * ((ASSUMPTIONS!$F$63 * $I12) + (ASSUMPTIONS!$F$64 * $F12)), 
AND(AW$36 = $G$18, AW$36 =ASSUMPTIONS!$G$60), $G26 * AW43 * ((ASSUMPTIONS!$G$63 * $I12) + (ASSUMPTIONS!$G$64 * $F12)), 
AND(AW$36 = $H$18, AW$36 =ASSUMPTIONS!$H$60), $H26 * AW43 * ((ASSUMPTIONS!$H$63 * $I12) + (ASSUMPTIONS!$H$64 * $F12)), 
TRUE, $I26 *AW43 * ((ASSUMPTIONS!$I$63 * $I12) + (ASSUMPTIONS!$I$64 * $F12))
)</f>
        <v>3019024.97</v>
      </c>
      <c r="AX53" s="153">
        <f t="array" ref="AX53">IFS(AND(AX$36 = $E$18, AX$36 =ASSUMPTIONS!$E$60), $E26 * AX43 * ((ASSUMPTIONS!$E$63 * $I12) + (ASSUMPTIONS!$E$64 * $F12)), 
AND(AX$36 = $F$18, AX$36 =ASSUMPTIONS!$F$60), $F26 * AX43 * ((ASSUMPTIONS!$F$63 * $I12) + (ASSUMPTIONS!$F$64 * $F12)), 
AND(AX$36 = $G$18, AX$36 =ASSUMPTIONS!$G$60), $G26 * AX43 * ((ASSUMPTIONS!$G$63 * $I12) + (ASSUMPTIONS!$G$64 * $F12)), 
AND(AX$36 = $H$18, AX$36 =ASSUMPTIONS!$H$60), $H26 * AX43 * ((ASSUMPTIONS!$H$63 * $I12) + (ASSUMPTIONS!$H$64 * $F12)), 
TRUE, $I26 *AX43 * ((ASSUMPTIONS!$I$63 * $I12) + (ASSUMPTIONS!$I$64 * $F12))
)</f>
        <v>3019024.97</v>
      </c>
      <c r="AY53" s="153">
        <f t="array" ref="AY53">IFS(AND(AY$36 = $E$18, AY$36 =ASSUMPTIONS!$E$60), $E26 * AY43 * ((ASSUMPTIONS!$E$63 * $I12) + (ASSUMPTIONS!$E$64 * $F12)), 
AND(AY$36 = $F$18, AY$36 =ASSUMPTIONS!$F$60), $F26 * AY43 * ((ASSUMPTIONS!$F$63 * $I12) + (ASSUMPTIONS!$F$64 * $F12)), 
AND(AY$36 = $G$18, AY$36 =ASSUMPTIONS!$G$60), $G26 * AY43 * ((ASSUMPTIONS!$G$63 * $I12) + (ASSUMPTIONS!$G$64 * $F12)), 
AND(AY$36 = $H$18, AY$36 =ASSUMPTIONS!$H$60), $H26 * AY43 * ((ASSUMPTIONS!$H$63 * $I12) + (ASSUMPTIONS!$H$64 * $F12)), 
TRUE, $I26 *AY43 * ((ASSUMPTIONS!$I$63 * $I12) + (ASSUMPTIONS!$I$64 * $F12))
)</f>
        <v>3019024.97</v>
      </c>
      <c r="AZ53" s="153">
        <f t="array" ref="AZ53">IFS(AND(AZ$36 = $E$18, AZ$36 =ASSUMPTIONS!$E$60), $E26 * AZ43 * ((ASSUMPTIONS!$E$63 * $I12) + (ASSUMPTIONS!$E$64 * $F12)), 
AND(AZ$36 = $F$18, AZ$36 =ASSUMPTIONS!$F$60), $F26 * AZ43 * ((ASSUMPTIONS!$F$63 * $I12) + (ASSUMPTIONS!$F$64 * $F12)), 
AND(AZ$36 = $G$18, AZ$36 =ASSUMPTIONS!$G$60), $G26 * AZ43 * ((ASSUMPTIONS!$G$63 * $I12) + (ASSUMPTIONS!$G$64 * $F12)), 
AND(AZ$36 = $H$18, AZ$36 =ASSUMPTIONS!$H$60), $H26 * AZ43 * ((ASSUMPTIONS!$H$63 * $I12) + (ASSUMPTIONS!$H$64 * $F12)), 
TRUE, $I26 *AZ43 * ((ASSUMPTIONS!$I$63 * $I12) + (ASSUMPTIONS!$I$64 * $F12))
)</f>
        <v>3019024.97</v>
      </c>
      <c r="BA53" s="153">
        <f t="array" ref="BA53">IFS(AND(BA$36 = $E$18, BA$36 =ASSUMPTIONS!$E$60), $E26 * BA43 * ((ASSUMPTIONS!$E$63 * $I12) + (ASSUMPTIONS!$E$64 * $F12)), 
AND(BA$36 = $F$18, BA$36 =ASSUMPTIONS!$F$60), $F26 * BA43 * ((ASSUMPTIONS!$F$63 * $I12) + (ASSUMPTIONS!$F$64 * $F12)), 
AND(BA$36 = $G$18, BA$36 =ASSUMPTIONS!$G$60), $G26 * BA43 * ((ASSUMPTIONS!$G$63 * $I12) + (ASSUMPTIONS!$G$64 * $F12)), 
AND(BA$36 = $H$18, BA$36 =ASSUMPTIONS!$H$60), $H26 * BA43 * ((ASSUMPTIONS!$H$63 * $I12) + (ASSUMPTIONS!$H$64 * $F12)), 
TRUE, $I26 *BA43 * ((ASSUMPTIONS!$I$63 * $I12) + (ASSUMPTIONS!$I$64 * $F12))
)</f>
        <v>3347299.424</v>
      </c>
      <c r="BB53" s="153">
        <f t="array" ref="BB53">IFS(AND(BB$36 = $E$18, BB$36 =ASSUMPTIONS!$E$60), $E26 * BB43 * ((ASSUMPTIONS!$E$63 * $I12) + (ASSUMPTIONS!$E$64 * $F12)), 
AND(BB$36 = $F$18, BB$36 =ASSUMPTIONS!$F$60), $F26 * BB43 * ((ASSUMPTIONS!$F$63 * $I12) + (ASSUMPTIONS!$F$64 * $F12)), 
AND(BB$36 = $G$18, BB$36 =ASSUMPTIONS!$G$60), $G26 * BB43 * ((ASSUMPTIONS!$G$63 * $I12) + (ASSUMPTIONS!$G$64 * $F12)), 
AND(BB$36 = $H$18, BB$36 =ASSUMPTIONS!$H$60), $H26 * BB43 * ((ASSUMPTIONS!$H$63 * $I12) + (ASSUMPTIONS!$H$64 * $F12)), 
TRUE, $I26 *BB43 * ((ASSUMPTIONS!$I$63 * $I12) + (ASSUMPTIONS!$I$64 * $F12))
)</f>
        <v>3347299.424</v>
      </c>
      <c r="BC53" s="153">
        <f t="array" ref="BC53">IFS(AND(BC$36 = $E$18, BC$36 =ASSUMPTIONS!$E$60), $E26 * BC43 * ((ASSUMPTIONS!$E$63 * $I12) + (ASSUMPTIONS!$E$64 * $F12)), 
AND(BC$36 = $F$18, BC$36 =ASSUMPTIONS!$F$60), $F26 * BC43 * ((ASSUMPTIONS!$F$63 * $I12) + (ASSUMPTIONS!$F$64 * $F12)), 
AND(BC$36 = $G$18, BC$36 =ASSUMPTIONS!$G$60), $G26 * BC43 * ((ASSUMPTIONS!$G$63 * $I12) + (ASSUMPTIONS!$G$64 * $F12)), 
AND(BC$36 = $H$18, BC$36 =ASSUMPTIONS!$H$60), $H26 * BC43 * ((ASSUMPTIONS!$H$63 * $I12) + (ASSUMPTIONS!$H$64 * $F12)), 
TRUE, $I26 *BC43 * ((ASSUMPTIONS!$I$63 * $I12) + (ASSUMPTIONS!$I$64 * $F12))
)</f>
        <v>3347299.424</v>
      </c>
      <c r="BD53" s="153">
        <f t="array" ref="BD53">IFS(AND(BD$36 = $E$18, BD$36 =ASSUMPTIONS!$E$60), $E26 * BD43 * ((ASSUMPTIONS!$E$63 * $I12) + (ASSUMPTIONS!$E$64 * $F12)), 
AND(BD$36 = $F$18, BD$36 =ASSUMPTIONS!$F$60), $F26 * BD43 * ((ASSUMPTIONS!$F$63 * $I12) + (ASSUMPTIONS!$F$64 * $F12)), 
AND(BD$36 = $G$18, BD$36 =ASSUMPTIONS!$G$60), $G26 * BD43 * ((ASSUMPTIONS!$G$63 * $I12) + (ASSUMPTIONS!$G$64 * $F12)), 
AND(BD$36 = $H$18, BD$36 =ASSUMPTIONS!$H$60), $H26 * BD43 * ((ASSUMPTIONS!$H$63 * $I12) + (ASSUMPTIONS!$H$64 * $F12)), 
TRUE, $I26 *BD43 * ((ASSUMPTIONS!$I$63 * $I12) + (ASSUMPTIONS!$I$64 * $F12))
)</f>
        <v>3347299.424</v>
      </c>
      <c r="BE53" s="153">
        <f t="array" ref="BE53">IFS(AND(BE$36 = $E$18, BE$36 =ASSUMPTIONS!$E$60), $E26 * BE43 * ((ASSUMPTIONS!$E$63 * $I12) + (ASSUMPTIONS!$E$64 * $F12)), 
AND(BE$36 = $F$18, BE$36 =ASSUMPTIONS!$F$60), $F26 * BE43 * ((ASSUMPTIONS!$F$63 * $I12) + (ASSUMPTIONS!$F$64 * $F12)), 
AND(BE$36 = $G$18, BE$36 =ASSUMPTIONS!$G$60), $G26 * BE43 * ((ASSUMPTIONS!$G$63 * $I12) + (ASSUMPTIONS!$G$64 * $F12)), 
AND(BE$36 = $H$18, BE$36 =ASSUMPTIONS!$H$60), $H26 * BE43 * ((ASSUMPTIONS!$H$63 * $I12) + (ASSUMPTIONS!$H$64 * $F12)), 
TRUE, $I26 *BE43 * ((ASSUMPTIONS!$I$63 * $I12) + (ASSUMPTIONS!$I$64 * $F12))
)</f>
        <v>3347299.424</v>
      </c>
      <c r="BF53" s="153">
        <f t="array" ref="BF53">IFS(AND(BF$36 = $E$18, BF$36 =ASSUMPTIONS!$E$60), $E26 * BF43 * ((ASSUMPTIONS!$E$63 * $I12) + (ASSUMPTIONS!$E$64 * $F12)), 
AND(BF$36 = $F$18, BF$36 =ASSUMPTIONS!$F$60), $F26 * BF43 * ((ASSUMPTIONS!$F$63 * $I12) + (ASSUMPTIONS!$F$64 * $F12)), 
AND(BF$36 = $G$18, BF$36 =ASSUMPTIONS!$G$60), $G26 * BF43 * ((ASSUMPTIONS!$G$63 * $I12) + (ASSUMPTIONS!$G$64 * $F12)), 
AND(BF$36 = $H$18, BF$36 =ASSUMPTIONS!$H$60), $H26 * BF43 * ((ASSUMPTIONS!$H$63 * $I12) + (ASSUMPTIONS!$H$64 * $F12)), 
TRUE, $I26 *BF43 * ((ASSUMPTIONS!$I$63 * $I12) + (ASSUMPTIONS!$I$64 * $F12))
)</f>
        <v>3347299.424</v>
      </c>
      <c r="BG53" s="153">
        <f t="array" ref="BG53">IFS(AND(BG$36 = $E$18, BG$36 =ASSUMPTIONS!$E$60), $E26 * BG43 * ((ASSUMPTIONS!$E$63 * $I12) + (ASSUMPTIONS!$E$64 * $F12)), 
AND(BG$36 = $F$18, BG$36 =ASSUMPTIONS!$F$60), $F26 * BG43 * ((ASSUMPTIONS!$F$63 * $I12) + (ASSUMPTIONS!$F$64 * $F12)), 
AND(BG$36 = $G$18, BG$36 =ASSUMPTIONS!$G$60), $G26 * BG43 * ((ASSUMPTIONS!$G$63 * $I12) + (ASSUMPTIONS!$G$64 * $F12)), 
AND(BG$36 = $H$18, BG$36 =ASSUMPTIONS!$H$60), $H26 * BG43 * ((ASSUMPTIONS!$H$63 * $I12) + (ASSUMPTIONS!$H$64 * $F12)), 
TRUE, $I26 *BG43 * ((ASSUMPTIONS!$I$63 * $I12) + (ASSUMPTIONS!$I$64 * $F12))
)</f>
        <v>3347299.424</v>
      </c>
      <c r="BH53" s="153">
        <f t="array" ref="BH53">IFS(AND(BH$36 = $E$18, BH$36 =ASSUMPTIONS!$E$60), $E26 * BH43 * ((ASSUMPTIONS!$E$63 * $I12) + (ASSUMPTIONS!$E$64 * $F12)), 
AND(BH$36 = $F$18, BH$36 =ASSUMPTIONS!$F$60), $F26 * BH43 * ((ASSUMPTIONS!$F$63 * $I12) + (ASSUMPTIONS!$F$64 * $F12)), 
AND(BH$36 = $G$18, BH$36 =ASSUMPTIONS!$G$60), $G26 * BH43 * ((ASSUMPTIONS!$G$63 * $I12) + (ASSUMPTIONS!$G$64 * $F12)), 
AND(BH$36 = $H$18, BH$36 =ASSUMPTIONS!$H$60), $H26 * BH43 * ((ASSUMPTIONS!$H$63 * $I12) + (ASSUMPTIONS!$H$64 * $F12)), 
TRUE, $I26 *BH43 * ((ASSUMPTIONS!$I$63 * $I12) + (ASSUMPTIONS!$I$64 * $F12))
)</f>
        <v>3347299.424</v>
      </c>
      <c r="BI53" s="153">
        <f t="array" ref="BI53">IFS(AND(BI$36 = $E$18, BI$36 =ASSUMPTIONS!$E$60), $E26 * BI43 * ((ASSUMPTIONS!$E$63 * $I12) + (ASSUMPTIONS!$E$64 * $F12)), 
AND(BI$36 = $F$18, BI$36 =ASSUMPTIONS!$F$60), $F26 * BI43 * ((ASSUMPTIONS!$F$63 * $I12) + (ASSUMPTIONS!$F$64 * $F12)), 
AND(BI$36 = $G$18, BI$36 =ASSUMPTIONS!$G$60), $G26 * BI43 * ((ASSUMPTIONS!$G$63 * $I12) + (ASSUMPTIONS!$G$64 * $F12)), 
AND(BI$36 = $H$18, BI$36 =ASSUMPTIONS!$H$60), $H26 * BI43 * ((ASSUMPTIONS!$H$63 * $I12) + (ASSUMPTIONS!$H$64 * $F12)), 
TRUE, $I26 *BI43 * ((ASSUMPTIONS!$I$63 * $I12) + (ASSUMPTIONS!$I$64 * $F12))
)</f>
        <v>3347299.424</v>
      </c>
      <c r="BJ53" s="153">
        <f t="array" ref="BJ53">IFS(AND(BJ$36 = $E$18, BJ$36 =ASSUMPTIONS!$E$60), $E26 * BJ43 * ((ASSUMPTIONS!$E$63 * $I12) + (ASSUMPTIONS!$E$64 * $F12)), 
AND(BJ$36 = $F$18, BJ$36 =ASSUMPTIONS!$F$60), $F26 * BJ43 * ((ASSUMPTIONS!$F$63 * $I12) + (ASSUMPTIONS!$F$64 * $F12)), 
AND(BJ$36 = $G$18, BJ$36 =ASSUMPTIONS!$G$60), $G26 * BJ43 * ((ASSUMPTIONS!$G$63 * $I12) + (ASSUMPTIONS!$G$64 * $F12)), 
AND(BJ$36 = $H$18, BJ$36 =ASSUMPTIONS!$H$60), $H26 * BJ43 * ((ASSUMPTIONS!$H$63 * $I12) + (ASSUMPTIONS!$H$64 * $F12)), 
TRUE, $I26 *BJ43 * ((ASSUMPTIONS!$I$63 * $I12) + (ASSUMPTIONS!$I$64 * $F12))
)</f>
        <v>3347299.424</v>
      </c>
      <c r="BK53" s="153">
        <f t="array" ref="BK53">IFS(AND(BK$36 = $E$18, BK$36 =ASSUMPTIONS!$E$60), $E26 * BK43 * ((ASSUMPTIONS!$E$63 * $I12) + (ASSUMPTIONS!$E$64 * $F12)), 
AND(BK$36 = $F$18, BK$36 =ASSUMPTIONS!$F$60), $F26 * BK43 * ((ASSUMPTIONS!$F$63 * $I12) + (ASSUMPTIONS!$F$64 * $F12)), 
AND(BK$36 = $G$18, BK$36 =ASSUMPTIONS!$G$60), $G26 * BK43 * ((ASSUMPTIONS!$G$63 * $I12) + (ASSUMPTIONS!$G$64 * $F12)), 
AND(BK$36 = $H$18, BK$36 =ASSUMPTIONS!$H$60), $H26 * BK43 * ((ASSUMPTIONS!$H$63 * $I12) + (ASSUMPTIONS!$H$64 * $F12)), 
TRUE, $I26 *BK43 * ((ASSUMPTIONS!$I$63 * $I12) + (ASSUMPTIONS!$I$64 * $F12))
)</f>
        <v>3347299.424</v>
      </c>
      <c r="BL53" s="153">
        <f t="array" ref="BL53">IFS(AND(BL$36 = $E$18, BL$36 =ASSUMPTIONS!$E$60), $E26 * BL43 * ((ASSUMPTIONS!$E$63 * $I12) + (ASSUMPTIONS!$E$64 * $F12)), 
AND(BL$36 = $F$18, BL$36 =ASSUMPTIONS!$F$60), $F26 * BL43 * ((ASSUMPTIONS!$F$63 * $I12) + (ASSUMPTIONS!$F$64 * $F12)), 
AND(BL$36 = $G$18, BL$36 =ASSUMPTIONS!$G$60), $G26 * BL43 * ((ASSUMPTIONS!$G$63 * $I12) + (ASSUMPTIONS!$G$64 * $F12)), 
AND(BL$36 = $H$18, BL$36 =ASSUMPTIONS!$H$60), $H26 * BL43 * ((ASSUMPTIONS!$H$63 * $I12) + (ASSUMPTIONS!$H$64 * $F12)), 
TRUE, $I26 *BL43 * ((ASSUMPTIONS!$I$63 * $I12) + (ASSUMPTIONS!$I$64 * $F12))
)</f>
        <v>3347299.424</v>
      </c>
    </row>
    <row r="54" ht="15.75" customHeight="1">
      <c r="D54" s="35" t="s">
        <v>44</v>
      </c>
      <c r="E54" s="153">
        <f t="array" ref="E54">IFS(AND(E$36 = $E$18, E$36 =ASSUMPTIONS!$E$60), $E27 * E44 * ((ASSUMPTIONS!$E$63 * $I13) + (ASSUMPTIONS!$E$64 * $F13)), 
AND(E$36 = $F$18, E$36 =ASSUMPTIONS!$F$60), $F27 * E44 * ((ASSUMPTIONS!$F$63 * $I13) + (ASSUMPTIONS!$F$64 * $F13)), 
AND(E$36 = $G$18, E$36 =ASSUMPTIONS!$G$60), $G27 * E44 * ((ASSUMPTIONS!$G$63 * $I13) + (ASSUMPTIONS!$G$64 * $F13)), 
AND(E$36 = $H$18, E$36 =ASSUMPTIONS!$H$60), $H27 * E44 * ((ASSUMPTIONS!$H$63 * $I13) + (ASSUMPTIONS!$H$64 * $F13)), 
TRUE, $I27 *E44 * ((ASSUMPTIONS!$I$63 * $I13) + (ASSUMPTIONS!$I$64 * $F13))
)</f>
        <v>0</v>
      </c>
      <c r="F54" s="153">
        <f t="array" ref="F54">IFS(AND(F$36 = $E$18, F$36 =ASSUMPTIONS!$E$60), $E27 * F44 * ((ASSUMPTIONS!$E$63 * $I13) + (ASSUMPTIONS!$E$64 * $F13)), 
AND(F$36 = $F$18, F$36 =ASSUMPTIONS!$F$60), $F27 * F44 * ((ASSUMPTIONS!$F$63 * $I13) + (ASSUMPTIONS!$F$64 * $F13)), 
AND(F$36 = $G$18, F$36 =ASSUMPTIONS!$G$60), $G27 * F44 * ((ASSUMPTIONS!$G$63 * $I13) + (ASSUMPTIONS!$G$64 * $F13)), 
AND(F$36 = $H$18, F$36 =ASSUMPTIONS!$H$60), $H27 * F44 * ((ASSUMPTIONS!$H$63 * $I13) + (ASSUMPTIONS!$H$64 * $F13)), 
TRUE, $I27 *F44 * ((ASSUMPTIONS!$I$63 * $I13) + (ASSUMPTIONS!$I$64 * $F13))
)</f>
        <v>0</v>
      </c>
      <c r="G54" s="153">
        <f t="array" ref="G54">IFS(AND(G$36 = $E$18, G$36 =ASSUMPTIONS!$E$60), $E27 * G44 * ((ASSUMPTIONS!$E$63 * $I13) + (ASSUMPTIONS!$E$64 * $F13)), 
AND(G$36 = $F$18, G$36 =ASSUMPTIONS!$F$60), $F27 * G44 * ((ASSUMPTIONS!$F$63 * $I13) + (ASSUMPTIONS!$F$64 * $F13)), 
AND(G$36 = $G$18, G$36 =ASSUMPTIONS!$G$60), $G27 * G44 * ((ASSUMPTIONS!$G$63 * $I13) + (ASSUMPTIONS!$G$64 * $F13)), 
AND(G$36 = $H$18, G$36 =ASSUMPTIONS!$H$60), $H27 * G44 * ((ASSUMPTIONS!$H$63 * $I13) + (ASSUMPTIONS!$H$64 * $F13)), 
TRUE, $I27 *G44 * ((ASSUMPTIONS!$I$63 * $I13) + (ASSUMPTIONS!$I$64 * $F13))
)</f>
        <v>0</v>
      </c>
      <c r="H54" s="153">
        <f t="array" ref="H54">IFS(AND(H$36 = $E$18, H$36 =ASSUMPTIONS!$E$60), $E27 * H44 * ((ASSUMPTIONS!$E$63 * $I13) + (ASSUMPTIONS!$E$64 * $F13)), 
AND(H$36 = $F$18, H$36 =ASSUMPTIONS!$F$60), $F27 * H44 * ((ASSUMPTIONS!$F$63 * $I13) + (ASSUMPTIONS!$F$64 * $F13)), 
AND(H$36 = $G$18, H$36 =ASSUMPTIONS!$G$60), $G27 * H44 * ((ASSUMPTIONS!$G$63 * $I13) + (ASSUMPTIONS!$G$64 * $F13)), 
AND(H$36 = $H$18, H$36 =ASSUMPTIONS!$H$60), $H27 * H44 * ((ASSUMPTIONS!$H$63 * $I13) + (ASSUMPTIONS!$H$64 * $F13)), 
TRUE, $I27 *H44 * ((ASSUMPTIONS!$I$63 * $I13) + (ASSUMPTIONS!$I$64 * $F13))
)</f>
        <v>0</v>
      </c>
      <c r="I54" s="153">
        <f t="array" ref="I54">IFS(AND(I$36 = $E$18, I$36 =ASSUMPTIONS!$E$60), $E27 * I44 * ((ASSUMPTIONS!$E$63 * $I13) + (ASSUMPTIONS!$E$64 * $F13)), 
AND(I$36 = $F$18, I$36 =ASSUMPTIONS!$F$60), $F27 * I44 * ((ASSUMPTIONS!$F$63 * $I13) + (ASSUMPTIONS!$F$64 * $F13)), 
AND(I$36 = $G$18, I$36 =ASSUMPTIONS!$G$60), $G27 * I44 * ((ASSUMPTIONS!$G$63 * $I13) + (ASSUMPTIONS!$G$64 * $F13)), 
AND(I$36 = $H$18, I$36 =ASSUMPTIONS!$H$60), $H27 * I44 * ((ASSUMPTIONS!$H$63 * $I13) + (ASSUMPTIONS!$H$64 * $F13)), 
TRUE, $I27 *I44 * ((ASSUMPTIONS!$I$63 * $I13) + (ASSUMPTIONS!$I$64 * $F13))
)</f>
        <v>0</v>
      </c>
      <c r="J54" s="153">
        <f t="array" ref="J54">IFS(AND(J$36 = $E$18, J$36 =ASSUMPTIONS!$E$60), $E27 * J44 * ((ASSUMPTIONS!$E$63 * $I13) + (ASSUMPTIONS!$E$64 * $F13)), 
AND(J$36 = $F$18, J$36 =ASSUMPTIONS!$F$60), $F27 * J44 * ((ASSUMPTIONS!$F$63 * $I13) + (ASSUMPTIONS!$F$64 * $F13)), 
AND(J$36 = $G$18, J$36 =ASSUMPTIONS!$G$60), $G27 * J44 * ((ASSUMPTIONS!$G$63 * $I13) + (ASSUMPTIONS!$G$64 * $F13)), 
AND(J$36 = $H$18, J$36 =ASSUMPTIONS!$H$60), $H27 * J44 * ((ASSUMPTIONS!$H$63 * $I13) + (ASSUMPTIONS!$H$64 * $F13)), 
TRUE, $I27 *J44 * ((ASSUMPTIONS!$I$63 * $I13) + (ASSUMPTIONS!$I$64 * $F13))
)</f>
        <v>0</v>
      </c>
      <c r="K54" s="153">
        <f t="array" ref="K54">IFS(AND(K$36 = $E$18, K$36 =ASSUMPTIONS!$E$60), $E27 * K44 * ((ASSUMPTIONS!$E$63 * $I13) + (ASSUMPTIONS!$E$64 * $F13)), 
AND(K$36 = $F$18, K$36 =ASSUMPTIONS!$F$60), $F27 * K44 * ((ASSUMPTIONS!$F$63 * $I13) + (ASSUMPTIONS!$F$64 * $F13)), 
AND(K$36 = $G$18, K$36 =ASSUMPTIONS!$G$60), $G27 * K44 * ((ASSUMPTIONS!$G$63 * $I13) + (ASSUMPTIONS!$G$64 * $F13)), 
AND(K$36 = $H$18, K$36 =ASSUMPTIONS!$H$60), $H27 * K44 * ((ASSUMPTIONS!$H$63 * $I13) + (ASSUMPTIONS!$H$64 * $F13)), 
TRUE, $I27 *K44 * ((ASSUMPTIONS!$I$63 * $I13) + (ASSUMPTIONS!$I$64 * $F13))
)</f>
        <v>2106133.92</v>
      </c>
      <c r="L54" s="153">
        <f t="array" ref="L54">IFS(AND(L$36 = $E$18, L$36 =ASSUMPTIONS!$E$60), $E27 * L44 * ((ASSUMPTIONS!$E$63 * $I13) + (ASSUMPTIONS!$E$64 * $F13)), 
AND(L$36 = $F$18, L$36 =ASSUMPTIONS!$F$60), $F27 * L44 * ((ASSUMPTIONS!$F$63 * $I13) + (ASSUMPTIONS!$F$64 * $F13)), 
AND(L$36 = $G$18, L$36 =ASSUMPTIONS!$G$60), $G27 * L44 * ((ASSUMPTIONS!$G$63 * $I13) + (ASSUMPTIONS!$G$64 * $F13)), 
AND(L$36 = $H$18, L$36 =ASSUMPTIONS!$H$60), $H27 * L44 * ((ASSUMPTIONS!$H$63 * $I13) + (ASSUMPTIONS!$H$64 * $F13)), 
TRUE, $I27 *L44 * ((ASSUMPTIONS!$I$63 * $I13) + (ASSUMPTIONS!$I$64 * $F13))
)</f>
        <v>2106133.92</v>
      </c>
      <c r="M54" s="153">
        <f t="array" ref="M54">IFS(AND(M$36 = $E$18, M$36 =ASSUMPTIONS!$E$60), $E27 * M44 * ((ASSUMPTIONS!$E$63 * $I13) + (ASSUMPTIONS!$E$64 * $F13)), 
AND(M$36 = $F$18, M$36 =ASSUMPTIONS!$F$60), $F27 * M44 * ((ASSUMPTIONS!$F$63 * $I13) + (ASSUMPTIONS!$F$64 * $F13)), 
AND(M$36 = $G$18, M$36 =ASSUMPTIONS!$G$60), $G27 * M44 * ((ASSUMPTIONS!$G$63 * $I13) + (ASSUMPTIONS!$G$64 * $F13)), 
AND(M$36 = $H$18, M$36 =ASSUMPTIONS!$H$60), $H27 * M44 * ((ASSUMPTIONS!$H$63 * $I13) + (ASSUMPTIONS!$H$64 * $F13)), 
TRUE, $I27 *M44 * ((ASSUMPTIONS!$I$63 * $I13) + (ASSUMPTIONS!$I$64 * $F13))
)</f>
        <v>2106133.92</v>
      </c>
      <c r="N54" s="153">
        <f t="array" ref="N54">IFS(AND(N$36 = $E$18, N$36 =ASSUMPTIONS!$E$60), $E27 * N44 * ((ASSUMPTIONS!$E$63 * $I13) + (ASSUMPTIONS!$E$64 * $F13)), 
AND(N$36 = $F$18, N$36 =ASSUMPTIONS!$F$60), $F27 * N44 * ((ASSUMPTIONS!$F$63 * $I13) + (ASSUMPTIONS!$F$64 * $F13)), 
AND(N$36 = $G$18, N$36 =ASSUMPTIONS!$G$60), $G27 * N44 * ((ASSUMPTIONS!$G$63 * $I13) + (ASSUMPTIONS!$G$64 * $F13)), 
AND(N$36 = $H$18, N$36 =ASSUMPTIONS!$H$60), $H27 * N44 * ((ASSUMPTIONS!$H$63 * $I13) + (ASSUMPTIONS!$H$64 * $F13)), 
TRUE, $I27 *N44 * ((ASSUMPTIONS!$I$63 * $I13) + (ASSUMPTIONS!$I$64 * $F13))
)</f>
        <v>2106133.92</v>
      </c>
      <c r="O54" s="153">
        <f t="array" ref="O54">IFS(AND(O$36 = $E$18, O$36 =ASSUMPTIONS!$E$60), $E27 * O44 * ((ASSUMPTIONS!$E$63 * $I13) + (ASSUMPTIONS!$E$64 * $F13)), 
AND(O$36 = $F$18, O$36 =ASSUMPTIONS!$F$60), $F27 * O44 * ((ASSUMPTIONS!$F$63 * $I13) + (ASSUMPTIONS!$F$64 * $F13)), 
AND(O$36 = $G$18, O$36 =ASSUMPTIONS!$G$60), $G27 * O44 * ((ASSUMPTIONS!$G$63 * $I13) + (ASSUMPTIONS!$G$64 * $F13)), 
AND(O$36 = $H$18, O$36 =ASSUMPTIONS!$H$60), $H27 * O44 * ((ASSUMPTIONS!$H$63 * $I13) + (ASSUMPTIONS!$H$64 * $F13)), 
TRUE, $I27 *O44 * ((ASSUMPTIONS!$I$63 * $I13) + (ASSUMPTIONS!$I$64 * $F13))
)</f>
        <v>2106133.92</v>
      </c>
      <c r="P54" s="153">
        <f t="array" ref="P54">IFS(AND(P$36 = $E$18, P$36 =ASSUMPTIONS!$E$60), $E27 * P44 * ((ASSUMPTIONS!$E$63 * $I13) + (ASSUMPTIONS!$E$64 * $F13)), 
AND(P$36 = $F$18, P$36 =ASSUMPTIONS!$F$60), $F27 * P44 * ((ASSUMPTIONS!$F$63 * $I13) + (ASSUMPTIONS!$F$64 * $F13)), 
AND(P$36 = $G$18, P$36 =ASSUMPTIONS!$G$60), $G27 * P44 * ((ASSUMPTIONS!$G$63 * $I13) + (ASSUMPTIONS!$G$64 * $F13)), 
AND(P$36 = $H$18, P$36 =ASSUMPTIONS!$H$60), $H27 * P44 * ((ASSUMPTIONS!$H$63 * $I13) + (ASSUMPTIONS!$H$64 * $F13)), 
TRUE, $I27 *P44 * ((ASSUMPTIONS!$I$63 * $I13) + (ASSUMPTIONS!$I$64 * $F13))
)</f>
        <v>2106133.92</v>
      </c>
      <c r="Q54" s="153">
        <f t="array" ref="Q54">IFS(AND(Q$36 = $E$18, Q$36 =ASSUMPTIONS!$E$60), $E27 * Q44 * ((ASSUMPTIONS!$E$63 * $I13) + (ASSUMPTIONS!$E$64 * $F13)), 
AND(Q$36 = $F$18, Q$36 =ASSUMPTIONS!$F$60), $F27 * Q44 * ((ASSUMPTIONS!$F$63 * $I13) + (ASSUMPTIONS!$F$64 * $F13)), 
AND(Q$36 = $G$18, Q$36 =ASSUMPTIONS!$G$60), $G27 * Q44 * ((ASSUMPTIONS!$G$63 * $I13) + (ASSUMPTIONS!$G$64 * $F13)), 
AND(Q$36 = $H$18, Q$36 =ASSUMPTIONS!$H$60), $H27 * Q44 * ((ASSUMPTIONS!$H$63 * $I13) + (ASSUMPTIONS!$H$64 * $F13)), 
TRUE, $I27 *Q44 * ((ASSUMPTIONS!$I$63 * $I13) + (ASSUMPTIONS!$I$64 * $F13))
)</f>
        <v>2268842.257</v>
      </c>
      <c r="R54" s="153">
        <f t="array" ref="R54">IFS(AND(R$36 = $E$18, R$36 =ASSUMPTIONS!$E$60), $E27 * R44 * ((ASSUMPTIONS!$E$63 * $I13) + (ASSUMPTIONS!$E$64 * $F13)), 
AND(R$36 = $F$18, R$36 =ASSUMPTIONS!$F$60), $F27 * R44 * ((ASSUMPTIONS!$F$63 * $I13) + (ASSUMPTIONS!$F$64 * $F13)), 
AND(R$36 = $G$18, R$36 =ASSUMPTIONS!$G$60), $G27 * R44 * ((ASSUMPTIONS!$G$63 * $I13) + (ASSUMPTIONS!$G$64 * $F13)), 
AND(R$36 = $H$18, R$36 =ASSUMPTIONS!$H$60), $H27 * R44 * ((ASSUMPTIONS!$H$63 * $I13) + (ASSUMPTIONS!$H$64 * $F13)), 
TRUE, $I27 *R44 * ((ASSUMPTIONS!$I$63 * $I13) + (ASSUMPTIONS!$I$64 * $F13))
)</f>
        <v>2268842.257</v>
      </c>
      <c r="S54" s="153">
        <f t="array" ref="S54">IFS(AND(S$36 = $E$18, S$36 =ASSUMPTIONS!$E$60), $E27 * S44 * ((ASSUMPTIONS!$E$63 * $I13) + (ASSUMPTIONS!$E$64 * $F13)), 
AND(S$36 = $F$18, S$36 =ASSUMPTIONS!$F$60), $F27 * S44 * ((ASSUMPTIONS!$F$63 * $I13) + (ASSUMPTIONS!$F$64 * $F13)), 
AND(S$36 = $G$18, S$36 =ASSUMPTIONS!$G$60), $G27 * S44 * ((ASSUMPTIONS!$G$63 * $I13) + (ASSUMPTIONS!$G$64 * $F13)), 
AND(S$36 = $H$18, S$36 =ASSUMPTIONS!$H$60), $H27 * S44 * ((ASSUMPTIONS!$H$63 * $I13) + (ASSUMPTIONS!$H$64 * $F13)), 
TRUE, $I27 *S44 * ((ASSUMPTIONS!$I$63 * $I13) + (ASSUMPTIONS!$I$64 * $F13))
)</f>
        <v>2268842.257</v>
      </c>
      <c r="T54" s="153">
        <f t="array" ref="T54">IFS(AND(T$36 = $E$18, T$36 =ASSUMPTIONS!$E$60), $E27 * T44 * ((ASSUMPTIONS!$E$63 * $I13) + (ASSUMPTIONS!$E$64 * $F13)), 
AND(T$36 = $F$18, T$36 =ASSUMPTIONS!$F$60), $F27 * T44 * ((ASSUMPTIONS!$F$63 * $I13) + (ASSUMPTIONS!$F$64 * $F13)), 
AND(T$36 = $G$18, T$36 =ASSUMPTIONS!$G$60), $G27 * T44 * ((ASSUMPTIONS!$G$63 * $I13) + (ASSUMPTIONS!$G$64 * $F13)), 
AND(T$36 = $H$18, T$36 =ASSUMPTIONS!$H$60), $H27 * T44 * ((ASSUMPTIONS!$H$63 * $I13) + (ASSUMPTIONS!$H$64 * $F13)), 
TRUE, $I27 *T44 * ((ASSUMPTIONS!$I$63 * $I13) + (ASSUMPTIONS!$I$64 * $F13))
)</f>
        <v>2268842.257</v>
      </c>
      <c r="U54" s="153">
        <f t="array" ref="U54">IFS(AND(U$36 = $E$18, U$36 =ASSUMPTIONS!$E$60), $E27 * U44 * ((ASSUMPTIONS!$E$63 * $I13) + (ASSUMPTIONS!$E$64 * $F13)), 
AND(U$36 = $F$18, U$36 =ASSUMPTIONS!$F$60), $F27 * U44 * ((ASSUMPTIONS!$F$63 * $I13) + (ASSUMPTIONS!$F$64 * $F13)), 
AND(U$36 = $G$18, U$36 =ASSUMPTIONS!$G$60), $G27 * U44 * ((ASSUMPTIONS!$G$63 * $I13) + (ASSUMPTIONS!$G$64 * $F13)), 
AND(U$36 = $H$18, U$36 =ASSUMPTIONS!$H$60), $H27 * U44 * ((ASSUMPTIONS!$H$63 * $I13) + (ASSUMPTIONS!$H$64 * $F13)), 
TRUE, $I27 *U44 * ((ASSUMPTIONS!$I$63 * $I13) + (ASSUMPTIONS!$I$64 * $F13))
)</f>
        <v>2268842.257</v>
      </c>
      <c r="V54" s="153">
        <f t="array" ref="V54">IFS(AND(V$36 = $E$18, V$36 =ASSUMPTIONS!$E$60), $E27 * V44 * ((ASSUMPTIONS!$E$63 * $I13) + (ASSUMPTIONS!$E$64 * $F13)), 
AND(V$36 = $F$18, V$36 =ASSUMPTIONS!$F$60), $F27 * V44 * ((ASSUMPTIONS!$F$63 * $I13) + (ASSUMPTIONS!$F$64 * $F13)), 
AND(V$36 = $G$18, V$36 =ASSUMPTIONS!$G$60), $G27 * V44 * ((ASSUMPTIONS!$G$63 * $I13) + (ASSUMPTIONS!$G$64 * $F13)), 
AND(V$36 = $H$18, V$36 =ASSUMPTIONS!$H$60), $H27 * V44 * ((ASSUMPTIONS!$H$63 * $I13) + (ASSUMPTIONS!$H$64 * $F13)), 
TRUE, $I27 *V44 * ((ASSUMPTIONS!$I$63 * $I13) + (ASSUMPTIONS!$I$64 * $F13))
)</f>
        <v>2268842.257</v>
      </c>
      <c r="W54" s="153">
        <f t="array" ref="W54">IFS(AND(W$36 = $E$18, W$36 =ASSUMPTIONS!$E$60), $E27 * W44 * ((ASSUMPTIONS!$E$63 * $I13) + (ASSUMPTIONS!$E$64 * $F13)), 
AND(W$36 = $F$18, W$36 =ASSUMPTIONS!$F$60), $F27 * W44 * ((ASSUMPTIONS!$F$63 * $I13) + (ASSUMPTIONS!$F$64 * $F13)), 
AND(W$36 = $G$18, W$36 =ASSUMPTIONS!$G$60), $G27 * W44 * ((ASSUMPTIONS!$G$63 * $I13) + (ASSUMPTIONS!$G$64 * $F13)), 
AND(W$36 = $H$18, W$36 =ASSUMPTIONS!$H$60), $H27 * W44 * ((ASSUMPTIONS!$H$63 * $I13) + (ASSUMPTIONS!$H$64 * $F13)), 
TRUE, $I27 *W44 * ((ASSUMPTIONS!$I$63 * $I13) + (ASSUMPTIONS!$I$64 * $F13))
)</f>
        <v>2268842.257</v>
      </c>
      <c r="X54" s="153">
        <f t="array" ref="X54">IFS(AND(X$36 = $E$18, X$36 =ASSUMPTIONS!$E$60), $E27 * X44 * ((ASSUMPTIONS!$E$63 * $I13) + (ASSUMPTIONS!$E$64 * $F13)), 
AND(X$36 = $F$18, X$36 =ASSUMPTIONS!$F$60), $F27 * X44 * ((ASSUMPTIONS!$F$63 * $I13) + (ASSUMPTIONS!$F$64 * $F13)), 
AND(X$36 = $G$18, X$36 =ASSUMPTIONS!$G$60), $G27 * X44 * ((ASSUMPTIONS!$G$63 * $I13) + (ASSUMPTIONS!$G$64 * $F13)), 
AND(X$36 = $H$18, X$36 =ASSUMPTIONS!$H$60), $H27 * X44 * ((ASSUMPTIONS!$H$63 * $I13) + (ASSUMPTIONS!$H$64 * $F13)), 
TRUE, $I27 *X44 * ((ASSUMPTIONS!$I$63 * $I13) + (ASSUMPTIONS!$I$64 * $F13))
)</f>
        <v>2268842.257</v>
      </c>
      <c r="Y54" s="153">
        <f t="array" ref="Y54">IFS(AND(Y$36 = $E$18, Y$36 =ASSUMPTIONS!$E$60), $E27 * Y44 * ((ASSUMPTIONS!$E$63 * $I13) + (ASSUMPTIONS!$E$64 * $F13)), 
AND(Y$36 = $F$18, Y$36 =ASSUMPTIONS!$F$60), $F27 * Y44 * ((ASSUMPTIONS!$F$63 * $I13) + (ASSUMPTIONS!$F$64 * $F13)), 
AND(Y$36 = $G$18, Y$36 =ASSUMPTIONS!$G$60), $G27 * Y44 * ((ASSUMPTIONS!$G$63 * $I13) + (ASSUMPTIONS!$G$64 * $F13)), 
AND(Y$36 = $H$18, Y$36 =ASSUMPTIONS!$H$60), $H27 * Y44 * ((ASSUMPTIONS!$H$63 * $I13) + (ASSUMPTIONS!$H$64 * $F13)), 
TRUE, $I27 *Y44 * ((ASSUMPTIONS!$I$63 * $I13) + (ASSUMPTIONS!$I$64 * $F13))
)</f>
        <v>2268842.257</v>
      </c>
      <c r="Z54" s="153">
        <f t="array" ref="Z54">IFS(AND(Z$36 = $E$18, Z$36 =ASSUMPTIONS!$E$60), $E27 * Z44 * ((ASSUMPTIONS!$E$63 * $I13) + (ASSUMPTIONS!$E$64 * $F13)), 
AND(Z$36 = $F$18, Z$36 =ASSUMPTIONS!$F$60), $F27 * Z44 * ((ASSUMPTIONS!$F$63 * $I13) + (ASSUMPTIONS!$F$64 * $F13)), 
AND(Z$36 = $G$18, Z$36 =ASSUMPTIONS!$G$60), $G27 * Z44 * ((ASSUMPTIONS!$G$63 * $I13) + (ASSUMPTIONS!$G$64 * $F13)), 
AND(Z$36 = $H$18, Z$36 =ASSUMPTIONS!$H$60), $H27 * Z44 * ((ASSUMPTIONS!$H$63 * $I13) + (ASSUMPTIONS!$H$64 * $F13)), 
TRUE, $I27 *Z44 * ((ASSUMPTIONS!$I$63 * $I13) + (ASSUMPTIONS!$I$64 * $F13))
)</f>
        <v>2268842.257</v>
      </c>
      <c r="AA54" s="153">
        <f t="array" ref="AA54">IFS(AND(AA$36 = $E$18, AA$36 =ASSUMPTIONS!$E$60), $E27 * AA44 * ((ASSUMPTIONS!$E$63 * $I13) + (ASSUMPTIONS!$E$64 * $F13)), 
AND(AA$36 = $F$18, AA$36 =ASSUMPTIONS!$F$60), $F27 * AA44 * ((ASSUMPTIONS!$F$63 * $I13) + (ASSUMPTIONS!$F$64 * $F13)), 
AND(AA$36 = $G$18, AA$36 =ASSUMPTIONS!$G$60), $G27 * AA44 * ((ASSUMPTIONS!$G$63 * $I13) + (ASSUMPTIONS!$G$64 * $F13)), 
AND(AA$36 = $H$18, AA$36 =ASSUMPTIONS!$H$60), $H27 * AA44 * ((ASSUMPTIONS!$H$63 * $I13) + (ASSUMPTIONS!$H$64 * $F13)), 
TRUE, $I27 *AA44 * ((ASSUMPTIONS!$I$63 * $I13) + (ASSUMPTIONS!$I$64 * $F13))
)</f>
        <v>2268842.257</v>
      </c>
      <c r="AB54" s="153">
        <f t="array" ref="AB54">IFS(AND(AB$36 = $E$18, AB$36 =ASSUMPTIONS!$E$60), $E27 * AB44 * ((ASSUMPTIONS!$E$63 * $I13) + (ASSUMPTIONS!$E$64 * $F13)), 
AND(AB$36 = $F$18, AB$36 =ASSUMPTIONS!$F$60), $F27 * AB44 * ((ASSUMPTIONS!$F$63 * $I13) + (ASSUMPTIONS!$F$64 * $F13)), 
AND(AB$36 = $G$18, AB$36 =ASSUMPTIONS!$G$60), $G27 * AB44 * ((ASSUMPTIONS!$G$63 * $I13) + (ASSUMPTIONS!$G$64 * $F13)), 
AND(AB$36 = $H$18, AB$36 =ASSUMPTIONS!$H$60), $H27 * AB44 * ((ASSUMPTIONS!$H$63 * $I13) + (ASSUMPTIONS!$H$64 * $F13)), 
TRUE, $I27 *AB44 * ((ASSUMPTIONS!$I$63 * $I13) + (ASSUMPTIONS!$I$64 * $F13))
)</f>
        <v>2268842.257</v>
      </c>
      <c r="AC54" s="153">
        <f t="array" ref="AC54">IFS(AND(AC$36 = $E$18, AC$36 =ASSUMPTIONS!$E$60), $E27 * AC44 * ((ASSUMPTIONS!$E$63 * $I13) + (ASSUMPTIONS!$E$64 * $F13)), 
AND(AC$36 = $F$18, AC$36 =ASSUMPTIONS!$F$60), $F27 * AC44 * ((ASSUMPTIONS!$F$63 * $I13) + (ASSUMPTIONS!$F$64 * $F13)), 
AND(AC$36 = $G$18, AC$36 =ASSUMPTIONS!$G$60), $G27 * AC44 * ((ASSUMPTIONS!$G$63 * $I13) + (ASSUMPTIONS!$G$64 * $F13)), 
AND(AC$36 = $H$18, AC$36 =ASSUMPTIONS!$H$60), $H27 * AC44 * ((ASSUMPTIONS!$H$63 * $I13) + (ASSUMPTIONS!$H$64 * $F13)), 
TRUE, $I27 *AC44 * ((ASSUMPTIONS!$I$63 * $I13) + (ASSUMPTIONS!$I$64 * $F13))
)</f>
        <v>4964028.467</v>
      </c>
      <c r="AD54" s="153">
        <f t="array" ref="AD54">IFS(AND(AD$36 = $E$18, AD$36 =ASSUMPTIONS!$E$60), $E27 * AD44 * ((ASSUMPTIONS!$E$63 * $I13) + (ASSUMPTIONS!$E$64 * $F13)), 
AND(AD$36 = $F$18, AD$36 =ASSUMPTIONS!$F$60), $F27 * AD44 * ((ASSUMPTIONS!$F$63 * $I13) + (ASSUMPTIONS!$F$64 * $F13)), 
AND(AD$36 = $G$18, AD$36 =ASSUMPTIONS!$G$60), $G27 * AD44 * ((ASSUMPTIONS!$G$63 * $I13) + (ASSUMPTIONS!$G$64 * $F13)), 
AND(AD$36 = $H$18, AD$36 =ASSUMPTIONS!$H$60), $H27 * AD44 * ((ASSUMPTIONS!$H$63 * $I13) + (ASSUMPTIONS!$H$64 * $F13)), 
TRUE, $I27 *AD44 * ((ASSUMPTIONS!$I$63 * $I13) + (ASSUMPTIONS!$I$64 * $F13))
)</f>
        <v>4964028.467</v>
      </c>
      <c r="AE54" s="153">
        <f t="array" ref="AE54">IFS(AND(AE$36 = $E$18, AE$36 =ASSUMPTIONS!$E$60), $E27 * AE44 * ((ASSUMPTIONS!$E$63 * $I13) + (ASSUMPTIONS!$E$64 * $F13)), 
AND(AE$36 = $F$18, AE$36 =ASSUMPTIONS!$F$60), $F27 * AE44 * ((ASSUMPTIONS!$F$63 * $I13) + (ASSUMPTIONS!$F$64 * $F13)), 
AND(AE$36 = $G$18, AE$36 =ASSUMPTIONS!$G$60), $G27 * AE44 * ((ASSUMPTIONS!$G$63 * $I13) + (ASSUMPTIONS!$G$64 * $F13)), 
AND(AE$36 = $H$18, AE$36 =ASSUMPTIONS!$H$60), $H27 * AE44 * ((ASSUMPTIONS!$H$63 * $I13) + (ASSUMPTIONS!$H$64 * $F13)), 
TRUE, $I27 *AE44 * ((ASSUMPTIONS!$I$63 * $I13) + (ASSUMPTIONS!$I$64 * $F13))
)</f>
        <v>4964028.467</v>
      </c>
      <c r="AF54" s="153">
        <f t="array" ref="AF54">IFS(AND(AF$36 = $E$18, AF$36 =ASSUMPTIONS!$E$60), $E27 * AF44 * ((ASSUMPTIONS!$E$63 * $I13) + (ASSUMPTIONS!$E$64 * $F13)), 
AND(AF$36 = $F$18, AF$36 =ASSUMPTIONS!$F$60), $F27 * AF44 * ((ASSUMPTIONS!$F$63 * $I13) + (ASSUMPTIONS!$F$64 * $F13)), 
AND(AF$36 = $G$18, AF$36 =ASSUMPTIONS!$G$60), $G27 * AF44 * ((ASSUMPTIONS!$G$63 * $I13) + (ASSUMPTIONS!$G$64 * $F13)), 
AND(AF$36 = $H$18, AF$36 =ASSUMPTIONS!$H$60), $H27 * AF44 * ((ASSUMPTIONS!$H$63 * $I13) + (ASSUMPTIONS!$H$64 * $F13)), 
TRUE, $I27 *AF44 * ((ASSUMPTIONS!$I$63 * $I13) + (ASSUMPTIONS!$I$64 * $F13))
)</f>
        <v>4964028.467</v>
      </c>
      <c r="AG54" s="153">
        <f t="array" ref="AG54">IFS(AND(AG$36 = $E$18, AG$36 =ASSUMPTIONS!$E$60), $E27 * AG44 * ((ASSUMPTIONS!$E$63 * $I13) + (ASSUMPTIONS!$E$64 * $F13)), 
AND(AG$36 = $F$18, AG$36 =ASSUMPTIONS!$F$60), $F27 * AG44 * ((ASSUMPTIONS!$F$63 * $I13) + (ASSUMPTIONS!$F$64 * $F13)), 
AND(AG$36 = $G$18, AG$36 =ASSUMPTIONS!$G$60), $G27 * AG44 * ((ASSUMPTIONS!$G$63 * $I13) + (ASSUMPTIONS!$G$64 * $F13)), 
AND(AG$36 = $H$18, AG$36 =ASSUMPTIONS!$H$60), $H27 * AG44 * ((ASSUMPTIONS!$H$63 * $I13) + (ASSUMPTIONS!$H$64 * $F13)), 
TRUE, $I27 *AG44 * ((ASSUMPTIONS!$I$63 * $I13) + (ASSUMPTIONS!$I$64 * $F13))
)</f>
        <v>4964028.467</v>
      </c>
      <c r="AH54" s="153">
        <f t="array" ref="AH54">IFS(AND(AH$36 = $E$18, AH$36 =ASSUMPTIONS!$E$60), $E27 * AH44 * ((ASSUMPTIONS!$E$63 * $I13) + (ASSUMPTIONS!$E$64 * $F13)), 
AND(AH$36 = $F$18, AH$36 =ASSUMPTIONS!$F$60), $F27 * AH44 * ((ASSUMPTIONS!$F$63 * $I13) + (ASSUMPTIONS!$F$64 * $F13)), 
AND(AH$36 = $G$18, AH$36 =ASSUMPTIONS!$G$60), $G27 * AH44 * ((ASSUMPTIONS!$G$63 * $I13) + (ASSUMPTIONS!$G$64 * $F13)), 
AND(AH$36 = $H$18, AH$36 =ASSUMPTIONS!$H$60), $H27 * AH44 * ((ASSUMPTIONS!$H$63 * $I13) + (ASSUMPTIONS!$H$64 * $F13)), 
TRUE, $I27 *AH44 * ((ASSUMPTIONS!$I$63 * $I13) + (ASSUMPTIONS!$I$64 * $F13))
)</f>
        <v>4964028.467</v>
      </c>
      <c r="AI54" s="153">
        <f t="array" ref="AI54">IFS(AND(AI$36 = $E$18, AI$36 =ASSUMPTIONS!$E$60), $E27 * AI44 * ((ASSUMPTIONS!$E$63 * $I13) + (ASSUMPTIONS!$E$64 * $F13)), 
AND(AI$36 = $F$18, AI$36 =ASSUMPTIONS!$F$60), $F27 * AI44 * ((ASSUMPTIONS!$F$63 * $I13) + (ASSUMPTIONS!$F$64 * $F13)), 
AND(AI$36 = $G$18, AI$36 =ASSUMPTIONS!$G$60), $G27 * AI44 * ((ASSUMPTIONS!$G$63 * $I13) + (ASSUMPTIONS!$G$64 * $F13)), 
AND(AI$36 = $H$18, AI$36 =ASSUMPTIONS!$H$60), $H27 * AI44 * ((ASSUMPTIONS!$H$63 * $I13) + (ASSUMPTIONS!$H$64 * $F13)), 
TRUE, $I27 *AI44 * ((ASSUMPTIONS!$I$63 * $I13) + (ASSUMPTIONS!$I$64 * $F13))
)</f>
        <v>4964028.467</v>
      </c>
      <c r="AJ54" s="153">
        <f t="array" ref="AJ54">IFS(AND(AJ$36 = $E$18, AJ$36 =ASSUMPTIONS!$E$60), $E27 * AJ44 * ((ASSUMPTIONS!$E$63 * $I13) + (ASSUMPTIONS!$E$64 * $F13)), 
AND(AJ$36 = $F$18, AJ$36 =ASSUMPTIONS!$F$60), $F27 * AJ44 * ((ASSUMPTIONS!$F$63 * $I13) + (ASSUMPTIONS!$F$64 * $F13)), 
AND(AJ$36 = $G$18, AJ$36 =ASSUMPTIONS!$G$60), $G27 * AJ44 * ((ASSUMPTIONS!$G$63 * $I13) + (ASSUMPTIONS!$G$64 * $F13)), 
AND(AJ$36 = $H$18, AJ$36 =ASSUMPTIONS!$H$60), $H27 * AJ44 * ((ASSUMPTIONS!$H$63 * $I13) + (ASSUMPTIONS!$H$64 * $F13)), 
TRUE, $I27 *AJ44 * ((ASSUMPTIONS!$I$63 * $I13) + (ASSUMPTIONS!$I$64 * $F13))
)</f>
        <v>4964028.467</v>
      </c>
      <c r="AK54" s="153">
        <f t="array" ref="AK54">IFS(AND(AK$36 = $E$18, AK$36 =ASSUMPTIONS!$E$60), $E27 * AK44 * ((ASSUMPTIONS!$E$63 * $I13) + (ASSUMPTIONS!$E$64 * $F13)), 
AND(AK$36 = $F$18, AK$36 =ASSUMPTIONS!$F$60), $F27 * AK44 * ((ASSUMPTIONS!$F$63 * $I13) + (ASSUMPTIONS!$F$64 * $F13)), 
AND(AK$36 = $G$18, AK$36 =ASSUMPTIONS!$G$60), $G27 * AK44 * ((ASSUMPTIONS!$G$63 * $I13) + (ASSUMPTIONS!$G$64 * $F13)), 
AND(AK$36 = $H$18, AK$36 =ASSUMPTIONS!$H$60), $H27 * AK44 * ((ASSUMPTIONS!$H$63 * $I13) + (ASSUMPTIONS!$H$64 * $F13)), 
TRUE, $I27 *AK44 * ((ASSUMPTIONS!$I$63 * $I13) + (ASSUMPTIONS!$I$64 * $F13))
)</f>
        <v>4964028.467</v>
      </c>
      <c r="AL54" s="153">
        <f t="array" ref="AL54">IFS(AND(AL$36 = $E$18, AL$36 =ASSUMPTIONS!$E$60), $E27 * AL44 * ((ASSUMPTIONS!$E$63 * $I13) + (ASSUMPTIONS!$E$64 * $F13)), 
AND(AL$36 = $F$18, AL$36 =ASSUMPTIONS!$F$60), $F27 * AL44 * ((ASSUMPTIONS!$F$63 * $I13) + (ASSUMPTIONS!$F$64 * $F13)), 
AND(AL$36 = $G$18, AL$36 =ASSUMPTIONS!$G$60), $G27 * AL44 * ((ASSUMPTIONS!$G$63 * $I13) + (ASSUMPTIONS!$G$64 * $F13)), 
AND(AL$36 = $H$18, AL$36 =ASSUMPTIONS!$H$60), $H27 * AL44 * ((ASSUMPTIONS!$H$63 * $I13) + (ASSUMPTIONS!$H$64 * $F13)), 
TRUE, $I27 *AL44 * ((ASSUMPTIONS!$I$63 * $I13) + (ASSUMPTIONS!$I$64 * $F13))
)</f>
        <v>4964028.467</v>
      </c>
      <c r="AM54" s="153">
        <f t="array" ref="AM54">IFS(AND(AM$36 = $E$18, AM$36 =ASSUMPTIONS!$E$60), $E27 * AM44 * ((ASSUMPTIONS!$E$63 * $I13) + (ASSUMPTIONS!$E$64 * $F13)), 
AND(AM$36 = $F$18, AM$36 =ASSUMPTIONS!$F$60), $F27 * AM44 * ((ASSUMPTIONS!$F$63 * $I13) + (ASSUMPTIONS!$F$64 * $F13)), 
AND(AM$36 = $G$18, AM$36 =ASSUMPTIONS!$G$60), $G27 * AM44 * ((ASSUMPTIONS!$G$63 * $I13) + (ASSUMPTIONS!$G$64 * $F13)), 
AND(AM$36 = $H$18, AM$36 =ASSUMPTIONS!$H$60), $H27 * AM44 * ((ASSUMPTIONS!$H$63 * $I13) + (ASSUMPTIONS!$H$64 * $F13)), 
TRUE, $I27 *AM44 * ((ASSUMPTIONS!$I$63 * $I13) + (ASSUMPTIONS!$I$64 * $F13))
)</f>
        <v>4964028.467</v>
      </c>
      <c r="AN54" s="153">
        <f t="array" ref="AN54">IFS(AND(AN$36 = $E$18, AN$36 =ASSUMPTIONS!$E$60), $E27 * AN44 * ((ASSUMPTIONS!$E$63 * $I13) + (ASSUMPTIONS!$E$64 * $F13)), 
AND(AN$36 = $F$18, AN$36 =ASSUMPTIONS!$F$60), $F27 * AN44 * ((ASSUMPTIONS!$F$63 * $I13) + (ASSUMPTIONS!$F$64 * $F13)), 
AND(AN$36 = $G$18, AN$36 =ASSUMPTIONS!$G$60), $G27 * AN44 * ((ASSUMPTIONS!$G$63 * $I13) + (ASSUMPTIONS!$G$64 * $F13)), 
AND(AN$36 = $H$18, AN$36 =ASSUMPTIONS!$H$60), $H27 * AN44 * ((ASSUMPTIONS!$H$63 * $I13) + (ASSUMPTIONS!$H$64 * $F13)), 
TRUE, $I27 *AN44 * ((ASSUMPTIONS!$I$63 * $I13) + (ASSUMPTIONS!$I$64 * $F13))
)</f>
        <v>4964028.467</v>
      </c>
      <c r="AO54" s="153">
        <f t="array" ref="AO54">IFS(AND(AO$36 = $E$18, AO$36 =ASSUMPTIONS!$E$60), $E27 * AO44 * ((ASSUMPTIONS!$E$63 * $I13) + (ASSUMPTIONS!$E$64 * $F13)), 
AND(AO$36 = $F$18, AO$36 =ASSUMPTIONS!$F$60), $F27 * AO44 * ((ASSUMPTIONS!$F$63 * $I13) + (ASSUMPTIONS!$F$64 * $F13)), 
AND(AO$36 = $G$18, AO$36 =ASSUMPTIONS!$G$60), $G27 * AO44 * ((ASSUMPTIONS!$G$63 * $I13) + (ASSUMPTIONS!$G$64 * $F13)), 
AND(AO$36 = $H$18, AO$36 =ASSUMPTIONS!$H$60), $H27 * AO44 * ((ASSUMPTIONS!$H$63 * $I13) + (ASSUMPTIONS!$H$64 * $F13)), 
TRUE, $I27 *AO44 * ((ASSUMPTIONS!$I$63 * $I13) + (ASSUMPTIONS!$I$64 * $F13))
)</f>
        <v>16275594.09</v>
      </c>
      <c r="AP54" s="153">
        <f t="array" ref="AP54">IFS(AND(AP$36 = $E$18, AP$36 =ASSUMPTIONS!$E$60), $E27 * AP44 * ((ASSUMPTIONS!$E$63 * $I13) + (ASSUMPTIONS!$E$64 * $F13)), 
AND(AP$36 = $F$18, AP$36 =ASSUMPTIONS!$F$60), $F27 * AP44 * ((ASSUMPTIONS!$F$63 * $I13) + (ASSUMPTIONS!$F$64 * $F13)), 
AND(AP$36 = $G$18, AP$36 =ASSUMPTIONS!$G$60), $G27 * AP44 * ((ASSUMPTIONS!$G$63 * $I13) + (ASSUMPTIONS!$G$64 * $F13)), 
AND(AP$36 = $H$18, AP$36 =ASSUMPTIONS!$H$60), $H27 * AP44 * ((ASSUMPTIONS!$H$63 * $I13) + (ASSUMPTIONS!$H$64 * $F13)), 
TRUE, $I27 *AP44 * ((ASSUMPTIONS!$I$63 * $I13) + (ASSUMPTIONS!$I$64 * $F13))
)</f>
        <v>16275594.09</v>
      </c>
      <c r="AQ54" s="153">
        <f t="array" ref="AQ54">IFS(AND(AQ$36 = $E$18, AQ$36 =ASSUMPTIONS!$E$60), $E27 * AQ44 * ((ASSUMPTIONS!$E$63 * $I13) + (ASSUMPTIONS!$E$64 * $F13)), 
AND(AQ$36 = $F$18, AQ$36 =ASSUMPTIONS!$F$60), $F27 * AQ44 * ((ASSUMPTIONS!$F$63 * $I13) + (ASSUMPTIONS!$F$64 * $F13)), 
AND(AQ$36 = $G$18, AQ$36 =ASSUMPTIONS!$G$60), $G27 * AQ44 * ((ASSUMPTIONS!$G$63 * $I13) + (ASSUMPTIONS!$G$64 * $F13)), 
AND(AQ$36 = $H$18, AQ$36 =ASSUMPTIONS!$H$60), $H27 * AQ44 * ((ASSUMPTIONS!$H$63 * $I13) + (ASSUMPTIONS!$H$64 * $F13)), 
TRUE, $I27 *AQ44 * ((ASSUMPTIONS!$I$63 * $I13) + (ASSUMPTIONS!$I$64 * $F13))
)</f>
        <v>16275594.09</v>
      </c>
      <c r="AR54" s="153">
        <f t="array" ref="AR54">IFS(AND(AR$36 = $E$18, AR$36 =ASSUMPTIONS!$E$60), $E27 * AR44 * ((ASSUMPTIONS!$E$63 * $I13) + (ASSUMPTIONS!$E$64 * $F13)), 
AND(AR$36 = $F$18, AR$36 =ASSUMPTIONS!$F$60), $F27 * AR44 * ((ASSUMPTIONS!$F$63 * $I13) + (ASSUMPTIONS!$F$64 * $F13)), 
AND(AR$36 = $G$18, AR$36 =ASSUMPTIONS!$G$60), $G27 * AR44 * ((ASSUMPTIONS!$G$63 * $I13) + (ASSUMPTIONS!$G$64 * $F13)), 
AND(AR$36 = $H$18, AR$36 =ASSUMPTIONS!$H$60), $H27 * AR44 * ((ASSUMPTIONS!$H$63 * $I13) + (ASSUMPTIONS!$H$64 * $F13)), 
TRUE, $I27 *AR44 * ((ASSUMPTIONS!$I$63 * $I13) + (ASSUMPTIONS!$I$64 * $F13))
)</f>
        <v>16275594.09</v>
      </c>
      <c r="AS54" s="153">
        <f t="array" ref="AS54">IFS(AND(AS$36 = $E$18, AS$36 =ASSUMPTIONS!$E$60), $E27 * AS44 * ((ASSUMPTIONS!$E$63 * $I13) + (ASSUMPTIONS!$E$64 * $F13)), 
AND(AS$36 = $F$18, AS$36 =ASSUMPTIONS!$F$60), $F27 * AS44 * ((ASSUMPTIONS!$F$63 * $I13) + (ASSUMPTIONS!$F$64 * $F13)), 
AND(AS$36 = $G$18, AS$36 =ASSUMPTIONS!$G$60), $G27 * AS44 * ((ASSUMPTIONS!$G$63 * $I13) + (ASSUMPTIONS!$G$64 * $F13)), 
AND(AS$36 = $H$18, AS$36 =ASSUMPTIONS!$H$60), $H27 * AS44 * ((ASSUMPTIONS!$H$63 * $I13) + (ASSUMPTIONS!$H$64 * $F13)), 
TRUE, $I27 *AS44 * ((ASSUMPTIONS!$I$63 * $I13) + (ASSUMPTIONS!$I$64 * $F13))
)</f>
        <v>16275594.09</v>
      </c>
      <c r="AT54" s="153">
        <f t="array" ref="AT54">IFS(AND(AT$36 = $E$18, AT$36 =ASSUMPTIONS!$E$60), $E27 * AT44 * ((ASSUMPTIONS!$E$63 * $I13) + (ASSUMPTIONS!$E$64 * $F13)), 
AND(AT$36 = $F$18, AT$36 =ASSUMPTIONS!$F$60), $F27 * AT44 * ((ASSUMPTIONS!$F$63 * $I13) + (ASSUMPTIONS!$F$64 * $F13)), 
AND(AT$36 = $G$18, AT$36 =ASSUMPTIONS!$G$60), $G27 * AT44 * ((ASSUMPTIONS!$G$63 * $I13) + (ASSUMPTIONS!$G$64 * $F13)), 
AND(AT$36 = $H$18, AT$36 =ASSUMPTIONS!$H$60), $H27 * AT44 * ((ASSUMPTIONS!$H$63 * $I13) + (ASSUMPTIONS!$H$64 * $F13)), 
TRUE, $I27 *AT44 * ((ASSUMPTIONS!$I$63 * $I13) + (ASSUMPTIONS!$I$64 * $F13))
)</f>
        <v>16275594.09</v>
      </c>
      <c r="AU54" s="153">
        <f t="array" ref="AU54">IFS(AND(AU$36 = $E$18, AU$36 =ASSUMPTIONS!$E$60), $E27 * AU44 * ((ASSUMPTIONS!$E$63 * $I13) + (ASSUMPTIONS!$E$64 * $F13)), 
AND(AU$36 = $F$18, AU$36 =ASSUMPTIONS!$F$60), $F27 * AU44 * ((ASSUMPTIONS!$F$63 * $I13) + (ASSUMPTIONS!$F$64 * $F13)), 
AND(AU$36 = $G$18, AU$36 =ASSUMPTIONS!$G$60), $G27 * AU44 * ((ASSUMPTIONS!$G$63 * $I13) + (ASSUMPTIONS!$G$64 * $F13)), 
AND(AU$36 = $H$18, AU$36 =ASSUMPTIONS!$H$60), $H27 * AU44 * ((ASSUMPTIONS!$H$63 * $I13) + (ASSUMPTIONS!$H$64 * $F13)), 
TRUE, $I27 *AU44 * ((ASSUMPTIONS!$I$63 * $I13) + (ASSUMPTIONS!$I$64 * $F13))
)</f>
        <v>16275594.09</v>
      </c>
      <c r="AV54" s="153">
        <f t="array" ref="AV54">IFS(AND(AV$36 = $E$18, AV$36 =ASSUMPTIONS!$E$60), $E27 * AV44 * ((ASSUMPTIONS!$E$63 * $I13) + (ASSUMPTIONS!$E$64 * $F13)), 
AND(AV$36 = $F$18, AV$36 =ASSUMPTIONS!$F$60), $F27 * AV44 * ((ASSUMPTIONS!$F$63 * $I13) + (ASSUMPTIONS!$F$64 * $F13)), 
AND(AV$36 = $G$18, AV$36 =ASSUMPTIONS!$G$60), $G27 * AV44 * ((ASSUMPTIONS!$G$63 * $I13) + (ASSUMPTIONS!$G$64 * $F13)), 
AND(AV$36 = $H$18, AV$36 =ASSUMPTIONS!$H$60), $H27 * AV44 * ((ASSUMPTIONS!$H$63 * $I13) + (ASSUMPTIONS!$H$64 * $F13)), 
TRUE, $I27 *AV44 * ((ASSUMPTIONS!$I$63 * $I13) + (ASSUMPTIONS!$I$64 * $F13))
)</f>
        <v>16275594.09</v>
      </c>
      <c r="AW54" s="153">
        <f t="array" ref="AW54">IFS(AND(AW$36 = $E$18, AW$36 =ASSUMPTIONS!$E$60), $E27 * AW44 * ((ASSUMPTIONS!$E$63 * $I13) + (ASSUMPTIONS!$E$64 * $F13)), 
AND(AW$36 = $F$18, AW$36 =ASSUMPTIONS!$F$60), $F27 * AW44 * ((ASSUMPTIONS!$F$63 * $I13) + (ASSUMPTIONS!$F$64 * $F13)), 
AND(AW$36 = $G$18, AW$36 =ASSUMPTIONS!$G$60), $G27 * AW44 * ((ASSUMPTIONS!$G$63 * $I13) + (ASSUMPTIONS!$G$64 * $F13)), 
AND(AW$36 = $H$18, AW$36 =ASSUMPTIONS!$H$60), $H27 * AW44 * ((ASSUMPTIONS!$H$63 * $I13) + (ASSUMPTIONS!$H$64 * $F13)), 
TRUE, $I27 *AW44 * ((ASSUMPTIONS!$I$63 * $I13) + (ASSUMPTIONS!$I$64 * $F13))
)</f>
        <v>16275594.09</v>
      </c>
      <c r="AX54" s="153">
        <f t="array" ref="AX54">IFS(AND(AX$36 = $E$18, AX$36 =ASSUMPTIONS!$E$60), $E27 * AX44 * ((ASSUMPTIONS!$E$63 * $I13) + (ASSUMPTIONS!$E$64 * $F13)), 
AND(AX$36 = $F$18, AX$36 =ASSUMPTIONS!$F$60), $F27 * AX44 * ((ASSUMPTIONS!$F$63 * $I13) + (ASSUMPTIONS!$F$64 * $F13)), 
AND(AX$36 = $G$18, AX$36 =ASSUMPTIONS!$G$60), $G27 * AX44 * ((ASSUMPTIONS!$G$63 * $I13) + (ASSUMPTIONS!$G$64 * $F13)), 
AND(AX$36 = $H$18, AX$36 =ASSUMPTIONS!$H$60), $H27 * AX44 * ((ASSUMPTIONS!$H$63 * $I13) + (ASSUMPTIONS!$H$64 * $F13)), 
TRUE, $I27 *AX44 * ((ASSUMPTIONS!$I$63 * $I13) + (ASSUMPTIONS!$I$64 * $F13))
)</f>
        <v>16275594.09</v>
      </c>
      <c r="AY54" s="153">
        <f t="array" ref="AY54">IFS(AND(AY$36 = $E$18, AY$36 =ASSUMPTIONS!$E$60), $E27 * AY44 * ((ASSUMPTIONS!$E$63 * $I13) + (ASSUMPTIONS!$E$64 * $F13)), 
AND(AY$36 = $F$18, AY$36 =ASSUMPTIONS!$F$60), $F27 * AY44 * ((ASSUMPTIONS!$F$63 * $I13) + (ASSUMPTIONS!$F$64 * $F13)), 
AND(AY$36 = $G$18, AY$36 =ASSUMPTIONS!$G$60), $G27 * AY44 * ((ASSUMPTIONS!$G$63 * $I13) + (ASSUMPTIONS!$G$64 * $F13)), 
AND(AY$36 = $H$18, AY$36 =ASSUMPTIONS!$H$60), $H27 * AY44 * ((ASSUMPTIONS!$H$63 * $I13) + (ASSUMPTIONS!$H$64 * $F13)), 
TRUE, $I27 *AY44 * ((ASSUMPTIONS!$I$63 * $I13) + (ASSUMPTIONS!$I$64 * $F13))
)</f>
        <v>16275594.09</v>
      </c>
      <c r="AZ54" s="153">
        <f t="array" ref="AZ54">IFS(AND(AZ$36 = $E$18, AZ$36 =ASSUMPTIONS!$E$60), $E27 * AZ44 * ((ASSUMPTIONS!$E$63 * $I13) + (ASSUMPTIONS!$E$64 * $F13)), 
AND(AZ$36 = $F$18, AZ$36 =ASSUMPTIONS!$F$60), $F27 * AZ44 * ((ASSUMPTIONS!$F$63 * $I13) + (ASSUMPTIONS!$F$64 * $F13)), 
AND(AZ$36 = $G$18, AZ$36 =ASSUMPTIONS!$G$60), $G27 * AZ44 * ((ASSUMPTIONS!$G$63 * $I13) + (ASSUMPTIONS!$G$64 * $F13)), 
AND(AZ$36 = $H$18, AZ$36 =ASSUMPTIONS!$H$60), $H27 * AZ44 * ((ASSUMPTIONS!$H$63 * $I13) + (ASSUMPTIONS!$H$64 * $F13)), 
TRUE, $I27 *AZ44 * ((ASSUMPTIONS!$I$63 * $I13) + (ASSUMPTIONS!$I$64 * $F13))
)</f>
        <v>16275594.09</v>
      </c>
      <c r="BA54" s="153">
        <f t="array" ref="BA54">IFS(AND(BA$36 = $E$18, BA$36 =ASSUMPTIONS!$E$60), $E27 * BA44 * ((ASSUMPTIONS!$E$63 * $I13) + (ASSUMPTIONS!$E$64 * $F13)), 
AND(BA$36 = $F$18, BA$36 =ASSUMPTIONS!$F$60), $F27 * BA44 * ((ASSUMPTIONS!$F$63 * $I13) + (ASSUMPTIONS!$F$64 * $F13)), 
AND(BA$36 = $G$18, BA$36 =ASSUMPTIONS!$G$60), $G27 * BA44 * ((ASSUMPTIONS!$G$63 * $I13) + (ASSUMPTIONS!$G$64 * $F13)), 
AND(BA$36 = $H$18, BA$36 =ASSUMPTIONS!$H$60), $H27 * BA44 * ((ASSUMPTIONS!$H$63 * $I13) + (ASSUMPTIONS!$H$64 * $F13)), 
TRUE, $I27 *BA44 * ((ASSUMPTIONS!$I$63 * $I13) + (ASSUMPTIONS!$I$64 * $F13))
)</f>
        <v>18550586.18</v>
      </c>
      <c r="BB54" s="153">
        <f t="array" ref="BB54">IFS(AND(BB$36 = $E$18, BB$36 =ASSUMPTIONS!$E$60), $E27 * BB44 * ((ASSUMPTIONS!$E$63 * $I13) + (ASSUMPTIONS!$E$64 * $F13)), 
AND(BB$36 = $F$18, BB$36 =ASSUMPTIONS!$F$60), $F27 * BB44 * ((ASSUMPTIONS!$F$63 * $I13) + (ASSUMPTIONS!$F$64 * $F13)), 
AND(BB$36 = $G$18, BB$36 =ASSUMPTIONS!$G$60), $G27 * BB44 * ((ASSUMPTIONS!$G$63 * $I13) + (ASSUMPTIONS!$G$64 * $F13)), 
AND(BB$36 = $H$18, BB$36 =ASSUMPTIONS!$H$60), $H27 * BB44 * ((ASSUMPTIONS!$H$63 * $I13) + (ASSUMPTIONS!$H$64 * $F13)), 
TRUE, $I27 *BB44 * ((ASSUMPTIONS!$I$63 * $I13) + (ASSUMPTIONS!$I$64 * $F13))
)</f>
        <v>18550586.18</v>
      </c>
      <c r="BC54" s="153">
        <f t="array" ref="BC54">IFS(AND(BC$36 = $E$18, BC$36 =ASSUMPTIONS!$E$60), $E27 * BC44 * ((ASSUMPTIONS!$E$63 * $I13) + (ASSUMPTIONS!$E$64 * $F13)), 
AND(BC$36 = $F$18, BC$36 =ASSUMPTIONS!$F$60), $F27 * BC44 * ((ASSUMPTIONS!$F$63 * $I13) + (ASSUMPTIONS!$F$64 * $F13)), 
AND(BC$36 = $G$18, BC$36 =ASSUMPTIONS!$G$60), $G27 * BC44 * ((ASSUMPTIONS!$G$63 * $I13) + (ASSUMPTIONS!$G$64 * $F13)), 
AND(BC$36 = $H$18, BC$36 =ASSUMPTIONS!$H$60), $H27 * BC44 * ((ASSUMPTIONS!$H$63 * $I13) + (ASSUMPTIONS!$H$64 * $F13)), 
TRUE, $I27 *BC44 * ((ASSUMPTIONS!$I$63 * $I13) + (ASSUMPTIONS!$I$64 * $F13))
)</f>
        <v>18550586.18</v>
      </c>
      <c r="BD54" s="153">
        <f t="array" ref="BD54">IFS(AND(BD$36 = $E$18, BD$36 =ASSUMPTIONS!$E$60), $E27 * BD44 * ((ASSUMPTIONS!$E$63 * $I13) + (ASSUMPTIONS!$E$64 * $F13)), 
AND(BD$36 = $F$18, BD$36 =ASSUMPTIONS!$F$60), $F27 * BD44 * ((ASSUMPTIONS!$F$63 * $I13) + (ASSUMPTIONS!$F$64 * $F13)), 
AND(BD$36 = $G$18, BD$36 =ASSUMPTIONS!$G$60), $G27 * BD44 * ((ASSUMPTIONS!$G$63 * $I13) + (ASSUMPTIONS!$G$64 * $F13)), 
AND(BD$36 = $H$18, BD$36 =ASSUMPTIONS!$H$60), $H27 * BD44 * ((ASSUMPTIONS!$H$63 * $I13) + (ASSUMPTIONS!$H$64 * $F13)), 
TRUE, $I27 *BD44 * ((ASSUMPTIONS!$I$63 * $I13) + (ASSUMPTIONS!$I$64 * $F13))
)</f>
        <v>18550586.18</v>
      </c>
      <c r="BE54" s="153">
        <f t="array" ref="BE54">IFS(AND(BE$36 = $E$18, BE$36 =ASSUMPTIONS!$E$60), $E27 * BE44 * ((ASSUMPTIONS!$E$63 * $I13) + (ASSUMPTIONS!$E$64 * $F13)), 
AND(BE$36 = $F$18, BE$36 =ASSUMPTIONS!$F$60), $F27 * BE44 * ((ASSUMPTIONS!$F$63 * $I13) + (ASSUMPTIONS!$F$64 * $F13)), 
AND(BE$36 = $G$18, BE$36 =ASSUMPTIONS!$G$60), $G27 * BE44 * ((ASSUMPTIONS!$G$63 * $I13) + (ASSUMPTIONS!$G$64 * $F13)), 
AND(BE$36 = $H$18, BE$36 =ASSUMPTIONS!$H$60), $H27 * BE44 * ((ASSUMPTIONS!$H$63 * $I13) + (ASSUMPTIONS!$H$64 * $F13)), 
TRUE, $I27 *BE44 * ((ASSUMPTIONS!$I$63 * $I13) + (ASSUMPTIONS!$I$64 * $F13))
)</f>
        <v>18550586.18</v>
      </c>
      <c r="BF54" s="153">
        <f t="array" ref="BF54">IFS(AND(BF$36 = $E$18, BF$36 =ASSUMPTIONS!$E$60), $E27 * BF44 * ((ASSUMPTIONS!$E$63 * $I13) + (ASSUMPTIONS!$E$64 * $F13)), 
AND(BF$36 = $F$18, BF$36 =ASSUMPTIONS!$F$60), $F27 * BF44 * ((ASSUMPTIONS!$F$63 * $I13) + (ASSUMPTIONS!$F$64 * $F13)), 
AND(BF$36 = $G$18, BF$36 =ASSUMPTIONS!$G$60), $G27 * BF44 * ((ASSUMPTIONS!$G$63 * $I13) + (ASSUMPTIONS!$G$64 * $F13)), 
AND(BF$36 = $H$18, BF$36 =ASSUMPTIONS!$H$60), $H27 * BF44 * ((ASSUMPTIONS!$H$63 * $I13) + (ASSUMPTIONS!$H$64 * $F13)), 
TRUE, $I27 *BF44 * ((ASSUMPTIONS!$I$63 * $I13) + (ASSUMPTIONS!$I$64 * $F13))
)</f>
        <v>18550586.18</v>
      </c>
      <c r="BG54" s="153">
        <f t="array" ref="BG54">IFS(AND(BG$36 = $E$18, BG$36 =ASSUMPTIONS!$E$60), $E27 * BG44 * ((ASSUMPTIONS!$E$63 * $I13) + (ASSUMPTIONS!$E$64 * $F13)), 
AND(BG$36 = $F$18, BG$36 =ASSUMPTIONS!$F$60), $F27 * BG44 * ((ASSUMPTIONS!$F$63 * $I13) + (ASSUMPTIONS!$F$64 * $F13)), 
AND(BG$36 = $G$18, BG$36 =ASSUMPTIONS!$G$60), $G27 * BG44 * ((ASSUMPTIONS!$G$63 * $I13) + (ASSUMPTIONS!$G$64 * $F13)), 
AND(BG$36 = $H$18, BG$36 =ASSUMPTIONS!$H$60), $H27 * BG44 * ((ASSUMPTIONS!$H$63 * $I13) + (ASSUMPTIONS!$H$64 * $F13)), 
TRUE, $I27 *BG44 * ((ASSUMPTIONS!$I$63 * $I13) + (ASSUMPTIONS!$I$64 * $F13))
)</f>
        <v>18550586.18</v>
      </c>
      <c r="BH54" s="153">
        <f t="array" ref="BH54">IFS(AND(BH$36 = $E$18, BH$36 =ASSUMPTIONS!$E$60), $E27 * BH44 * ((ASSUMPTIONS!$E$63 * $I13) + (ASSUMPTIONS!$E$64 * $F13)), 
AND(BH$36 = $F$18, BH$36 =ASSUMPTIONS!$F$60), $F27 * BH44 * ((ASSUMPTIONS!$F$63 * $I13) + (ASSUMPTIONS!$F$64 * $F13)), 
AND(BH$36 = $G$18, BH$36 =ASSUMPTIONS!$G$60), $G27 * BH44 * ((ASSUMPTIONS!$G$63 * $I13) + (ASSUMPTIONS!$G$64 * $F13)), 
AND(BH$36 = $H$18, BH$36 =ASSUMPTIONS!$H$60), $H27 * BH44 * ((ASSUMPTIONS!$H$63 * $I13) + (ASSUMPTIONS!$H$64 * $F13)), 
TRUE, $I27 *BH44 * ((ASSUMPTIONS!$I$63 * $I13) + (ASSUMPTIONS!$I$64 * $F13))
)</f>
        <v>18550586.18</v>
      </c>
      <c r="BI54" s="153">
        <f t="array" ref="BI54">IFS(AND(BI$36 = $E$18, BI$36 =ASSUMPTIONS!$E$60), $E27 * BI44 * ((ASSUMPTIONS!$E$63 * $I13) + (ASSUMPTIONS!$E$64 * $F13)), 
AND(BI$36 = $F$18, BI$36 =ASSUMPTIONS!$F$60), $F27 * BI44 * ((ASSUMPTIONS!$F$63 * $I13) + (ASSUMPTIONS!$F$64 * $F13)), 
AND(BI$36 = $G$18, BI$36 =ASSUMPTIONS!$G$60), $G27 * BI44 * ((ASSUMPTIONS!$G$63 * $I13) + (ASSUMPTIONS!$G$64 * $F13)), 
AND(BI$36 = $H$18, BI$36 =ASSUMPTIONS!$H$60), $H27 * BI44 * ((ASSUMPTIONS!$H$63 * $I13) + (ASSUMPTIONS!$H$64 * $F13)), 
TRUE, $I27 *BI44 * ((ASSUMPTIONS!$I$63 * $I13) + (ASSUMPTIONS!$I$64 * $F13))
)</f>
        <v>18550586.18</v>
      </c>
      <c r="BJ54" s="153">
        <f t="array" ref="BJ54">IFS(AND(BJ$36 = $E$18, BJ$36 =ASSUMPTIONS!$E$60), $E27 * BJ44 * ((ASSUMPTIONS!$E$63 * $I13) + (ASSUMPTIONS!$E$64 * $F13)), 
AND(BJ$36 = $F$18, BJ$36 =ASSUMPTIONS!$F$60), $F27 * BJ44 * ((ASSUMPTIONS!$F$63 * $I13) + (ASSUMPTIONS!$F$64 * $F13)), 
AND(BJ$36 = $G$18, BJ$36 =ASSUMPTIONS!$G$60), $G27 * BJ44 * ((ASSUMPTIONS!$G$63 * $I13) + (ASSUMPTIONS!$G$64 * $F13)), 
AND(BJ$36 = $H$18, BJ$36 =ASSUMPTIONS!$H$60), $H27 * BJ44 * ((ASSUMPTIONS!$H$63 * $I13) + (ASSUMPTIONS!$H$64 * $F13)), 
TRUE, $I27 *BJ44 * ((ASSUMPTIONS!$I$63 * $I13) + (ASSUMPTIONS!$I$64 * $F13))
)</f>
        <v>18550586.18</v>
      </c>
      <c r="BK54" s="153">
        <f t="array" ref="BK54">IFS(AND(BK$36 = $E$18, BK$36 =ASSUMPTIONS!$E$60), $E27 * BK44 * ((ASSUMPTIONS!$E$63 * $I13) + (ASSUMPTIONS!$E$64 * $F13)), 
AND(BK$36 = $F$18, BK$36 =ASSUMPTIONS!$F$60), $F27 * BK44 * ((ASSUMPTIONS!$F$63 * $I13) + (ASSUMPTIONS!$F$64 * $F13)), 
AND(BK$36 = $G$18, BK$36 =ASSUMPTIONS!$G$60), $G27 * BK44 * ((ASSUMPTIONS!$G$63 * $I13) + (ASSUMPTIONS!$G$64 * $F13)), 
AND(BK$36 = $H$18, BK$36 =ASSUMPTIONS!$H$60), $H27 * BK44 * ((ASSUMPTIONS!$H$63 * $I13) + (ASSUMPTIONS!$H$64 * $F13)), 
TRUE, $I27 *BK44 * ((ASSUMPTIONS!$I$63 * $I13) + (ASSUMPTIONS!$I$64 * $F13))
)</f>
        <v>18550586.18</v>
      </c>
      <c r="BL54" s="153">
        <f t="array" ref="BL54">IFS(AND(BL$36 = $E$18, BL$36 =ASSUMPTIONS!$E$60), $E27 * BL44 * ((ASSUMPTIONS!$E$63 * $I13) + (ASSUMPTIONS!$E$64 * $F13)), 
AND(BL$36 = $F$18, BL$36 =ASSUMPTIONS!$F$60), $F27 * BL44 * ((ASSUMPTIONS!$F$63 * $I13) + (ASSUMPTIONS!$F$64 * $F13)), 
AND(BL$36 = $G$18, BL$36 =ASSUMPTIONS!$G$60), $G27 * BL44 * ((ASSUMPTIONS!$G$63 * $I13) + (ASSUMPTIONS!$G$64 * $F13)), 
AND(BL$36 = $H$18, BL$36 =ASSUMPTIONS!$H$60), $H27 * BL44 * ((ASSUMPTIONS!$H$63 * $I13) + (ASSUMPTIONS!$H$64 * $F13)), 
TRUE, $I27 *BL44 * ((ASSUMPTIONS!$I$63 * $I13) + (ASSUMPTIONS!$I$64 * $F13))
)</f>
        <v>18550586.18</v>
      </c>
    </row>
    <row r="55" ht="15.75" customHeight="1">
      <c r="D55" s="35" t="s">
        <v>46</v>
      </c>
      <c r="E55" s="153">
        <f t="array" ref="E55">IFS(AND(E$36 = $E$18, E$36 =ASSUMPTIONS!$E$60), $E28 * E45 * ((ASSUMPTIONS!$E$63 * $I14) + (ASSUMPTIONS!$E$64 * $F14)), 
AND(E$36 = $F$18, E$36 =ASSUMPTIONS!$F$60), $F28 * E45 * ((ASSUMPTIONS!$F$63 * $I14) + (ASSUMPTIONS!$F$64 * $F14)), 
AND(E$36 = $G$18, E$36 =ASSUMPTIONS!$G$60), $G28 * E45 * ((ASSUMPTIONS!$G$63 * $I14) + (ASSUMPTIONS!$G$64 * $F14)), 
AND(E$36 = $H$18, E$36 =ASSUMPTIONS!$H$60), $H28 * E45 * ((ASSUMPTIONS!$H$63 * $I14) + (ASSUMPTIONS!$H$64 * $F14)), 
TRUE, $I28 *E45 * ((ASSUMPTIONS!$I$63 * $I14) + (ASSUMPTIONS!$I$64 * $F14))
)</f>
        <v>0</v>
      </c>
      <c r="F55" s="153">
        <f t="array" ref="F55">IFS(AND(F$36 = $E$18, F$36 =ASSUMPTIONS!$E$60), $E28 * F45 * ((ASSUMPTIONS!$E$63 * $I14) + (ASSUMPTIONS!$E$64 * $F14)), 
AND(F$36 = $F$18, F$36 =ASSUMPTIONS!$F$60), $F28 * F45 * ((ASSUMPTIONS!$F$63 * $I14) + (ASSUMPTIONS!$F$64 * $F14)), 
AND(F$36 = $G$18, F$36 =ASSUMPTIONS!$G$60), $G28 * F45 * ((ASSUMPTIONS!$G$63 * $I14) + (ASSUMPTIONS!$G$64 * $F14)), 
AND(F$36 = $H$18, F$36 =ASSUMPTIONS!$H$60), $H28 * F45 * ((ASSUMPTIONS!$H$63 * $I14) + (ASSUMPTIONS!$H$64 * $F14)), 
TRUE, $I28 *F45 * ((ASSUMPTIONS!$I$63 * $I14) + (ASSUMPTIONS!$I$64 * $F14))
)</f>
        <v>0</v>
      </c>
      <c r="G55" s="153">
        <f t="array" ref="G55">IFS(AND(G$36 = $E$18, G$36 =ASSUMPTIONS!$E$60), $E28 * G45 * ((ASSUMPTIONS!$E$63 * $I14) + (ASSUMPTIONS!$E$64 * $F14)), 
AND(G$36 = $F$18, G$36 =ASSUMPTIONS!$F$60), $F28 * G45 * ((ASSUMPTIONS!$F$63 * $I14) + (ASSUMPTIONS!$F$64 * $F14)), 
AND(G$36 = $G$18, G$36 =ASSUMPTIONS!$G$60), $G28 * G45 * ((ASSUMPTIONS!$G$63 * $I14) + (ASSUMPTIONS!$G$64 * $F14)), 
AND(G$36 = $H$18, G$36 =ASSUMPTIONS!$H$60), $H28 * G45 * ((ASSUMPTIONS!$H$63 * $I14) + (ASSUMPTIONS!$H$64 * $F14)), 
TRUE, $I28 *G45 * ((ASSUMPTIONS!$I$63 * $I14) + (ASSUMPTIONS!$I$64 * $F14))
)</f>
        <v>0</v>
      </c>
      <c r="H55" s="153">
        <f t="array" ref="H55">IFS(AND(H$36 = $E$18, H$36 =ASSUMPTIONS!$E$60), $E28 * H45 * ((ASSUMPTIONS!$E$63 * $I14) + (ASSUMPTIONS!$E$64 * $F14)), 
AND(H$36 = $F$18, H$36 =ASSUMPTIONS!$F$60), $F28 * H45 * ((ASSUMPTIONS!$F$63 * $I14) + (ASSUMPTIONS!$F$64 * $F14)), 
AND(H$36 = $G$18, H$36 =ASSUMPTIONS!$G$60), $G28 * H45 * ((ASSUMPTIONS!$G$63 * $I14) + (ASSUMPTIONS!$G$64 * $F14)), 
AND(H$36 = $H$18, H$36 =ASSUMPTIONS!$H$60), $H28 * H45 * ((ASSUMPTIONS!$H$63 * $I14) + (ASSUMPTIONS!$H$64 * $F14)), 
TRUE, $I28 *H45 * ((ASSUMPTIONS!$I$63 * $I14) + (ASSUMPTIONS!$I$64 * $F14))
)</f>
        <v>0</v>
      </c>
      <c r="I55" s="153">
        <f t="array" ref="I55">IFS(AND(I$36 = $E$18, I$36 =ASSUMPTIONS!$E$60), $E28 * I45 * ((ASSUMPTIONS!$E$63 * $I14) + (ASSUMPTIONS!$E$64 * $F14)), 
AND(I$36 = $F$18, I$36 =ASSUMPTIONS!$F$60), $F28 * I45 * ((ASSUMPTIONS!$F$63 * $I14) + (ASSUMPTIONS!$F$64 * $F14)), 
AND(I$36 = $G$18, I$36 =ASSUMPTIONS!$G$60), $G28 * I45 * ((ASSUMPTIONS!$G$63 * $I14) + (ASSUMPTIONS!$G$64 * $F14)), 
AND(I$36 = $H$18, I$36 =ASSUMPTIONS!$H$60), $H28 * I45 * ((ASSUMPTIONS!$H$63 * $I14) + (ASSUMPTIONS!$H$64 * $F14)), 
TRUE, $I28 *I45 * ((ASSUMPTIONS!$I$63 * $I14) + (ASSUMPTIONS!$I$64 * $F14))
)</f>
        <v>0</v>
      </c>
      <c r="J55" s="153">
        <f t="array" ref="J55">IFS(AND(J$36 = $E$18, J$36 =ASSUMPTIONS!$E$60), $E28 * J45 * ((ASSUMPTIONS!$E$63 * $I14) + (ASSUMPTIONS!$E$64 * $F14)), 
AND(J$36 = $F$18, J$36 =ASSUMPTIONS!$F$60), $F28 * J45 * ((ASSUMPTIONS!$F$63 * $I14) + (ASSUMPTIONS!$F$64 * $F14)), 
AND(J$36 = $G$18, J$36 =ASSUMPTIONS!$G$60), $G28 * J45 * ((ASSUMPTIONS!$G$63 * $I14) + (ASSUMPTIONS!$G$64 * $F14)), 
AND(J$36 = $H$18, J$36 =ASSUMPTIONS!$H$60), $H28 * J45 * ((ASSUMPTIONS!$H$63 * $I14) + (ASSUMPTIONS!$H$64 * $F14)), 
TRUE, $I28 *J45 * ((ASSUMPTIONS!$I$63 * $I14) + (ASSUMPTIONS!$I$64 * $F14))
)</f>
        <v>0</v>
      </c>
      <c r="K55" s="153">
        <f t="array" ref="K55">IFS(AND(K$36 = $E$18, K$36 =ASSUMPTIONS!$E$60), $E28 * K45 * ((ASSUMPTIONS!$E$63 * $I14) + (ASSUMPTIONS!$E$64 * $F14)), 
AND(K$36 = $F$18, K$36 =ASSUMPTIONS!$F$60), $F28 * K45 * ((ASSUMPTIONS!$F$63 * $I14) + (ASSUMPTIONS!$F$64 * $F14)), 
AND(K$36 = $G$18, K$36 =ASSUMPTIONS!$G$60), $G28 * K45 * ((ASSUMPTIONS!$G$63 * $I14) + (ASSUMPTIONS!$G$64 * $F14)), 
AND(K$36 = $H$18, K$36 =ASSUMPTIONS!$H$60), $H28 * K45 * ((ASSUMPTIONS!$H$63 * $I14) + (ASSUMPTIONS!$H$64 * $F14)), 
TRUE, $I28 *K45 * ((ASSUMPTIONS!$I$63 * $I14) + (ASSUMPTIONS!$I$64 * $F14))
)</f>
        <v>765866.88</v>
      </c>
      <c r="L55" s="153">
        <f t="array" ref="L55">IFS(AND(L$36 = $E$18, L$36 =ASSUMPTIONS!$E$60), $E28 * L45 * ((ASSUMPTIONS!$E$63 * $I14) + (ASSUMPTIONS!$E$64 * $F14)), 
AND(L$36 = $F$18, L$36 =ASSUMPTIONS!$F$60), $F28 * L45 * ((ASSUMPTIONS!$F$63 * $I14) + (ASSUMPTIONS!$F$64 * $F14)), 
AND(L$36 = $G$18, L$36 =ASSUMPTIONS!$G$60), $G28 * L45 * ((ASSUMPTIONS!$G$63 * $I14) + (ASSUMPTIONS!$G$64 * $F14)), 
AND(L$36 = $H$18, L$36 =ASSUMPTIONS!$H$60), $H28 * L45 * ((ASSUMPTIONS!$H$63 * $I14) + (ASSUMPTIONS!$H$64 * $F14)), 
TRUE, $I28 *L45 * ((ASSUMPTIONS!$I$63 * $I14) + (ASSUMPTIONS!$I$64 * $F14))
)</f>
        <v>765866.88</v>
      </c>
      <c r="M55" s="153">
        <f t="array" ref="M55">IFS(AND(M$36 = $E$18, M$36 =ASSUMPTIONS!$E$60), $E28 * M45 * ((ASSUMPTIONS!$E$63 * $I14) + (ASSUMPTIONS!$E$64 * $F14)), 
AND(M$36 = $F$18, M$36 =ASSUMPTIONS!$F$60), $F28 * M45 * ((ASSUMPTIONS!$F$63 * $I14) + (ASSUMPTIONS!$F$64 * $F14)), 
AND(M$36 = $G$18, M$36 =ASSUMPTIONS!$G$60), $G28 * M45 * ((ASSUMPTIONS!$G$63 * $I14) + (ASSUMPTIONS!$G$64 * $F14)), 
AND(M$36 = $H$18, M$36 =ASSUMPTIONS!$H$60), $H28 * M45 * ((ASSUMPTIONS!$H$63 * $I14) + (ASSUMPTIONS!$H$64 * $F14)), 
TRUE, $I28 *M45 * ((ASSUMPTIONS!$I$63 * $I14) + (ASSUMPTIONS!$I$64 * $F14))
)</f>
        <v>765866.88</v>
      </c>
      <c r="N55" s="153">
        <f t="array" ref="N55">IFS(AND(N$36 = $E$18, N$36 =ASSUMPTIONS!$E$60), $E28 * N45 * ((ASSUMPTIONS!$E$63 * $I14) + (ASSUMPTIONS!$E$64 * $F14)), 
AND(N$36 = $F$18, N$36 =ASSUMPTIONS!$F$60), $F28 * N45 * ((ASSUMPTIONS!$F$63 * $I14) + (ASSUMPTIONS!$F$64 * $F14)), 
AND(N$36 = $G$18, N$36 =ASSUMPTIONS!$G$60), $G28 * N45 * ((ASSUMPTIONS!$G$63 * $I14) + (ASSUMPTIONS!$G$64 * $F14)), 
AND(N$36 = $H$18, N$36 =ASSUMPTIONS!$H$60), $H28 * N45 * ((ASSUMPTIONS!$H$63 * $I14) + (ASSUMPTIONS!$H$64 * $F14)), 
TRUE, $I28 *N45 * ((ASSUMPTIONS!$I$63 * $I14) + (ASSUMPTIONS!$I$64 * $F14))
)</f>
        <v>765866.88</v>
      </c>
      <c r="O55" s="153">
        <f t="array" ref="O55">IFS(AND(O$36 = $E$18, O$36 =ASSUMPTIONS!$E$60), $E28 * O45 * ((ASSUMPTIONS!$E$63 * $I14) + (ASSUMPTIONS!$E$64 * $F14)), 
AND(O$36 = $F$18, O$36 =ASSUMPTIONS!$F$60), $F28 * O45 * ((ASSUMPTIONS!$F$63 * $I14) + (ASSUMPTIONS!$F$64 * $F14)), 
AND(O$36 = $G$18, O$36 =ASSUMPTIONS!$G$60), $G28 * O45 * ((ASSUMPTIONS!$G$63 * $I14) + (ASSUMPTIONS!$G$64 * $F14)), 
AND(O$36 = $H$18, O$36 =ASSUMPTIONS!$H$60), $H28 * O45 * ((ASSUMPTIONS!$H$63 * $I14) + (ASSUMPTIONS!$H$64 * $F14)), 
TRUE, $I28 *O45 * ((ASSUMPTIONS!$I$63 * $I14) + (ASSUMPTIONS!$I$64 * $F14))
)</f>
        <v>765866.88</v>
      </c>
      <c r="P55" s="153">
        <f t="array" ref="P55">IFS(AND(P$36 = $E$18, P$36 =ASSUMPTIONS!$E$60), $E28 * P45 * ((ASSUMPTIONS!$E$63 * $I14) + (ASSUMPTIONS!$E$64 * $F14)), 
AND(P$36 = $F$18, P$36 =ASSUMPTIONS!$F$60), $F28 * P45 * ((ASSUMPTIONS!$F$63 * $I14) + (ASSUMPTIONS!$F$64 * $F14)), 
AND(P$36 = $G$18, P$36 =ASSUMPTIONS!$G$60), $G28 * P45 * ((ASSUMPTIONS!$G$63 * $I14) + (ASSUMPTIONS!$G$64 * $F14)), 
AND(P$36 = $H$18, P$36 =ASSUMPTIONS!$H$60), $H28 * P45 * ((ASSUMPTIONS!$H$63 * $I14) + (ASSUMPTIONS!$H$64 * $F14)), 
TRUE, $I28 *P45 * ((ASSUMPTIONS!$I$63 * $I14) + (ASSUMPTIONS!$I$64 * $F14))
)</f>
        <v>765866.88</v>
      </c>
      <c r="Q55" s="153">
        <f t="array" ref="Q55">IFS(AND(Q$36 = $E$18, Q$36 =ASSUMPTIONS!$E$60), $E28 * Q45 * ((ASSUMPTIONS!$E$63 * $I14) + (ASSUMPTIONS!$E$64 * $F14)), 
AND(Q$36 = $F$18, Q$36 =ASSUMPTIONS!$F$60), $F28 * Q45 * ((ASSUMPTIONS!$F$63 * $I14) + (ASSUMPTIONS!$F$64 * $F14)), 
AND(Q$36 = $G$18, Q$36 =ASSUMPTIONS!$G$60), $G28 * Q45 * ((ASSUMPTIONS!$G$63 * $I14) + (ASSUMPTIONS!$G$64 * $F14)), 
AND(Q$36 = $H$18, Q$36 =ASSUMPTIONS!$H$60), $H28 * Q45 * ((ASSUMPTIONS!$H$63 * $I14) + (ASSUMPTIONS!$H$64 * $F14)), 
TRUE, $I28 *Q45 * ((ASSUMPTIONS!$I$63 * $I14) + (ASSUMPTIONS!$I$64 * $F14))
)</f>
        <v>817250.2128</v>
      </c>
      <c r="R55" s="153">
        <f t="array" ref="R55">IFS(AND(R$36 = $E$18, R$36 =ASSUMPTIONS!$E$60), $E28 * R45 * ((ASSUMPTIONS!$E$63 * $I14) + (ASSUMPTIONS!$E$64 * $F14)), 
AND(R$36 = $F$18, R$36 =ASSUMPTIONS!$F$60), $F28 * R45 * ((ASSUMPTIONS!$F$63 * $I14) + (ASSUMPTIONS!$F$64 * $F14)), 
AND(R$36 = $G$18, R$36 =ASSUMPTIONS!$G$60), $G28 * R45 * ((ASSUMPTIONS!$G$63 * $I14) + (ASSUMPTIONS!$G$64 * $F14)), 
AND(R$36 = $H$18, R$36 =ASSUMPTIONS!$H$60), $H28 * R45 * ((ASSUMPTIONS!$H$63 * $I14) + (ASSUMPTIONS!$H$64 * $F14)), 
TRUE, $I28 *R45 * ((ASSUMPTIONS!$I$63 * $I14) + (ASSUMPTIONS!$I$64 * $F14))
)</f>
        <v>817250.2128</v>
      </c>
      <c r="S55" s="153">
        <f t="array" ref="S55">IFS(AND(S$36 = $E$18, S$36 =ASSUMPTIONS!$E$60), $E28 * S45 * ((ASSUMPTIONS!$E$63 * $I14) + (ASSUMPTIONS!$E$64 * $F14)), 
AND(S$36 = $F$18, S$36 =ASSUMPTIONS!$F$60), $F28 * S45 * ((ASSUMPTIONS!$F$63 * $I14) + (ASSUMPTIONS!$F$64 * $F14)), 
AND(S$36 = $G$18, S$36 =ASSUMPTIONS!$G$60), $G28 * S45 * ((ASSUMPTIONS!$G$63 * $I14) + (ASSUMPTIONS!$G$64 * $F14)), 
AND(S$36 = $H$18, S$36 =ASSUMPTIONS!$H$60), $H28 * S45 * ((ASSUMPTIONS!$H$63 * $I14) + (ASSUMPTIONS!$H$64 * $F14)), 
TRUE, $I28 *S45 * ((ASSUMPTIONS!$I$63 * $I14) + (ASSUMPTIONS!$I$64 * $F14))
)</f>
        <v>817250.2128</v>
      </c>
      <c r="T55" s="153">
        <f t="array" ref="T55">IFS(AND(T$36 = $E$18, T$36 =ASSUMPTIONS!$E$60), $E28 * T45 * ((ASSUMPTIONS!$E$63 * $I14) + (ASSUMPTIONS!$E$64 * $F14)), 
AND(T$36 = $F$18, T$36 =ASSUMPTIONS!$F$60), $F28 * T45 * ((ASSUMPTIONS!$F$63 * $I14) + (ASSUMPTIONS!$F$64 * $F14)), 
AND(T$36 = $G$18, T$36 =ASSUMPTIONS!$G$60), $G28 * T45 * ((ASSUMPTIONS!$G$63 * $I14) + (ASSUMPTIONS!$G$64 * $F14)), 
AND(T$36 = $H$18, T$36 =ASSUMPTIONS!$H$60), $H28 * T45 * ((ASSUMPTIONS!$H$63 * $I14) + (ASSUMPTIONS!$H$64 * $F14)), 
TRUE, $I28 *T45 * ((ASSUMPTIONS!$I$63 * $I14) + (ASSUMPTIONS!$I$64 * $F14))
)</f>
        <v>817250.2128</v>
      </c>
      <c r="U55" s="153">
        <f t="array" ref="U55">IFS(AND(U$36 = $E$18, U$36 =ASSUMPTIONS!$E$60), $E28 * U45 * ((ASSUMPTIONS!$E$63 * $I14) + (ASSUMPTIONS!$E$64 * $F14)), 
AND(U$36 = $F$18, U$36 =ASSUMPTIONS!$F$60), $F28 * U45 * ((ASSUMPTIONS!$F$63 * $I14) + (ASSUMPTIONS!$F$64 * $F14)), 
AND(U$36 = $G$18, U$36 =ASSUMPTIONS!$G$60), $G28 * U45 * ((ASSUMPTIONS!$G$63 * $I14) + (ASSUMPTIONS!$G$64 * $F14)), 
AND(U$36 = $H$18, U$36 =ASSUMPTIONS!$H$60), $H28 * U45 * ((ASSUMPTIONS!$H$63 * $I14) + (ASSUMPTIONS!$H$64 * $F14)), 
TRUE, $I28 *U45 * ((ASSUMPTIONS!$I$63 * $I14) + (ASSUMPTIONS!$I$64 * $F14))
)</f>
        <v>817250.2128</v>
      </c>
      <c r="V55" s="153">
        <f t="array" ref="V55">IFS(AND(V$36 = $E$18, V$36 =ASSUMPTIONS!$E$60), $E28 * V45 * ((ASSUMPTIONS!$E$63 * $I14) + (ASSUMPTIONS!$E$64 * $F14)), 
AND(V$36 = $F$18, V$36 =ASSUMPTIONS!$F$60), $F28 * V45 * ((ASSUMPTIONS!$F$63 * $I14) + (ASSUMPTIONS!$F$64 * $F14)), 
AND(V$36 = $G$18, V$36 =ASSUMPTIONS!$G$60), $G28 * V45 * ((ASSUMPTIONS!$G$63 * $I14) + (ASSUMPTIONS!$G$64 * $F14)), 
AND(V$36 = $H$18, V$36 =ASSUMPTIONS!$H$60), $H28 * V45 * ((ASSUMPTIONS!$H$63 * $I14) + (ASSUMPTIONS!$H$64 * $F14)), 
TRUE, $I28 *V45 * ((ASSUMPTIONS!$I$63 * $I14) + (ASSUMPTIONS!$I$64 * $F14))
)</f>
        <v>817250.2128</v>
      </c>
      <c r="W55" s="153">
        <f t="array" ref="W55">IFS(AND(W$36 = $E$18, W$36 =ASSUMPTIONS!$E$60), $E28 * W45 * ((ASSUMPTIONS!$E$63 * $I14) + (ASSUMPTIONS!$E$64 * $F14)), 
AND(W$36 = $F$18, W$36 =ASSUMPTIONS!$F$60), $F28 * W45 * ((ASSUMPTIONS!$F$63 * $I14) + (ASSUMPTIONS!$F$64 * $F14)), 
AND(W$36 = $G$18, W$36 =ASSUMPTIONS!$G$60), $G28 * W45 * ((ASSUMPTIONS!$G$63 * $I14) + (ASSUMPTIONS!$G$64 * $F14)), 
AND(W$36 = $H$18, W$36 =ASSUMPTIONS!$H$60), $H28 * W45 * ((ASSUMPTIONS!$H$63 * $I14) + (ASSUMPTIONS!$H$64 * $F14)), 
TRUE, $I28 *W45 * ((ASSUMPTIONS!$I$63 * $I14) + (ASSUMPTIONS!$I$64 * $F14))
)</f>
        <v>817250.2128</v>
      </c>
      <c r="X55" s="153">
        <f t="array" ref="X55">IFS(AND(X$36 = $E$18, X$36 =ASSUMPTIONS!$E$60), $E28 * X45 * ((ASSUMPTIONS!$E$63 * $I14) + (ASSUMPTIONS!$E$64 * $F14)), 
AND(X$36 = $F$18, X$36 =ASSUMPTIONS!$F$60), $F28 * X45 * ((ASSUMPTIONS!$F$63 * $I14) + (ASSUMPTIONS!$F$64 * $F14)), 
AND(X$36 = $G$18, X$36 =ASSUMPTIONS!$G$60), $G28 * X45 * ((ASSUMPTIONS!$G$63 * $I14) + (ASSUMPTIONS!$G$64 * $F14)), 
AND(X$36 = $H$18, X$36 =ASSUMPTIONS!$H$60), $H28 * X45 * ((ASSUMPTIONS!$H$63 * $I14) + (ASSUMPTIONS!$H$64 * $F14)), 
TRUE, $I28 *X45 * ((ASSUMPTIONS!$I$63 * $I14) + (ASSUMPTIONS!$I$64 * $F14))
)</f>
        <v>817250.2128</v>
      </c>
      <c r="Y55" s="153">
        <f t="array" ref="Y55">IFS(AND(Y$36 = $E$18, Y$36 =ASSUMPTIONS!$E$60), $E28 * Y45 * ((ASSUMPTIONS!$E$63 * $I14) + (ASSUMPTIONS!$E$64 * $F14)), 
AND(Y$36 = $F$18, Y$36 =ASSUMPTIONS!$F$60), $F28 * Y45 * ((ASSUMPTIONS!$F$63 * $I14) + (ASSUMPTIONS!$F$64 * $F14)), 
AND(Y$36 = $G$18, Y$36 =ASSUMPTIONS!$G$60), $G28 * Y45 * ((ASSUMPTIONS!$G$63 * $I14) + (ASSUMPTIONS!$G$64 * $F14)), 
AND(Y$36 = $H$18, Y$36 =ASSUMPTIONS!$H$60), $H28 * Y45 * ((ASSUMPTIONS!$H$63 * $I14) + (ASSUMPTIONS!$H$64 * $F14)), 
TRUE, $I28 *Y45 * ((ASSUMPTIONS!$I$63 * $I14) + (ASSUMPTIONS!$I$64 * $F14))
)</f>
        <v>817250.2128</v>
      </c>
      <c r="Z55" s="153">
        <f t="array" ref="Z55">IFS(AND(Z$36 = $E$18, Z$36 =ASSUMPTIONS!$E$60), $E28 * Z45 * ((ASSUMPTIONS!$E$63 * $I14) + (ASSUMPTIONS!$E$64 * $F14)), 
AND(Z$36 = $F$18, Z$36 =ASSUMPTIONS!$F$60), $F28 * Z45 * ((ASSUMPTIONS!$F$63 * $I14) + (ASSUMPTIONS!$F$64 * $F14)), 
AND(Z$36 = $G$18, Z$36 =ASSUMPTIONS!$G$60), $G28 * Z45 * ((ASSUMPTIONS!$G$63 * $I14) + (ASSUMPTIONS!$G$64 * $F14)), 
AND(Z$36 = $H$18, Z$36 =ASSUMPTIONS!$H$60), $H28 * Z45 * ((ASSUMPTIONS!$H$63 * $I14) + (ASSUMPTIONS!$H$64 * $F14)), 
TRUE, $I28 *Z45 * ((ASSUMPTIONS!$I$63 * $I14) + (ASSUMPTIONS!$I$64 * $F14))
)</f>
        <v>817250.2128</v>
      </c>
      <c r="AA55" s="153">
        <f t="array" ref="AA55">IFS(AND(AA$36 = $E$18, AA$36 =ASSUMPTIONS!$E$60), $E28 * AA45 * ((ASSUMPTIONS!$E$63 * $I14) + (ASSUMPTIONS!$E$64 * $F14)), 
AND(AA$36 = $F$18, AA$36 =ASSUMPTIONS!$F$60), $F28 * AA45 * ((ASSUMPTIONS!$F$63 * $I14) + (ASSUMPTIONS!$F$64 * $F14)), 
AND(AA$36 = $G$18, AA$36 =ASSUMPTIONS!$G$60), $G28 * AA45 * ((ASSUMPTIONS!$G$63 * $I14) + (ASSUMPTIONS!$G$64 * $F14)), 
AND(AA$36 = $H$18, AA$36 =ASSUMPTIONS!$H$60), $H28 * AA45 * ((ASSUMPTIONS!$H$63 * $I14) + (ASSUMPTIONS!$H$64 * $F14)), 
TRUE, $I28 *AA45 * ((ASSUMPTIONS!$I$63 * $I14) + (ASSUMPTIONS!$I$64 * $F14))
)</f>
        <v>817250.2128</v>
      </c>
      <c r="AB55" s="153">
        <f t="array" ref="AB55">IFS(AND(AB$36 = $E$18, AB$36 =ASSUMPTIONS!$E$60), $E28 * AB45 * ((ASSUMPTIONS!$E$63 * $I14) + (ASSUMPTIONS!$E$64 * $F14)), 
AND(AB$36 = $F$18, AB$36 =ASSUMPTIONS!$F$60), $F28 * AB45 * ((ASSUMPTIONS!$F$63 * $I14) + (ASSUMPTIONS!$F$64 * $F14)), 
AND(AB$36 = $G$18, AB$36 =ASSUMPTIONS!$G$60), $G28 * AB45 * ((ASSUMPTIONS!$G$63 * $I14) + (ASSUMPTIONS!$G$64 * $F14)), 
AND(AB$36 = $H$18, AB$36 =ASSUMPTIONS!$H$60), $H28 * AB45 * ((ASSUMPTIONS!$H$63 * $I14) + (ASSUMPTIONS!$H$64 * $F14)), 
TRUE, $I28 *AB45 * ((ASSUMPTIONS!$I$63 * $I14) + (ASSUMPTIONS!$I$64 * $F14))
)</f>
        <v>817250.2128</v>
      </c>
      <c r="AC55" s="153">
        <f t="array" ref="AC55">IFS(AND(AC$36 = $E$18, AC$36 =ASSUMPTIONS!$E$60), $E28 * AC45 * ((ASSUMPTIONS!$E$63 * $I14) + (ASSUMPTIONS!$E$64 * $F14)), 
AND(AC$36 = $F$18, AC$36 =ASSUMPTIONS!$F$60), $F28 * AC45 * ((ASSUMPTIONS!$F$63 * $I14) + (ASSUMPTIONS!$F$64 * $F14)), 
AND(AC$36 = $G$18, AC$36 =ASSUMPTIONS!$G$60), $G28 * AC45 * ((ASSUMPTIONS!$G$63 * $I14) + (ASSUMPTIONS!$G$64 * $F14)), 
AND(AC$36 = $H$18, AC$36 =ASSUMPTIONS!$H$60), $H28 * AC45 * ((ASSUMPTIONS!$H$63 * $I14) + (ASSUMPTIONS!$H$64 * $F14)), 
TRUE, $I28 *AC45 * ((ASSUMPTIONS!$I$63 * $I14) + (ASSUMPTIONS!$I$64 * $F14))
)</f>
        <v>1771203.4</v>
      </c>
      <c r="AD55" s="153">
        <f t="array" ref="AD55">IFS(AND(AD$36 = $E$18, AD$36 =ASSUMPTIONS!$E$60), $E28 * AD45 * ((ASSUMPTIONS!$E$63 * $I14) + (ASSUMPTIONS!$E$64 * $F14)), 
AND(AD$36 = $F$18, AD$36 =ASSUMPTIONS!$F$60), $F28 * AD45 * ((ASSUMPTIONS!$F$63 * $I14) + (ASSUMPTIONS!$F$64 * $F14)), 
AND(AD$36 = $G$18, AD$36 =ASSUMPTIONS!$G$60), $G28 * AD45 * ((ASSUMPTIONS!$G$63 * $I14) + (ASSUMPTIONS!$G$64 * $F14)), 
AND(AD$36 = $H$18, AD$36 =ASSUMPTIONS!$H$60), $H28 * AD45 * ((ASSUMPTIONS!$H$63 * $I14) + (ASSUMPTIONS!$H$64 * $F14)), 
TRUE, $I28 *AD45 * ((ASSUMPTIONS!$I$63 * $I14) + (ASSUMPTIONS!$I$64 * $F14))
)</f>
        <v>1771203.4</v>
      </c>
      <c r="AE55" s="153">
        <f t="array" ref="AE55">IFS(AND(AE$36 = $E$18, AE$36 =ASSUMPTIONS!$E$60), $E28 * AE45 * ((ASSUMPTIONS!$E$63 * $I14) + (ASSUMPTIONS!$E$64 * $F14)), 
AND(AE$36 = $F$18, AE$36 =ASSUMPTIONS!$F$60), $F28 * AE45 * ((ASSUMPTIONS!$F$63 * $I14) + (ASSUMPTIONS!$F$64 * $F14)), 
AND(AE$36 = $G$18, AE$36 =ASSUMPTIONS!$G$60), $G28 * AE45 * ((ASSUMPTIONS!$G$63 * $I14) + (ASSUMPTIONS!$G$64 * $F14)), 
AND(AE$36 = $H$18, AE$36 =ASSUMPTIONS!$H$60), $H28 * AE45 * ((ASSUMPTIONS!$H$63 * $I14) + (ASSUMPTIONS!$H$64 * $F14)), 
TRUE, $I28 *AE45 * ((ASSUMPTIONS!$I$63 * $I14) + (ASSUMPTIONS!$I$64 * $F14))
)</f>
        <v>1771203.4</v>
      </c>
      <c r="AF55" s="153">
        <f t="array" ref="AF55">IFS(AND(AF$36 = $E$18, AF$36 =ASSUMPTIONS!$E$60), $E28 * AF45 * ((ASSUMPTIONS!$E$63 * $I14) + (ASSUMPTIONS!$E$64 * $F14)), 
AND(AF$36 = $F$18, AF$36 =ASSUMPTIONS!$F$60), $F28 * AF45 * ((ASSUMPTIONS!$F$63 * $I14) + (ASSUMPTIONS!$F$64 * $F14)), 
AND(AF$36 = $G$18, AF$36 =ASSUMPTIONS!$G$60), $G28 * AF45 * ((ASSUMPTIONS!$G$63 * $I14) + (ASSUMPTIONS!$G$64 * $F14)), 
AND(AF$36 = $H$18, AF$36 =ASSUMPTIONS!$H$60), $H28 * AF45 * ((ASSUMPTIONS!$H$63 * $I14) + (ASSUMPTIONS!$H$64 * $F14)), 
TRUE, $I28 *AF45 * ((ASSUMPTIONS!$I$63 * $I14) + (ASSUMPTIONS!$I$64 * $F14))
)</f>
        <v>1771203.4</v>
      </c>
      <c r="AG55" s="153">
        <f t="array" ref="AG55">IFS(AND(AG$36 = $E$18, AG$36 =ASSUMPTIONS!$E$60), $E28 * AG45 * ((ASSUMPTIONS!$E$63 * $I14) + (ASSUMPTIONS!$E$64 * $F14)), 
AND(AG$36 = $F$18, AG$36 =ASSUMPTIONS!$F$60), $F28 * AG45 * ((ASSUMPTIONS!$F$63 * $I14) + (ASSUMPTIONS!$F$64 * $F14)), 
AND(AG$36 = $G$18, AG$36 =ASSUMPTIONS!$G$60), $G28 * AG45 * ((ASSUMPTIONS!$G$63 * $I14) + (ASSUMPTIONS!$G$64 * $F14)), 
AND(AG$36 = $H$18, AG$36 =ASSUMPTIONS!$H$60), $H28 * AG45 * ((ASSUMPTIONS!$H$63 * $I14) + (ASSUMPTIONS!$H$64 * $F14)), 
TRUE, $I28 *AG45 * ((ASSUMPTIONS!$I$63 * $I14) + (ASSUMPTIONS!$I$64 * $F14))
)</f>
        <v>1771203.4</v>
      </c>
      <c r="AH55" s="153">
        <f t="array" ref="AH55">IFS(AND(AH$36 = $E$18, AH$36 =ASSUMPTIONS!$E$60), $E28 * AH45 * ((ASSUMPTIONS!$E$63 * $I14) + (ASSUMPTIONS!$E$64 * $F14)), 
AND(AH$36 = $F$18, AH$36 =ASSUMPTIONS!$F$60), $F28 * AH45 * ((ASSUMPTIONS!$F$63 * $I14) + (ASSUMPTIONS!$F$64 * $F14)), 
AND(AH$36 = $G$18, AH$36 =ASSUMPTIONS!$G$60), $G28 * AH45 * ((ASSUMPTIONS!$G$63 * $I14) + (ASSUMPTIONS!$G$64 * $F14)), 
AND(AH$36 = $H$18, AH$36 =ASSUMPTIONS!$H$60), $H28 * AH45 * ((ASSUMPTIONS!$H$63 * $I14) + (ASSUMPTIONS!$H$64 * $F14)), 
TRUE, $I28 *AH45 * ((ASSUMPTIONS!$I$63 * $I14) + (ASSUMPTIONS!$I$64 * $F14))
)</f>
        <v>1771203.4</v>
      </c>
      <c r="AI55" s="153">
        <f t="array" ref="AI55">IFS(AND(AI$36 = $E$18, AI$36 =ASSUMPTIONS!$E$60), $E28 * AI45 * ((ASSUMPTIONS!$E$63 * $I14) + (ASSUMPTIONS!$E$64 * $F14)), 
AND(AI$36 = $F$18, AI$36 =ASSUMPTIONS!$F$60), $F28 * AI45 * ((ASSUMPTIONS!$F$63 * $I14) + (ASSUMPTIONS!$F$64 * $F14)), 
AND(AI$36 = $G$18, AI$36 =ASSUMPTIONS!$G$60), $G28 * AI45 * ((ASSUMPTIONS!$G$63 * $I14) + (ASSUMPTIONS!$G$64 * $F14)), 
AND(AI$36 = $H$18, AI$36 =ASSUMPTIONS!$H$60), $H28 * AI45 * ((ASSUMPTIONS!$H$63 * $I14) + (ASSUMPTIONS!$H$64 * $F14)), 
TRUE, $I28 *AI45 * ((ASSUMPTIONS!$I$63 * $I14) + (ASSUMPTIONS!$I$64 * $F14))
)</f>
        <v>1771203.4</v>
      </c>
      <c r="AJ55" s="153">
        <f t="array" ref="AJ55">IFS(AND(AJ$36 = $E$18, AJ$36 =ASSUMPTIONS!$E$60), $E28 * AJ45 * ((ASSUMPTIONS!$E$63 * $I14) + (ASSUMPTIONS!$E$64 * $F14)), 
AND(AJ$36 = $F$18, AJ$36 =ASSUMPTIONS!$F$60), $F28 * AJ45 * ((ASSUMPTIONS!$F$63 * $I14) + (ASSUMPTIONS!$F$64 * $F14)), 
AND(AJ$36 = $G$18, AJ$36 =ASSUMPTIONS!$G$60), $G28 * AJ45 * ((ASSUMPTIONS!$G$63 * $I14) + (ASSUMPTIONS!$G$64 * $F14)), 
AND(AJ$36 = $H$18, AJ$36 =ASSUMPTIONS!$H$60), $H28 * AJ45 * ((ASSUMPTIONS!$H$63 * $I14) + (ASSUMPTIONS!$H$64 * $F14)), 
TRUE, $I28 *AJ45 * ((ASSUMPTIONS!$I$63 * $I14) + (ASSUMPTIONS!$I$64 * $F14))
)</f>
        <v>1771203.4</v>
      </c>
      <c r="AK55" s="153">
        <f t="array" ref="AK55">IFS(AND(AK$36 = $E$18, AK$36 =ASSUMPTIONS!$E$60), $E28 * AK45 * ((ASSUMPTIONS!$E$63 * $I14) + (ASSUMPTIONS!$E$64 * $F14)), 
AND(AK$36 = $F$18, AK$36 =ASSUMPTIONS!$F$60), $F28 * AK45 * ((ASSUMPTIONS!$F$63 * $I14) + (ASSUMPTIONS!$F$64 * $F14)), 
AND(AK$36 = $G$18, AK$36 =ASSUMPTIONS!$G$60), $G28 * AK45 * ((ASSUMPTIONS!$G$63 * $I14) + (ASSUMPTIONS!$G$64 * $F14)), 
AND(AK$36 = $H$18, AK$36 =ASSUMPTIONS!$H$60), $H28 * AK45 * ((ASSUMPTIONS!$H$63 * $I14) + (ASSUMPTIONS!$H$64 * $F14)), 
TRUE, $I28 *AK45 * ((ASSUMPTIONS!$I$63 * $I14) + (ASSUMPTIONS!$I$64 * $F14))
)</f>
        <v>1771203.4</v>
      </c>
      <c r="AL55" s="153">
        <f t="array" ref="AL55">IFS(AND(AL$36 = $E$18, AL$36 =ASSUMPTIONS!$E$60), $E28 * AL45 * ((ASSUMPTIONS!$E$63 * $I14) + (ASSUMPTIONS!$E$64 * $F14)), 
AND(AL$36 = $F$18, AL$36 =ASSUMPTIONS!$F$60), $F28 * AL45 * ((ASSUMPTIONS!$F$63 * $I14) + (ASSUMPTIONS!$F$64 * $F14)), 
AND(AL$36 = $G$18, AL$36 =ASSUMPTIONS!$G$60), $G28 * AL45 * ((ASSUMPTIONS!$G$63 * $I14) + (ASSUMPTIONS!$G$64 * $F14)), 
AND(AL$36 = $H$18, AL$36 =ASSUMPTIONS!$H$60), $H28 * AL45 * ((ASSUMPTIONS!$H$63 * $I14) + (ASSUMPTIONS!$H$64 * $F14)), 
TRUE, $I28 *AL45 * ((ASSUMPTIONS!$I$63 * $I14) + (ASSUMPTIONS!$I$64 * $F14))
)</f>
        <v>1771203.4</v>
      </c>
      <c r="AM55" s="153">
        <f t="array" ref="AM55">IFS(AND(AM$36 = $E$18, AM$36 =ASSUMPTIONS!$E$60), $E28 * AM45 * ((ASSUMPTIONS!$E$63 * $I14) + (ASSUMPTIONS!$E$64 * $F14)), 
AND(AM$36 = $F$18, AM$36 =ASSUMPTIONS!$F$60), $F28 * AM45 * ((ASSUMPTIONS!$F$63 * $I14) + (ASSUMPTIONS!$F$64 * $F14)), 
AND(AM$36 = $G$18, AM$36 =ASSUMPTIONS!$G$60), $G28 * AM45 * ((ASSUMPTIONS!$G$63 * $I14) + (ASSUMPTIONS!$G$64 * $F14)), 
AND(AM$36 = $H$18, AM$36 =ASSUMPTIONS!$H$60), $H28 * AM45 * ((ASSUMPTIONS!$H$63 * $I14) + (ASSUMPTIONS!$H$64 * $F14)), 
TRUE, $I28 *AM45 * ((ASSUMPTIONS!$I$63 * $I14) + (ASSUMPTIONS!$I$64 * $F14))
)</f>
        <v>1771203.4</v>
      </c>
      <c r="AN55" s="153">
        <f t="array" ref="AN55">IFS(AND(AN$36 = $E$18, AN$36 =ASSUMPTIONS!$E$60), $E28 * AN45 * ((ASSUMPTIONS!$E$63 * $I14) + (ASSUMPTIONS!$E$64 * $F14)), 
AND(AN$36 = $F$18, AN$36 =ASSUMPTIONS!$F$60), $F28 * AN45 * ((ASSUMPTIONS!$F$63 * $I14) + (ASSUMPTIONS!$F$64 * $F14)), 
AND(AN$36 = $G$18, AN$36 =ASSUMPTIONS!$G$60), $G28 * AN45 * ((ASSUMPTIONS!$G$63 * $I14) + (ASSUMPTIONS!$G$64 * $F14)), 
AND(AN$36 = $H$18, AN$36 =ASSUMPTIONS!$H$60), $H28 * AN45 * ((ASSUMPTIONS!$H$63 * $I14) + (ASSUMPTIONS!$H$64 * $F14)), 
TRUE, $I28 *AN45 * ((ASSUMPTIONS!$I$63 * $I14) + (ASSUMPTIONS!$I$64 * $F14))
)</f>
        <v>1771203.4</v>
      </c>
      <c r="AO55" s="153">
        <f t="array" ref="AO55">IFS(AND(AO$36 = $E$18, AO$36 =ASSUMPTIONS!$E$60), $E28 * AO45 * ((ASSUMPTIONS!$E$63 * $I14) + (ASSUMPTIONS!$E$64 * $F14)), 
AND(AO$36 = $F$18, AO$36 =ASSUMPTIONS!$F$60), $F28 * AO45 * ((ASSUMPTIONS!$F$63 * $I14) + (ASSUMPTIONS!$F$64 * $F14)), 
AND(AO$36 = $G$18, AO$36 =ASSUMPTIONS!$G$60), $G28 * AO45 * ((ASSUMPTIONS!$G$63 * $I14) + (ASSUMPTIONS!$G$64 * $F14)), 
AND(AO$36 = $H$18, AO$36 =ASSUMPTIONS!$H$60), $H28 * AO45 * ((ASSUMPTIONS!$H$63 * $I14) + (ASSUMPTIONS!$H$64 * $F14)), 
TRUE, $I28 *AO45 * ((ASSUMPTIONS!$I$63 * $I14) + (ASSUMPTIONS!$I$64 * $F14))
)</f>
        <v>5752471.261</v>
      </c>
      <c r="AP55" s="153">
        <f t="array" ref="AP55">IFS(AND(AP$36 = $E$18, AP$36 =ASSUMPTIONS!$E$60), $E28 * AP45 * ((ASSUMPTIONS!$E$63 * $I14) + (ASSUMPTIONS!$E$64 * $F14)), 
AND(AP$36 = $F$18, AP$36 =ASSUMPTIONS!$F$60), $F28 * AP45 * ((ASSUMPTIONS!$F$63 * $I14) + (ASSUMPTIONS!$F$64 * $F14)), 
AND(AP$36 = $G$18, AP$36 =ASSUMPTIONS!$G$60), $G28 * AP45 * ((ASSUMPTIONS!$G$63 * $I14) + (ASSUMPTIONS!$G$64 * $F14)), 
AND(AP$36 = $H$18, AP$36 =ASSUMPTIONS!$H$60), $H28 * AP45 * ((ASSUMPTIONS!$H$63 * $I14) + (ASSUMPTIONS!$H$64 * $F14)), 
TRUE, $I28 *AP45 * ((ASSUMPTIONS!$I$63 * $I14) + (ASSUMPTIONS!$I$64 * $F14))
)</f>
        <v>5752471.261</v>
      </c>
      <c r="AQ55" s="153">
        <f t="array" ref="AQ55">IFS(AND(AQ$36 = $E$18, AQ$36 =ASSUMPTIONS!$E$60), $E28 * AQ45 * ((ASSUMPTIONS!$E$63 * $I14) + (ASSUMPTIONS!$E$64 * $F14)), 
AND(AQ$36 = $F$18, AQ$36 =ASSUMPTIONS!$F$60), $F28 * AQ45 * ((ASSUMPTIONS!$F$63 * $I14) + (ASSUMPTIONS!$F$64 * $F14)), 
AND(AQ$36 = $G$18, AQ$36 =ASSUMPTIONS!$G$60), $G28 * AQ45 * ((ASSUMPTIONS!$G$63 * $I14) + (ASSUMPTIONS!$G$64 * $F14)), 
AND(AQ$36 = $H$18, AQ$36 =ASSUMPTIONS!$H$60), $H28 * AQ45 * ((ASSUMPTIONS!$H$63 * $I14) + (ASSUMPTIONS!$H$64 * $F14)), 
TRUE, $I28 *AQ45 * ((ASSUMPTIONS!$I$63 * $I14) + (ASSUMPTIONS!$I$64 * $F14))
)</f>
        <v>5752471.261</v>
      </c>
      <c r="AR55" s="153">
        <f t="array" ref="AR55">IFS(AND(AR$36 = $E$18, AR$36 =ASSUMPTIONS!$E$60), $E28 * AR45 * ((ASSUMPTIONS!$E$63 * $I14) + (ASSUMPTIONS!$E$64 * $F14)), 
AND(AR$36 = $F$18, AR$36 =ASSUMPTIONS!$F$60), $F28 * AR45 * ((ASSUMPTIONS!$F$63 * $I14) + (ASSUMPTIONS!$F$64 * $F14)), 
AND(AR$36 = $G$18, AR$36 =ASSUMPTIONS!$G$60), $G28 * AR45 * ((ASSUMPTIONS!$G$63 * $I14) + (ASSUMPTIONS!$G$64 * $F14)), 
AND(AR$36 = $H$18, AR$36 =ASSUMPTIONS!$H$60), $H28 * AR45 * ((ASSUMPTIONS!$H$63 * $I14) + (ASSUMPTIONS!$H$64 * $F14)), 
TRUE, $I28 *AR45 * ((ASSUMPTIONS!$I$63 * $I14) + (ASSUMPTIONS!$I$64 * $F14))
)</f>
        <v>5752471.261</v>
      </c>
      <c r="AS55" s="153">
        <f t="array" ref="AS55">IFS(AND(AS$36 = $E$18, AS$36 =ASSUMPTIONS!$E$60), $E28 * AS45 * ((ASSUMPTIONS!$E$63 * $I14) + (ASSUMPTIONS!$E$64 * $F14)), 
AND(AS$36 = $F$18, AS$36 =ASSUMPTIONS!$F$60), $F28 * AS45 * ((ASSUMPTIONS!$F$63 * $I14) + (ASSUMPTIONS!$F$64 * $F14)), 
AND(AS$36 = $G$18, AS$36 =ASSUMPTIONS!$G$60), $G28 * AS45 * ((ASSUMPTIONS!$G$63 * $I14) + (ASSUMPTIONS!$G$64 * $F14)), 
AND(AS$36 = $H$18, AS$36 =ASSUMPTIONS!$H$60), $H28 * AS45 * ((ASSUMPTIONS!$H$63 * $I14) + (ASSUMPTIONS!$H$64 * $F14)), 
TRUE, $I28 *AS45 * ((ASSUMPTIONS!$I$63 * $I14) + (ASSUMPTIONS!$I$64 * $F14))
)</f>
        <v>5752471.261</v>
      </c>
      <c r="AT55" s="153">
        <f t="array" ref="AT55">IFS(AND(AT$36 = $E$18, AT$36 =ASSUMPTIONS!$E$60), $E28 * AT45 * ((ASSUMPTIONS!$E$63 * $I14) + (ASSUMPTIONS!$E$64 * $F14)), 
AND(AT$36 = $F$18, AT$36 =ASSUMPTIONS!$F$60), $F28 * AT45 * ((ASSUMPTIONS!$F$63 * $I14) + (ASSUMPTIONS!$F$64 * $F14)), 
AND(AT$36 = $G$18, AT$36 =ASSUMPTIONS!$G$60), $G28 * AT45 * ((ASSUMPTIONS!$G$63 * $I14) + (ASSUMPTIONS!$G$64 * $F14)), 
AND(AT$36 = $H$18, AT$36 =ASSUMPTIONS!$H$60), $H28 * AT45 * ((ASSUMPTIONS!$H$63 * $I14) + (ASSUMPTIONS!$H$64 * $F14)), 
TRUE, $I28 *AT45 * ((ASSUMPTIONS!$I$63 * $I14) + (ASSUMPTIONS!$I$64 * $F14))
)</f>
        <v>5752471.261</v>
      </c>
      <c r="AU55" s="153">
        <f t="array" ref="AU55">IFS(AND(AU$36 = $E$18, AU$36 =ASSUMPTIONS!$E$60), $E28 * AU45 * ((ASSUMPTIONS!$E$63 * $I14) + (ASSUMPTIONS!$E$64 * $F14)), 
AND(AU$36 = $F$18, AU$36 =ASSUMPTIONS!$F$60), $F28 * AU45 * ((ASSUMPTIONS!$F$63 * $I14) + (ASSUMPTIONS!$F$64 * $F14)), 
AND(AU$36 = $G$18, AU$36 =ASSUMPTIONS!$G$60), $G28 * AU45 * ((ASSUMPTIONS!$G$63 * $I14) + (ASSUMPTIONS!$G$64 * $F14)), 
AND(AU$36 = $H$18, AU$36 =ASSUMPTIONS!$H$60), $H28 * AU45 * ((ASSUMPTIONS!$H$63 * $I14) + (ASSUMPTIONS!$H$64 * $F14)), 
TRUE, $I28 *AU45 * ((ASSUMPTIONS!$I$63 * $I14) + (ASSUMPTIONS!$I$64 * $F14))
)</f>
        <v>5752471.261</v>
      </c>
      <c r="AV55" s="153">
        <f t="array" ref="AV55">IFS(AND(AV$36 = $E$18, AV$36 =ASSUMPTIONS!$E$60), $E28 * AV45 * ((ASSUMPTIONS!$E$63 * $I14) + (ASSUMPTIONS!$E$64 * $F14)), 
AND(AV$36 = $F$18, AV$36 =ASSUMPTIONS!$F$60), $F28 * AV45 * ((ASSUMPTIONS!$F$63 * $I14) + (ASSUMPTIONS!$F$64 * $F14)), 
AND(AV$36 = $G$18, AV$36 =ASSUMPTIONS!$G$60), $G28 * AV45 * ((ASSUMPTIONS!$G$63 * $I14) + (ASSUMPTIONS!$G$64 * $F14)), 
AND(AV$36 = $H$18, AV$36 =ASSUMPTIONS!$H$60), $H28 * AV45 * ((ASSUMPTIONS!$H$63 * $I14) + (ASSUMPTIONS!$H$64 * $F14)), 
TRUE, $I28 *AV45 * ((ASSUMPTIONS!$I$63 * $I14) + (ASSUMPTIONS!$I$64 * $F14))
)</f>
        <v>5752471.261</v>
      </c>
      <c r="AW55" s="153">
        <f t="array" ref="AW55">IFS(AND(AW$36 = $E$18, AW$36 =ASSUMPTIONS!$E$60), $E28 * AW45 * ((ASSUMPTIONS!$E$63 * $I14) + (ASSUMPTIONS!$E$64 * $F14)), 
AND(AW$36 = $F$18, AW$36 =ASSUMPTIONS!$F$60), $F28 * AW45 * ((ASSUMPTIONS!$F$63 * $I14) + (ASSUMPTIONS!$F$64 * $F14)), 
AND(AW$36 = $G$18, AW$36 =ASSUMPTIONS!$G$60), $G28 * AW45 * ((ASSUMPTIONS!$G$63 * $I14) + (ASSUMPTIONS!$G$64 * $F14)), 
AND(AW$36 = $H$18, AW$36 =ASSUMPTIONS!$H$60), $H28 * AW45 * ((ASSUMPTIONS!$H$63 * $I14) + (ASSUMPTIONS!$H$64 * $F14)), 
TRUE, $I28 *AW45 * ((ASSUMPTIONS!$I$63 * $I14) + (ASSUMPTIONS!$I$64 * $F14))
)</f>
        <v>5752471.261</v>
      </c>
      <c r="AX55" s="153">
        <f t="array" ref="AX55">IFS(AND(AX$36 = $E$18, AX$36 =ASSUMPTIONS!$E$60), $E28 * AX45 * ((ASSUMPTIONS!$E$63 * $I14) + (ASSUMPTIONS!$E$64 * $F14)), 
AND(AX$36 = $F$18, AX$36 =ASSUMPTIONS!$F$60), $F28 * AX45 * ((ASSUMPTIONS!$F$63 * $I14) + (ASSUMPTIONS!$F$64 * $F14)), 
AND(AX$36 = $G$18, AX$36 =ASSUMPTIONS!$G$60), $G28 * AX45 * ((ASSUMPTIONS!$G$63 * $I14) + (ASSUMPTIONS!$G$64 * $F14)), 
AND(AX$36 = $H$18, AX$36 =ASSUMPTIONS!$H$60), $H28 * AX45 * ((ASSUMPTIONS!$H$63 * $I14) + (ASSUMPTIONS!$H$64 * $F14)), 
TRUE, $I28 *AX45 * ((ASSUMPTIONS!$I$63 * $I14) + (ASSUMPTIONS!$I$64 * $F14))
)</f>
        <v>5752471.261</v>
      </c>
      <c r="AY55" s="153">
        <f t="array" ref="AY55">IFS(AND(AY$36 = $E$18, AY$36 =ASSUMPTIONS!$E$60), $E28 * AY45 * ((ASSUMPTIONS!$E$63 * $I14) + (ASSUMPTIONS!$E$64 * $F14)), 
AND(AY$36 = $F$18, AY$36 =ASSUMPTIONS!$F$60), $F28 * AY45 * ((ASSUMPTIONS!$F$63 * $I14) + (ASSUMPTIONS!$F$64 * $F14)), 
AND(AY$36 = $G$18, AY$36 =ASSUMPTIONS!$G$60), $G28 * AY45 * ((ASSUMPTIONS!$G$63 * $I14) + (ASSUMPTIONS!$G$64 * $F14)), 
AND(AY$36 = $H$18, AY$36 =ASSUMPTIONS!$H$60), $H28 * AY45 * ((ASSUMPTIONS!$H$63 * $I14) + (ASSUMPTIONS!$H$64 * $F14)), 
TRUE, $I28 *AY45 * ((ASSUMPTIONS!$I$63 * $I14) + (ASSUMPTIONS!$I$64 * $F14))
)</f>
        <v>5752471.261</v>
      </c>
      <c r="AZ55" s="153">
        <f t="array" ref="AZ55">IFS(AND(AZ$36 = $E$18, AZ$36 =ASSUMPTIONS!$E$60), $E28 * AZ45 * ((ASSUMPTIONS!$E$63 * $I14) + (ASSUMPTIONS!$E$64 * $F14)), 
AND(AZ$36 = $F$18, AZ$36 =ASSUMPTIONS!$F$60), $F28 * AZ45 * ((ASSUMPTIONS!$F$63 * $I14) + (ASSUMPTIONS!$F$64 * $F14)), 
AND(AZ$36 = $G$18, AZ$36 =ASSUMPTIONS!$G$60), $G28 * AZ45 * ((ASSUMPTIONS!$G$63 * $I14) + (ASSUMPTIONS!$G$64 * $F14)), 
AND(AZ$36 = $H$18, AZ$36 =ASSUMPTIONS!$H$60), $H28 * AZ45 * ((ASSUMPTIONS!$H$63 * $I14) + (ASSUMPTIONS!$H$64 * $F14)), 
TRUE, $I28 *AZ45 * ((ASSUMPTIONS!$I$63 * $I14) + (ASSUMPTIONS!$I$64 * $F14))
)</f>
        <v>5752471.261</v>
      </c>
      <c r="BA55" s="153">
        <f t="array" ref="BA55">IFS(AND(BA$36 = $E$18, BA$36 =ASSUMPTIONS!$E$60), $E28 * BA45 * ((ASSUMPTIONS!$E$63 * $I14) + (ASSUMPTIONS!$E$64 * $F14)), 
AND(BA$36 = $F$18, BA$36 =ASSUMPTIONS!$F$60), $F28 * BA45 * ((ASSUMPTIONS!$F$63 * $I14) + (ASSUMPTIONS!$F$64 * $F14)), 
AND(BA$36 = $G$18, BA$36 =ASSUMPTIONS!$G$60), $G28 * BA45 * ((ASSUMPTIONS!$G$63 * $I14) + (ASSUMPTIONS!$G$64 * $F14)), 
AND(BA$36 = $H$18, BA$36 =ASSUMPTIONS!$H$60), $H28 * BA45 * ((ASSUMPTIONS!$H$63 * $I14) + (ASSUMPTIONS!$H$64 * $F14)), 
TRUE, $I28 *BA45 * ((ASSUMPTIONS!$I$63 * $I14) + (ASSUMPTIONS!$I$64 * $F14))
)</f>
        <v>6494693.773</v>
      </c>
      <c r="BB55" s="153">
        <f t="array" ref="BB55">IFS(AND(BB$36 = $E$18, BB$36 =ASSUMPTIONS!$E$60), $E28 * BB45 * ((ASSUMPTIONS!$E$63 * $I14) + (ASSUMPTIONS!$E$64 * $F14)), 
AND(BB$36 = $F$18, BB$36 =ASSUMPTIONS!$F$60), $F28 * BB45 * ((ASSUMPTIONS!$F$63 * $I14) + (ASSUMPTIONS!$F$64 * $F14)), 
AND(BB$36 = $G$18, BB$36 =ASSUMPTIONS!$G$60), $G28 * BB45 * ((ASSUMPTIONS!$G$63 * $I14) + (ASSUMPTIONS!$G$64 * $F14)), 
AND(BB$36 = $H$18, BB$36 =ASSUMPTIONS!$H$60), $H28 * BB45 * ((ASSUMPTIONS!$H$63 * $I14) + (ASSUMPTIONS!$H$64 * $F14)), 
TRUE, $I28 *BB45 * ((ASSUMPTIONS!$I$63 * $I14) + (ASSUMPTIONS!$I$64 * $F14))
)</f>
        <v>6494693.773</v>
      </c>
      <c r="BC55" s="153">
        <f t="array" ref="BC55">IFS(AND(BC$36 = $E$18, BC$36 =ASSUMPTIONS!$E$60), $E28 * BC45 * ((ASSUMPTIONS!$E$63 * $I14) + (ASSUMPTIONS!$E$64 * $F14)), 
AND(BC$36 = $F$18, BC$36 =ASSUMPTIONS!$F$60), $F28 * BC45 * ((ASSUMPTIONS!$F$63 * $I14) + (ASSUMPTIONS!$F$64 * $F14)), 
AND(BC$36 = $G$18, BC$36 =ASSUMPTIONS!$G$60), $G28 * BC45 * ((ASSUMPTIONS!$G$63 * $I14) + (ASSUMPTIONS!$G$64 * $F14)), 
AND(BC$36 = $H$18, BC$36 =ASSUMPTIONS!$H$60), $H28 * BC45 * ((ASSUMPTIONS!$H$63 * $I14) + (ASSUMPTIONS!$H$64 * $F14)), 
TRUE, $I28 *BC45 * ((ASSUMPTIONS!$I$63 * $I14) + (ASSUMPTIONS!$I$64 * $F14))
)</f>
        <v>6494693.773</v>
      </c>
      <c r="BD55" s="153">
        <f t="array" ref="BD55">IFS(AND(BD$36 = $E$18, BD$36 =ASSUMPTIONS!$E$60), $E28 * BD45 * ((ASSUMPTIONS!$E$63 * $I14) + (ASSUMPTIONS!$E$64 * $F14)), 
AND(BD$36 = $F$18, BD$36 =ASSUMPTIONS!$F$60), $F28 * BD45 * ((ASSUMPTIONS!$F$63 * $I14) + (ASSUMPTIONS!$F$64 * $F14)), 
AND(BD$36 = $G$18, BD$36 =ASSUMPTIONS!$G$60), $G28 * BD45 * ((ASSUMPTIONS!$G$63 * $I14) + (ASSUMPTIONS!$G$64 * $F14)), 
AND(BD$36 = $H$18, BD$36 =ASSUMPTIONS!$H$60), $H28 * BD45 * ((ASSUMPTIONS!$H$63 * $I14) + (ASSUMPTIONS!$H$64 * $F14)), 
TRUE, $I28 *BD45 * ((ASSUMPTIONS!$I$63 * $I14) + (ASSUMPTIONS!$I$64 * $F14))
)</f>
        <v>6494693.773</v>
      </c>
      <c r="BE55" s="153">
        <f t="array" ref="BE55">IFS(AND(BE$36 = $E$18, BE$36 =ASSUMPTIONS!$E$60), $E28 * BE45 * ((ASSUMPTIONS!$E$63 * $I14) + (ASSUMPTIONS!$E$64 * $F14)), 
AND(BE$36 = $F$18, BE$36 =ASSUMPTIONS!$F$60), $F28 * BE45 * ((ASSUMPTIONS!$F$63 * $I14) + (ASSUMPTIONS!$F$64 * $F14)), 
AND(BE$36 = $G$18, BE$36 =ASSUMPTIONS!$G$60), $G28 * BE45 * ((ASSUMPTIONS!$G$63 * $I14) + (ASSUMPTIONS!$G$64 * $F14)), 
AND(BE$36 = $H$18, BE$36 =ASSUMPTIONS!$H$60), $H28 * BE45 * ((ASSUMPTIONS!$H$63 * $I14) + (ASSUMPTIONS!$H$64 * $F14)), 
TRUE, $I28 *BE45 * ((ASSUMPTIONS!$I$63 * $I14) + (ASSUMPTIONS!$I$64 * $F14))
)</f>
        <v>6494693.773</v>
      </c>
      <c r="BF55" s="153">
        <f t="array" ref="BF55">IFS(AND(BF$36 = $E$18, BF$36 =ASSUMPTIONS!$E$60), $E28 * BF45 * ((ASSUMPTIONS!$E$63 * $I14) + (ASSUMPTIONS!$E$64 * $F14)), 
AND(BF$36 = $F$18, BF$36 =ASSUMPTIONS!$F$60), $F28 * BF45 * ((ASSUMPTIONS!$F$63 * $I14) + (ASSUMPTIONS!$F$64 * $F14)), 
AND(BF$36 = $G$18, BF$36 =ASSUMPTIONS!$G$60), $G28 * BF45 * ((ASSUMPTIONS!$G$63 * $I14) + (ASSUMPTIONS!$G$64 * $F14)), 
AND(BF$36 = $H$18, BF$36 =ASSUMPTIONS!$H$60), $H28 * BF45 * ((ASSUMPTIONS!$H$63 * $I14) + (ASSUMPTIONS!$H$64 * $F14)), 
TRUE, $I28 *BF45 * ((ASSUMPTIONS!$I$63 * $I14) + (ASSUMPTIONS!$I$64 * $F14))
)</f>
        <v>6494693.773</v>
      </c>
      <c r="BG55" s="153">
        <f t="array" ref="BG55">IFS(AND(BG$36 = $E$18, BG$36 =ASSUMPTIONS!$E$60), $E28 * BG45 * ((ASSUMPTIONS!$E$63 * $I14) + (ASSUMPTIONS!$E$64 * $F14)), 
AND(BG$36 = $F$18, BG$36 =ASSUMPTIONS!$F$60), $F28 * BG45 * ((ASSUMPTIONS!$F$63 * $I14) + (ASSUMPTIONS!$F$64 * $F14)), 
AND(BG$36 = $G$18, BG$36 =ASSUMPTIONS!$G$60), $G28 * BG45 * ((ASSUMPTIONS!$G$63 * $I14) + (ASSUMPTIONS!$G$64 * $F14)), 
AND(BG$36 = $H$18, BG$36 =ASSUMPTIONS!$H$60), $H28 * BG45 * ((ASSUMPTIONS!$H$63 * $I14) + (ASSUMPTIONS!$H$64 * $F14)), 
TRUE, $I28 *BG45 * ((ASSUMPTIONS!$I$63 * $I14) + (ASSUMPTIONS!$I$64 * $F14))
)</f>
        <v>6494693.773</v>
      </c>
      <c r="BH55" s="153">
        <f t="array" ref="BH55">IFS(AND(BH$36 = $E$18, BH$36 =ASSUMPTIONS!$E$60), $E28 * BH45 * ((ASSUMPTIONS!$E$63 * $I14) + (ASSUMPTIONS!$E$64 * $F14)), 
AND(BH$36 = $F$18, BH$36 =ASSUMPTIONS!$F$60), $F28 * BH45 * ((ASSUMPTIONS!$F$63 * $I14) + (ASSUMPTIONS!$F$64 * $F14)), 
AND(BH$36 = $G$18, BH$36 =ASSUMPTIONS!$G$60), $G28 * BH45 * ((ASSUMPTIONS!$G$63 * $I14) + (ASSUMPTIONS!$G$64 * $F14)), 
AND(BH$36 = $H$18, BH$36 =ASSUMPTIONS!$H$60), $H28 * BH45 * ((ASSUMPTIONS!$H$63 * $I14) + (ASSUMPTIONS!$H$64 * $F14)), 
TRUE, $I28 *BH45 * ((ASSUMPTIONS!$I$63 * $I14) + (ASSUMPTIONS!$I$64 * $F14))
)</f>
        <v>6494693.773</v>
      </c>
      <c r="BI55" s="153">
        <f t="array" ref="BI55">IFS(AND(BI$36 = $E$18, BI$36 =ASSUMPTIONS!$E$60), $E28 * BI45 * ((ASSUMPTIONS!$E$63 * $I14) + (ASSUMPTIONS!$E$64 * $F14)), 
AND(BI$36 = $F$18, BI$36 =ASSUMPTIONS!$F$60), $F28 * BI45 * ((ASSUMPTIONS!$F$63 * $I14) + (ASSUMPTIONS!$F$64 * $F14)), 
AND(BI$36 = $G$18, BI$36 =ASSUMPTIONS!$G$60), $G28 * BI45 * ((ASSUMPTIONS!$G$63 * $I14) + (ASSUMPTIONS!$G$64 * $F14)), 
AND(BI$36 = $H$18, BI$36 =ASSUMPTIONS!$H$60), $H28 * BI45 * ((ASSUMPTIONS!$H$63 * $I14) + (ASSUMPTIONS!$H$64 * $F14)), 
TRUE, $I28 *BI45 * ((ASSUMPTIONS!$I$63 * $I14) + (ASSUMPTIONS!$I$64 * $F14))
)</f>
        <v>6494693.773</v>
      </c>
      <c r="BJ55" s="153">
        <f t="array" ref="BJ55">IFS(AND(BJ$36 = $E$18, BJ$36 =ASSUMPTIONS!$E$60), $E28 * BJ45 * ((ASSUMPTIONS!$E$63 * $I14) + (ASSUMPTIONS!$E$64 * $F14)), 
AND(BJ$36 = $F$18, BJ$36 =ASSUMPTIONS!$F$60), $F28 * BJ45 * ((ASSUMPTIONS!$F$63 * $I14) + (ASSUMPTIONS!$F$64 * $F14)), 
AND(BJ$36 = $G$18, BJ$36 =ASSUMPTIONS!$G$60), $G28 * BJ45 * ((ASSUMPTIONS!$G$63 * $I14) + (ASSUMPTIONS!$G$64 * $F14)), 
AND(BJ$36 = $H$18, BJ$36 =ASSUMPTIONS!$H$60), $H28 * BJ45 * ((ASSUMPTIONS!$H$63 * $I14) + (ASSUMPTIONS!$H$64 * $F14)), 
TRUE, $I28 *BJ45 * ((ASSUMPTIONS!$I$63 * $I14) + (ASSUMPTIONS!$I$64 * $F14))
)</f>
        <v>6494693.773</v>
      </c>
      <c r="BK55" s="153">
        <f t="array" ref="BK55">IFS(AND(BK$36 = $E$18, BK$36 =ASSUMPTIONS!$E$60), $E28 * BK45 * ((ASSUMPTIONS!$E$63 * $I14) + (ASSUMPTIONS!$E$64 * $F14)), 
AND(BK$36 = $F$18, BK$36 =ASSUMPTIONS!$F$60), $F28 * BK45 * ((ASSUMPTIONS!$F$63 * $I14) + (ASSUMPTIONS!$F$64 * $F14)), 
AND(BK$36 = $G$18, BK$36 =ASSUMPTIONS!$G$60), $G28 * BK45 * ((ASSUMPTIONS!$G$63 * $I14) + (ASSUMPTIONS!$G$64 * $F14)), 
AND(BK$36 = $H$18, BK$36 =ASSUMPTIONS!$H$60), $H28 * BK45 * ((ASSUMPTIONS!$H$63 * $I14) + (ASSUMPTIONS!$H$64 * $F14)), 
TRUE, $I28 *BK45 * ((ASSUMPTIONS!$I$63 * $I14) + (ASSUMPTIONS!$I$64 * $F14))
)</f>
        <v>6494693.773</v>
      </c>
      <c r="BL55" s="153">
        <f t="array" ref="BL55">IFS(AND(BL$36 = $E$18, BL$36 =ASSUMPTIONS!$E$60), $E28 * BL45 * ((ASSUMPTIONS!$E$63 * $I14) + (ASSUMPTIONS!$E$64 * $F14)), 
AND(BL$36 = $F$18, BL$36 =ASSUMPTIONS!$F$60), $F28 * BL45 * ((ASSUMPTIONS!$F$63 * $I14) + (ASSUMPTIONS!$F$64 * $F14)), 
AND(BL$36 = $G$18, BL$36 =ASSUMPTIONS!$G$60), $G28 * BL45 * ((ASSUMPTIONS!$G$63 * $I14) + (ASSUMPTIONS!$G$64 * $F14)), 
AND(BL$36 = $H$18, BL$36 =ASSUMPTIONS!$H$60), $H28 * BL45 * ((ASSUMPTIONS!$H$63 * $I14) + (ASSUMPTIONS!$H$64 * $F14)), 
TRUE, $I28 *BL45 * ((ASSUMPTIONS!$I$63 * $I14) + (ASSUMPTIONS!$I$64 * $F14))
)</f>
        <v>6494693.773</v>
      </c>
    </row>
    <row r="56" ht="15.75" customHeight="1">
      <c r="D56" s="35" t="s">
        <v>28</v>
      </c>
      <c r="E56" s="153">
        <f t="array" ref="E56">IFS(AND(E$36 = $E$18, E$36 =ASSUMPTIONS!$E$60), $E29 * E46 * ((ASSUMPTIONS!$E$63 * $I15) + (ASSUMPTIONS!$E$64 * $F15)), 
AND(E$36 = $F$18, E$36 =ASSUMPTIONS!$F$60), $F29 * E46 * ((ASSUMPTIONS!$F$63 * $I15) + (ASSUMPTIONS!$F$64 * $F15)), 
AND(E$36 = $G$18, E$36 =ASSUMPTIONS!$G$60), $G29 * E46 * ((ASSUMPTIONS!$G$63 * $I15) + (ASSUMPTIONS!$G$64 * $F15)), 
AND(E$36 = $H$18, E$36 =ASSUMPTIONS!$H$60), $H29 * E46 * ((ASSUMPTIONS!$H$63 * $I15) + (ASSUMPTIONS!$H$64 * $F15)), 
TRUE, $I29 *E46 * ((ASSUMPTIONS!$I$63 * $I15) + (ASSUMPTIONS!$I$64 * $F15))
)</f>
        <v>0</v>
      </c>
      <c r="F56" s="153">
        <f t="array" ref="F56">IFS(AND(F$36 = $E$18, F$36 =ASSUMPTIONS!$E$60), $E29 * F46 * ((ASSUMPTIONS!$E$63 * $I15) + (ASSUMPTIONS!$E$64 * $F15)), 
AND(F$36 = $F$18, F$36 =ASSUMPTIONS!$F$60), $F29 * F46 * ((ASSUMPTIONS!$F$63 * $I15) + (ASSUMPTIONS!$F$64 * $F15)), 
AND(F$36 = $G$18, F$36 =ASSUMPTIONS!$G$60), $G29 * F46 * ((ASSUMPTIONS!$G$63 * $I15) + (ASSUMPTIONS!$G$64 * $F15)), 
AND(F$36 = $H$18, F$36 =ASSUMPTIONS!$H$60), $H29 * F46 * ((ASSUMPTIONS!$H$63 * $I15) + (ASSUMPTIONS!$H$64 * $F15)), 
TRUE, $I29 *F46 * ((ASSUMPTIONS!$I$63 * $I15) + (ASSUMPTIONS!$I$64 * $F15))
)</f>
        <v>0</v>
      </c>
      <c r="G56" s="153">
        <f t="array" ref="G56">IFS(AND(G$36 = $E$18, G$36 =ASSUMPTIONS!$E$60), $E29 * G46 * ((ASSUMPTIONS!$E$63 * $I15) + (ASSUMPTIONS!$E$64 * $F15)), 
AND(G$36 = $F$18, G$36 =ASSUMPTIONS!$F$60), $F29 * G46 * ((ASSUMPTIONS!$F$63 * $I15) + (ASSUMPTIONS!$F$64 * $F15)), 
AND(G$36 = $G$18, G$36 =ASSUMPTIONS!$G$60), $G29 * G46 * ((ASSUMPTIONS!$G$63 * $I15) + (ASSUMPTIONS!$G$64 * $F15)), 
AND(G$36 = $H$18, G$36 =ASSUMPTIONS!$H$60), $H29 * G46 * ((ASSUMPTIONS!$H$63 * $I15) + (ASSUMPTIONS!$H$64 * $F15)), 
TRUE, $I29 *G46 * ((ASSUMPTIONS!$I$63 * $I15) + (ASSUMPTIONS!$I$64 * $F15))
)</f>
        <v>0</v>
      </c>
      <c r="H56" s="153">
        <f t="array" ref="H56">IFS(AND(H$36 = $E$18, H$36 =ASSUMPTIONS!$E$60), $E29 * H46 * ((ASSUMPTIONS!$E$63 * $I15) + (ASSUMPTIONS!$E$64 * $F15)), 
AND(H$36 = $F$18, H$36 =ASSUMPTIONS!$F$60), $F29 * H46 * ((ASSUMPTIONS!$F$63 * $I15) + (ASSUMPTIONS!$F$64 * $F15)), 
AND(H$36 = $G$18, H$36 =ASSUMPTIONS!$G$60), $G29 * H46 * ((ASSUMPTIONS!$G$63 * $I15) + (ASSUMPTIONS!$G$64 * $F15)), 
AND(H$36 = $H$18, H$36 =ASSUMPTIONS!$H$60), $H29 * H46 * ((ASSUMPTIONS!$H$63 * $I15) + (ASSUMPTIONS!$H$64 * $F15)), 
TRUE, $I29 *H46 * ((ASSUMPTIONS!$I$63 * $I15) + (ASSUMPTIONS!$I$64 * $F15))
)</f>
        <v>0</v>
      </c>
      <c r="I56" s="153">
        <f t="array" ref="I56">IFS(AND(I$36 = $E$18, I$36 =ASSUMPTIONS!$E$60), $E29 * I46 * ((ASSUMPTIONS!$E$63 * $I15) + (ASSUMPTIONS!$E$64 * $F15)), 
AND(I$36 = $F$18, I$36 =ASSUMPTIONS!$F$60), $F29 * I46 * ((ASSUMPTIONS!$F$63 * $I15) + (ASSUMPTIONS!$F$64 * $F15)), 
AND(I$36 = $G$18, I$36 =ASSUMPTIONS!$G$60), $G29 * I46 * ((ASSUMPTIONS!$G$63 * $I15) + (ASSUMPTIONS!$G$64 * $F15)), 
AND(I$36 = $H$18, I$36 =ASSUMPTIONS!$H$60), $H29 * I46 * ((ASSUMPTIONS!$H$63 * $I15) + (ASSUMPTIONS!$H$64 * $F15)), 
TRUE, $I29 *I46 * ((ASSUMPTIONS!$I$63 * $I15) + (ASSUMPTIONS!$I$64 * $F15))
)</f>
        <v>0</v>
      </c>
      <c r="J56" s="153">
        <f t="array" ref="J56">IFS(AND(J$36 = $E$18, J$36 =ASSUMPTIONS!$E$60), $E29 * J46 * ((ASSUMPTIONS!$E$63 * $I15) + (ASSUMPTIONS!$E$64 * $F15)), 
AND(J$36 = $F$18, J$36 =ASSUMPTIONS!$F$60), $F29 * J46 * ((ASSUMPTIONS!$F$63 * $I15) + (ASSUMPTIONS!$F$64 * $F15)), 
AND(J$36 = $G$18, J$36 =ASSUMPTIONS!$G$60), $G29 * J46 * ((ASSUMPTIONS!$G$63 * $I15) + (ASSUMPTIONS!$G$64 * $F15)), 
AND(J$36 = $H$18, J$36 =ASSUMPTIONS!$H$60), $H29 * J46 * ((ASSUMPTIONS!$H$63 * $I15) + (ASSUMPTIONS!$H$64 * $F15)), 
TRUE, $I29 *J46 * ((ASSUMPTIONS!$I$63 * $I15) + (ASSUMPTIONS!$I$64 * $F15))
)</f>
        <v>0</v>
      </c>
      <c r="K56" s="153">
        <f t="array" ref="K56">IFS(AND(K$36 = $E$18, K$36 =ASSUMPTIONS!$E$60), $E29 * K46 * ((ASSUMPTIONS!$E$63 * $I15) + (ASSUMPTIONS!$E$64 * $F15)), 
AND(K$36 = $F$18, K$36 =ASSUMPTIONS!$F$60), $F29 * K46 * ((ASSUMPTIONS!$F$63 * $I15) + (ASSUMPTIONS!$F$64 * $F15)), 
AND(K$36 = $G$18, K$36 =ASSUMPTIONS!$G$60), $G29 * K46 * ((ASSUMPTIONS!$G$63 * $I15) + (ASSUMPTIONS!$G$64 * $F15)), 
AND(K$36 = $H$18, K$36 =ASSUMPTIONS!$H$60), $H29 * K46 * ((ASSUMPTIONS!$H$63 * $I15) + (ASSUMPTIONS!$H$64 * $F15)), 
TRUE, $I29 *K46 * ((ASSUMPTIONS!$I$63 * $I15) + (ASSUMPTIONS!$I$64 * $F15))
)</f>
        <v>2042311.68</v>
      </c>
      <c r="L56" s="153">
        <f t="array" ref="L56">IFS(AND(L$36 = $E$18, L$36 =ASSUMPTIONS!$E$60), $E29 * L46 * ((ASSUMPTIONS!$E$63 * $I15) + (ASSUMPTIONS!$E$64 * $F15)), 
AND(L$36 = $F$18, L$36 =ASSUMPTIONS!$F$60), $F29 * L46 * ((ASSUMPTIONS!$F$63 * $I15) + (ASSUMPTIONS!$F$64 * $F15)), 
AND(L$36 = $G$18, L$36 =ASSUMPTIONS!$G$60), $G29 * L46 * ((ASSUMPTIONS!$G$63 * $I15) + (ASSUMPTIONS!$G$64 * $F15)), 
AND(L$36 = $H$18, L$36 =ASSUMPTIONS!$H$60), $H29 * L46 * ((ASSUMPTIONS!$H$63 * $I15) + (ASSUMPTIONS!$H$64 * $F15)), 
TRUE, $I29 *L46 * ((ASSUMPTIONS!$I$63 * $I15) + (ASSUMPTIONS!$I$64 * $F15))
)</f>
        <v>2042311.68</v>
      </c>
      <c r="M56" s="153">
        <f t="array" ref="M56">IFS(AND(M$36 = $E$18, M$36 =ASSUMPTIONS!$E$60), $E29 * M46 * ((ASSUMPTIONS!$E$63 * $I15) + (ASSUMPTIONS!$E$64 * $F15)), 
AND(M$36 = $F$18, M$36 =ASSUMPTIONS!$F$60), $F29 * M46 * ((ASSUMPTIONS!$F$63 * $I15) + (ASSUMPTIONS!$F$64 * $F15)), 
AND(M$36 = $G$18, M$36 =ASSUMPTIONS!$G$60), $G29 * M46 * ((ASSUMPTIONS!$G$63 * $I15) + (ASSUMPTIONS!$G$64 * $F15)), 
AND(M$36 = $H$18, M$36 =ASSUMPTIONS!$H$60), $H29 * M46 * ((ASSUMPTIONS!$H$63 * $I15) + (ASSUMPTIONS!$H$64 * $F15)), 
TRUE, $I29 *M46 * ((ASSUMPTIONS!$I$63 * $I15) + (ASSUMPTIONS!$I$64 * $F15))
)</f>
        <v>2042311.68</v>
      </c>
      <c r="N56" s="153">
        <f t="array" ref="N56">IFS(AND(N$36 = $E$18, N$36 =ASSUMPTIONS!$E$60), $E29 * N46 * ((ASSUMPTIONS!$E$63 * $I15) + (ASSUMPTIONS!$E$64 * $F15)), 
AND(N$36 = $F$18, N$36 =ASSUMPTIONS!$F$60), $F29 * N46 * ((ASSUMPTIONS!$F$63 * $I15) + (ASSUMPTIONS!$F$64 * $F15)), 
AND(N$36 = $G$18, N$36 =ASSUMPTIONS!$G$60), $G29 * N46 * ((ASSUMPTIONS!$G$63 * $I15) + (ASSUMPTIONS!$G$64 * $F15)), 
AND(N$36 = $H$18, N$36 =ASSUMPTIONS!$H$60), $H29 * N46 * ((ASSUMPTIONS!$H$63 * $I15) + (ASSUMPTIONS!$H$64 * $F15)), 
TRUE, $I29 *N46 * ((ASSUMPTIONS!$I$63 * $I15) + (ASSUMPTIONS!$I$64 * $F15))
)</f>
        <v>2042311.68</v>
      </c>
      <c r="O56" s="153">
        <f t="array" ref="O56">IFS(AND(O$36 = $E$18, O$36 =ASSUMPTIONS!$E$60), $E29 * O46 * ((ASSUMPTIONS!$E$63 * $I15) + (ASSUMPTIONS!$E$64 * $F15)), 
AND(O$36 = $F$18, O$36 =ASSUMPTIONS!$F$60), $F29 * O46 * ((ASSUMPTIONS!$F$63 * $I15) + (ASSUMPTIONS!$F$64 * $F15)), 
AND(O$36 = $G$18, O$36 =ASSUMPTIONS!$G$60), $G29 * O46 * ((ASSUMPTIONS!$G$63 * $I15) + (ASSUMPTIONS!$G$64 * $F15)), 
AND(O$36 = $H$18, O$36 =ASSUMPTIONS!$H$60), $H29 * O46 * ((ASSUMPTIONS!$H$63 * $I15) + (ASSUMPTIONS!$H$64 * $F15)), 
TRUE, $I29 *O46 * ((ASSUMPTIONS!$I$63 * $I15) + (ASSUMPTIONS!$I$64 * $F15))
)</f>
        <v>2042311.68</v>
      </c>
      <c r="P56" s="153">
        <f t="array" ref="P56">IFS(AND(P$36 = $E$18, P$36 =ASSUMPTIONS!$E$60), $E29 * P46 * ((ASSUMPTIONS!$E$63 * $I15) + (ASSUMPTIONS!$E$64 * $F15)), 
AND(P$36 = $F$18, P$36 =ASSUMPTIONS!$F$60), $F29 * P46 * ((ASSUMPTIONS!$F$63 * $I15) + (ASSUMPTIONS!$F$64 * $F15)), 
AND(P$36 = $G$18, P$36 =ASSUMPTIONS!$G$60), $G29 * P46 * ((ASSUMPTIONS!$G$63 * $I15) + (ASSUMPTIONS!$G$64 * $F15)), 
AND(P$36 = $H$18, P$36 =ASSUMPTIONS!$H$60), $H29 * P46 * ((ASSUMPTIONS!$H$63 * $I15) + (ASSUMPTIONS!$H$64 * $F15)), 
TRUE, $I29 *P46 * ((ASSUMPTIONS!$I$63 * $I15) + (ASSUMPTIONS!$I$64 * $F15))
)</f>
        <v>2042311.68</v>
      </c>
      <c r="Q56" s="153">
        <f t="array" ref="Q56">IFS(AND(Q$36 = $E$18, Q$36 =ASSUMPTIONS!$E$60), $E29 * Q46 * ((ASSUMPTIONS!$E$63 * $I15) + (ASSUMPTIONS!$E$64 * $F15)), 
AND(Q$36 = $F$18, Q$36 =ASSUMPTIONS!$F$60), $F29 * Q46 * ((ASSUMPTIONS!$F$63 * $I15) + (ASSUMPTIONS!$F$64 * $F15)), 
AND(Q$36 = $G$18, Q$36 =ASSUMPTIONS!$G$60), $G29 * Q46 * ((ASSUMPTIONS!$G$63 * $I15) + (ASSUMPTIONS!$G$64 * $F15)), 
AND(Q$36 = $H$18, Q$36 =ASSUMPTIONS!$H$60), $H29 * Q46 * ((ASSUMPTIONS!$H$63 * $I15) + (ASSUMPTIONS!$H$64 * $F15)), 
TRUE, $I29 *Q46 * ((ASSUMPTIONS!$I$63 * $I15) + (ASSUMPTIONS!$I$64 * $F15))
)</f>
        <v>2179333.901</v>
      </c>
      <c r="R56" s="153">
        <f t="array" ref="R56">IFS(AND(R$36 = $E$18, R$36 =ASSUMPTIONS!$E$60), $E29 * R46 * ((ASSUMPTIONS!$E$63 * $I15) + (ASSUMPTIONS!$E$64 * $F15)), 
AND(R$36 = $F$18, R$36 =ASSUMPTIONS!$F$60), $F29 * R46 * ((ASSUMPTIONS!$F$63 * $I15) + (ASSUMPTIONS!$F$64 * $F15)), 
AND(R$36 = $G$18, R$36 =ASSUMPTIONS!$G$60), $G29 * R46 * ((ASSUMPTIONS!$G$63 * $I15) + (ASSUMPTIONS!$G$64 * $F15)), 
AND(R$36 = $H$18, R$36 =ASSUMPTIONS!$H$60), $H29 * R46 * ((ASSUMPTIONS!$H$63 * $I15) + (ASSUMPTIONS!$H$64 * $F15)), 
TRUE, $I29 *R46 * ((ASSUMPTIONS!$I$63 * $I15) + (ASSUMPTIONS!$I$64 * $F15))
)</f>
        <v>2179333.901</v>
      </c>
      <c r="S56" s="153">
        <f t="array" ref="S56">IFS(AND(S$36 = $E$18, S$36 =ASSUMPTIONS!$E$60), $E29 * S46 * ((ASSUMPTIONS!$E$63 * $I15) + (ASSUMPTIONS!$E$64 * $F15)), 
AND(S$36 = $F$18, S$36 =ASSUMPTIONS!$F$60), $F29 * S46 * ((ASSUMPTIONS!$F$63 * $I15) + (ASSUMPTIONS!$F$64 * $F15)), 
AND(S$36 = $G$18, S$36 =ASSUMPTIONS!$G$60), $G29 * S46 * ((ASSUMPTIONS!$G$63 * $I15) + (ASSUMPTIONS!$G$64 * $F15)), 
AND(S$36 = $H$18, S$36 =ASSUMPTIONS!$H$60), $H29 * S46 * ((ASSUMPTIONS!$H$63 * $I15) + (ASSUMPTIONS!$H$64 * $F15)), 
TRUE, $I29 *S46 * ((ASSUMPTIONS!$I$63 * $I15) + (ASSUMPTIONS!$I$64 * $F15))
)</f>
        <v>2179333.901</v>
      </c>
      <c r="T56" s="153">
        <f t="array" ref="T56">IFS(AND(T$36 = $E$18, T$36 =ASSUMPTIONS!$E$60), $E29 * T46 * ((ASSUMPTIONS!$E$63 * $I15) + (ASSUMPTIONS!$E$64 * $F15)), 
AND(T$36 = $F$18, T$36 =ASSUMPTIONS!$F$60), $F29 * T46 * ((ASSUMPTIONS!$F$63 * $I15) + (ASSUMPTIONS!$F$64 * $F15)), 
AND(T$36 = $G$18, T$36 =ASSUMPTIONS!$G$60), $G29 * T46 * ((ASSUMPTIONS!$G$63 * $I15) + (ASSUMPTIONS!$G$64 * $F15)), 
AND(T$36 = $H$18, T$36 =ASSUMPTIONS!$H$60), $H29 * T46 * ((ASSUMPTIONS!$H$63 * $I15) + (ASSUMPTIONS!$H$64 * $F15)), 
TRUE, $I29 *T46 * ((ASSUMPTIONS!$I$63 * $I15) + (ASSUMPTIONS!$I$64 * $F15))
)</f>
        <v>2179333.901</v>
      </c>
      <c r="U56" s="153">
        <f t="array" ref="U56">IFS(AND(U$36 = $E$18, U$36 =ASSUMPTIONS!$E$60), $E29 * U46 * ((ASSUMPTIONS!$E$63 * $I15) + (ASSUMPTIONS!$E$64 * $F15)), 
AND(U$36 = $F$18, U$36 =ASSUMPTIONS!$F$60), $F29 * U46 * ((ASSUMPTIONS!$F$63 * $I15) + (ASSUMPTIONS!$F$64 * $F15)), 
AND(U$36 = $G$18, U$36 =ASSUMPTIONS!$G$60), $G29 * U46 * ((ASSUMPTIONS!$G$63 * $I15) + (ASSUMPTIONS!$G$64 * $F15)), 
AND(U$36 = $H$18, U$36 =ASSUMPTIONS!$H$60), $H29 * U46 * ((ASSUMPTIONS!$H$63 * $I15) + (ASSUMPTIONS!$H$64 * $F15)), 
TRUE, $I29 *U46 * ((ASSUMPTIONS!$I$63 * $I15) + (ASSUMPTIONS!$I$64 * $F15))
)</f>
        <v>2179333.901</v>
      </c>
      <c r="V56" s="153">
        <f t="array" ref="V56">IFS(AND(V$36 = $E$18, V$36 =ASSUMPTIONS!$E$60), $E29 * V46 * ((ASSUMPTIONS!$E$63 * $I15) + (ASSUMPTIONS!$E$64 * $F15)), 
AND(V$36 = $F$18, V$36 =ASSUMPTIONS!$F$60), $F29 * V46 * ((ASSUMPTIONS!$F$63 * $I15) + (ASSUMPTIONS!$F$64 * $F15)), 
AND(V$36 = $G$18, V$36 =ASSUMPTIONS!$G$60), $G29 * V46 * ((ASSUMPTIONS!$G$63 * $I15) + (ASSUMPTIONS!$G$64 * $F15)), 
AND(V$36 = $H$18, V$36 =ASSUMPTIONS!$H$60), $H29 * V46 * ((ASSUMPTIONS!$H$63 * $I15) + (ASSUMPTIONS!$H$64 * $F15)), 
TRUE, $I29 *V46 * ((ASSUMPTIONS!$I$63 * $I15) + (ASSUMPTIONS!$I$64 * $F15))
)</f>
        <v>2179333.901</v>
      </c>
      <c r="W56" s="153">
        <f t="array" ref="W56">IFS(AND(W$36 = $E$18, W$36 =ASSUMPTIONS!$E$60), $E29 * W46 * ((ASSUMPTIONS!$E$63 * $I15) + (ASSUMPTIONS!$E$64 * $F15)), 
AND(W$36 = $F$18, W$36 =ASSUMPTIONS!$F$60), $F29 * W46 * ((ASSUMPTIONS!$F$63 * $I15) + (ASSUMPTIONS!$F$64 * $F15)), 
AND(W$36 = $G$18, W$36 =ASSUMPTIONS!$G$60), $G29 * W46 * ((ASSUMPTIONS!$G$63 * $I15) + (ASSUMPTIONS!$G$64 * $F15)), 
AND(W$36 = $H$18, W$36 =ASSUMPTIONS!$H$60), $H29 * W46 * ((ASSUMPTIONS!$H$63 * $I15) + (ASSUMPTIONS!$H$64 * $F15)), 
TRUE, $I29 *W46 * ((ASSUMPTIONS!$I$63 * $I15) + (ASSUMPTIONS!$I$64 * $F15))
)</f>
        <v>2179333.901</v>
      </c>
      <c r="X56" s="153">
        <f t="array" ref="X56">IFS(AND(X$36 = $E$18, X$36 =ASSUMPTIONS!$E$60), $E29 * X46 * ((ASSUMPTIONS!$E$63 * $I15) + (ASSUMPTIONS!$E$64 * $F15)), 
AND(X$36 = $F$18, X$36 =ASSUMPTIONS!$F$60), $F29 * X46 * ((ASSUMPTIONS!$F$63 * $I15) + (ASSUMPTIONS!$F$64 * $F15)), 
AND(X$36 = $G$18, X$36 =ASSUMPTIONS!$G$60), $G29 * X46 * ((ASSUMPTIONS!$G$63 * $I15) + (ASSUMPTIONS!$G$64 * $F15)), 
AND(X$36 = $H$18, X$36 =ASSUMPTIONS!$H$60), $H29 * X46 * ((ASSUMPTIONS!$H$63 * $I15) + (ASSUMPTIONS!$H$64 * $F15)), 
TRUE, $I29 *X46 * ((ASSUMPTIONS!$I$63 * $I15) + (ASSUMPTIONS!$I$64 * $F15))
)</f>
        <v>2179333.901</v>
      </c>
      <c r="Y56" s="153">
        <f t="array" ref="Y56">IFS(AND(Y$36 = $E$18, Y$36 =ASSUMPTIONS!$E$60), $E29 * Y46 * ((ASSUMPTIONS!$E$63 * $I15) + (ASSUMPTIONS!$E$64 * $F15)), 
AND(Y$36 = $F$18, Y$36 =ASSUMPTIONS!$F$60), $F29 * Y46 * ((ASSUMPTIONS!$F$63 * $I15) + (ASSUMPTIONS!$F$64 * $F15)), 
AND(Y$36 = $G$18, Y$36 =ASSUMPTIONS!$G$60), $G29 * Y46 * ((ASSUMPTIONS!$G$63 * $I15) + (ASSUMPTIONS!$G$64 * $F15)), 
AND(Y$36 = $H$18, Y$36 =ASSUMPTIONS!$H$60), $H29 * Y46 * ((ASSUMPTIONS!$H$63 * $I15) + (ASSUMPTIONS!$H$64 * $F15)), 
TRUE, $I29 *Y46 * ((ASSUMPTIONS!$I$63 * $I15) + (ASSUMPTIONS!$I$64 * $F15))
)</f>
        <v>2179333.901</v>
      </c>
      <c r="Z56" s="153">
        <f t="array" ref="Z56">IFS(AND(Z$36 = $E$18, Z$36 =ASSUMPTIONS!$E$60), $E29 * Z46 * ((ASSUMPTIONS!$E$63 * $I15) + (ASSUMPTIONS!$E$64 * $F15)), 
AND(Z$36 = $F$18, Z$36 =ASSUMPTIONS!$F$60), $F29 * Z46 * ((ASSUMPTIONS!$F$63 * $I15) + (ASSUMPTIONS!$F$64 * $F15)), 
AND(Z$36 = $G$18, Z$36 =ASSUMPTIONS!$G$60), $G29 * Z46 * ((ASSUMPTIONS!$G$63 * $I15) + (ASSUMPTIONS!$G$64 * $F15)), 
AND(Z$36 = $H$18, Z$36 =ASSUMPTIONS!$H$60), $H29 * Z46 * ((ASSUMPTIONS!$H$63 * $I15) + (ASSUMPTIONS!$H$64 * $F15)), 
TRUE, $I29 *Z46 * ((ASSUMPTIONS!$I$63 * $I15) + (ASSUMPTIONS!$I$64 * $F15))
)</f>
        <v>2179333.901</v>
      </c>
      <c r="AA56" s="153">
        <f t="array" ref="AA56">IFS(AND(AA$36 = $E$18, AA$36 =ASSUMPTIONS!$E$60), $E29 * AA46 * ((ASSUMPTIONS!$E$63 * $I15) + (ASSUMPTIONS!$E$64 * $F15)), 
AND(AA$36 = $F$18, AA$36 =ASSUMPTIONS!$F$60), $F29 * AA46 * ((ASSUMPTIONS!$F$63 * $I15) + (ASSUMPTIONS!$F$64 * $F15)), 
AND(AA$36 = $G$18, AA$36 =ASSUMPTIONS!$G$60), $G29 * AA46 * ((ASSUMPTIONS!$G$63 * $I15) + (ASSUMPTIONS!$G$64 * $F15)), 
AND(AA$36 = $H$18, AA$36 =ASSUMPTIONS!$H$60), $H29 * AA46 * ((ASSUMPTIONS!$H$63 * $I15) + (ASSUMPTIONS!$H$64 * $F15)), 
TRUE, $I29 *AA46 * ((ASSUMPTIONS!$I$63 * $I15) + (ASSUMPTIONS!$I$64 * $F15))
)</f>
        <v>2179333.901</v>
      </c>
      <c r="AB56" s="153">
        <f t="array" ref="AB56">IFS(AND(AB$36 = $E$18, AB$36 =ASSUMPTIONS!$E$60), $E29 * AB46 * ((ASSUMPTIONS!$E$63 * $I15) + (ASSUMPTIONS!$E$64 * $F15)), 
AND(AB$36 = $F$18, AB$36 =ASSUMPTIONS!$F$60), $F29 * AB46 * ((ASSUMPTIONS!$F$63 * $I15) + (ASSUMPTIONS!$F$64 * $F15)), 
AND(AB$36 = $G$18, AB$36 =ASSUMPTIONS!$G$60), $G29 * AB46 * ((ASSUMPTIONS!$G$63 * $I15) + (ASSUMPTIONS!$G$64 * $F15)), 
AND(AB$36 = $H$18, AB$36 =ASSUMPTIONS!$H$60), $H29 * AB46 * ((ASSUMPTIONS!$H$63 * $I15) + (ASSUMPTIONS!$H$64 * $F15)), 
TRUE, $I29 *AB46 * ((ASSUMPTIONS!$I$63 * $I15) + (ASSUMPTIONS!$I$64 * $F15))
)</f>
        <v>2179333.901</v>
      </c>
      <c r="AC56" s="153">
        <f t="array" ref="AC56">IFS(AND(AC$36 = $E$18, AC$36 =ASSUMPTIONS!$E$60), $E29 * AC46 * ((ASSUMPTIONS!$E$63 * $I15) + (ASSUMPTIONS!$E$64 * $F15)), 
AND(AC$36 = $F$18, AC$36 =ASSUMPTIONS!$F$60), $F29 * AC46 * ((ASSUMPTIONS!$F$63 * $I15) + (ASSUMPTIONS!$F$64 * $F15)), 
AND(AC$36 = $G$18, AC$36 =ASSUMPTIONS!$G$60), $G29 * AC46 * ((ASSUMPTIONS!$G$63 * $I15) + (ASSUMPTIONS!$G$64 * $F15)), 
AND(AC$36 = $H$18, AC$36 =ASSUMPTIONS!$H$60), $H29 * AC46 * ((ASSUMPTIONS!$H$63 * $I15) + (ASSUMPTIONS!$H$64 * $F15)), 
TRUE, $I29 *AC46 * ((ASSUMPTIONS!$I$63 * $I15) + (ASSUMPTIONS!$I$64 * $F15))
)</f>
        <v>4723209.066</v>
      </c>
      <c r="AD56" s="153">
        <f t="array" ref="AD56">IFS(AND(AD$36 = $E$18, AD$36 =ASSUMPTIONS!$E$60), $E29 * AD46 * ((ASSUMPTIONS!$E$63 * $I15) + (ASSUMPTIONS!$E$64 * $F15)), 
AND(AD$36 = $F$18, AD$36 =ASSUMPTIONS!$F$60), $F29 * AD46 * ((ASSUMPTIONS!$F$63 * $I15) + (ASSUMPTIONS!$F$64 * $F15)), 
AND(AD$36 = $G$18, AD$36 =ASSUMPTIONS!$G$60), $G29 * AD46 * ((ASSUMPTIONS!$G$63 * $I15) + (ASSUMPTIONS!$G$64 * $F15)), 
AND(AD$36 = $H$18, AD$36 =ASSUMPTIONS!$H$60), $H29 * AD46 * ((ASSUMPTIONS!$H$63 * $I15) + (ASSUMPTIONS!$H$64 * $F15)), 
TRUE, $I29 *AD46 * ((ASSUMPTIONS!$I$63 * $I15) + (ASSUMPTIONS!$I$64 * $F15))
)</f>
        <v>4723209.066</v>
      </c>
      <c r="AE56" s="153">
        <f t="array" ref="AE56">IFS(AND(AE$36 = $E$18, AE$36 =ASSUMPTIONS!$E$60), $E29 * AE46 * ((ASSUMPTIONS!$E$63 * $I15) + (ASSUMPTIONS!$E$64 * $F15)), 
AND(AE$36 = $F$18, AE$36 =ASSUMPTIONS!$F$60), $F29 * AE46 * ((ASSUMPTIONS!$F$63 * $I15) + (ASSUMPTIONS!$F$64 * $F15)), 
AND(AE$36 = $G$18, AE$36 =ASSUMPTIONS!$G$60), $G29 * AE46 * ((ASSUMPTIONS!$G$63 * $I15) + (ASSUMPTIONS!$G$64 * $F15)), 
AND(AE$36 = $H$18, AE$36 =ASSUMPTIONS!$H$60), $H29 * AE46 * ((ASSUMPTIONS!$H$63 * $I15) + (ASSUMPTIONS!$H$64 * $F15)), 
TRUE, $I29 *AE46 * ((ASSUMPTIONS!$I$63 * $I15) + (ASSUMPTIONS!$I$64 * $F15))
)</f>
        <v>4723209.066</v>
      </c>
      <c r="AF56" s="153">
        <f t="array" ref="AF56">IFS(AND(AF$36 = $E$18, AF$36 =ASSUMPTIONS!$E$60), $E29 * AF46 * ((ASSUMPTIONS!$E$63 * $I15) + (ASSUMPTIONS!$E$64 * $F15)), 
AND(AF$36 = $F$18, AF$36 =ASSUMPTIONS!$F$60), $F29 * AF46 * ((ASSUMPTIONS!$F$63 * $I15) + (ASSUMPTIONS!$F$64 * $F15)), 
AND(AF$36 = $G$18, AF$36 =ASSUMPTIONS!$G$60), $G29 * AF46 * ((ASSUMPTIONS!$G$63 * $I15) + (ASSUMPTIONS!$G$64 * $F15)), 
AND(AF$36 = $H$18, AF$36 =ASSUMPTIONS!$H$60), $H29 * AF46 * ((ASSUMPTIONS!$H$63 * $I15) + (ASSUMPTIONS!$H$64 * $F15)), 
TRUE, $I29 *AF46 * ((ASSUMPTIONS!$I$63 * $I15) + (ASSUMPTIONS!$I$64 * $F15))
)</f>
        <v>4723209.066</v>
      </c>
      <c r="AG56" s="153">
        <f t="array" ref="AG56">IFS(AND(AG$36 = $E$18, AG$36 =ASSUMPTIONS!$E$60), $E29 * AG46 * ((ASSUMPTIONS!$E$63 * $I15) + (ASSUMPTIONS!$E$64 * $F15)), 
AND(AG$36 = $F$18, AG$36 =ASSUMPTIONS!$F$60), $F29 * AG46 * ((ASSUMPTIONS!$F$63 * $I15) + (ASSUMPTIONS!$F$64 * $F15)), 
AND(AG$36 = $G$18, AG$36 =ASSUMPTIONS!$G$60), $G29 * AG46 * ((ASSUMPTIONS!$G$63 * $I15) + (ASSUMPTIONS!$G$64 * $F15)), 
AND(AG$36 = $H$18, AG$36 =ASSUMPTIONS!$H$60), $H29 * AG46 * ((ASSUMPTIONS!$H$63 * $I15) + (ASSUMPTIONS!$H$64 * $F15)), 
TRUE, $I29 *AG46 * ((ASSUMPTIONS!$I$63 * $I15) + (ASSUMPTIONS!$I$64 * $F15))
)</f>
        <v>4723209.066</v>
      </c>
      <c r="AH56" s="153">
        <f t="array" ref="AH56">IFS(AND(AH$36 = $E$18, AH$36 =ASSUMPTIONS!$E$60), $E29 * AH46 * ((ASSUMPTIONS!$E$63 * $I15) + (ASSUMPTIONS!$E$64 * $F15)), 
AND(AH$36 = $F$18, AH$36 =ASSUMPTIONS!$F$60), $F29 * AH46 * ((ASSUMPTIONS!$F$63 * $I15) + (ASSUMPTIONS!$F$64 * $F15)), 
AND(AH$36 = $G$18, AH$36 =ASSUMPTIONS!$G$60), $G29 * AH46 * ((ASSUMPTIONS!$G$63 * $I15) + (ASSUMPTIONS!$G$64 * $F15)), 
AND(AH$36 = $H$18, AH$36 =ASSUMPTIONS!$H$60), $H29 * AH46 * ((ASSUMPTIONS!$H$63 * $I15) + (ASSUMPTIONS!$H$64 * $F15)), 
TRUE, $I29 *AH46 * ((ASSUMPTIONS!$I$63 * $I15) + (ASSUMPTIONS!$I$64 * $F15))
)</f>
        <v>4723209.066</v>
      </c>
      <c r="AI56" s="153">
        <f t="array" ref="AI56">IFS(AND(AI$36 = $E$18, AI$36 =ASSUMPTIONS!$E$60), $E29 * AI46 * ((ASSUMPTIONS!$E$63 * $I15) + (ASSUMPTIONS!$E$64 * $F15)), 
AND(AI$36 = $F$18, AI$36 =ASSUMPTIONS!$F$60), $F29 * AI46 * ((ASSUMPTIONS!$F$63 * $I15) + (ASSUMPTIONS!$F$64 * $F15)), 
AND(AI$36 = $G$18, AI$36 =ASSUMPTIONS!$G$60), $G29 * AI46 * ((ASSUMPTIONS!$G$63 * $I15) + (ASSUMPTIONS!$G$64 * $F15)), 
AND(AI$36 = $H$18, AI$36 =ASSUMPTIONS!$H$60), $H29 * AI46 * ((ASSUMPTIONS!$H$63 * $I15) + (ASSUMPTIONS!$H$64 * $F15)), 
TRUE, $I29 *AI46 * ((ASSUMPTIONS!$I$63 * $I15) + (ASSUMPTIONS!$I$64 * $F15))
)</f>
        <v>4723209.066</v>
      </c>
      <c r="AJ56" s="153">
        <f t="array" ref="AJ56">IFS(AND(AJ$36 = $E$18, AJ$36 =ASSUMPTIONS!$E$60), $E29 * AJ46 * ((ASSUMPTIONS!$E$63 * $I15) + (ASSUMPTIONS!$E$64 * $F15)), 
AND(AJ$36 = $F$18, AJ$36 =ASSUMPTIONS!$F$60), $F29 * AJ46 * ((ASSUMPTIONS!$F$63 * $I15) + (ASSUMPTIONS!$F$64 * $F15)), 
AND(AJ$36 = $G$18, AJ$36 =ASSUMPTIONS!$G$60), $G29 * AJ46 * ((ASSUMPTIONS!$G$63 * $I15) + (ASSUMPTIONS!$G$64 * $F15)), 
AND(AJ$36 = $H$18, AJ$36 =ASSUMPTIONS!$H$60), $H29 * AJ46 * ((ASSUMPTIONS!$H$63 * $I15) + (ASSUMPTIONS!$H$64 * $F15)), 
TRUE, $I29 *AJ46 * ((ASSUMPTIONS!$I$63 * $I15) + (ASSUMPTIONS!$I$64 * $F15))
)</f>
        <v>4723209.066</v>
      </c>
      <c r="AK56" s="153">
        <f t="array" ref="AK56">IFS(AND(AK$36 = $E$18, AK$36 =ASSUMPTIONS!$E$60), $E29 * AK46 * ((ASSUMPTIONS!$E$63 * $I15) + (ASSUMPTIONS!$E$64 * $F15)), 
AND(AK$36 = $F$18, AK$36 =ASSUMPTIONS!$F$60), $F29 * AK46 * ((ASSUMPTIONS!$F$63 * $I15) + (ASSUMPTIONS!$F$64 * $F15)), 
AND(AK$36 = $G$18, AK$36 =ASSUMPTIONS!$G$60), $G29 * AK46 * ((ASSUMPTIONS!$G$63 * $I15) + (ASSUMPTIONS!$G$64 * $F15)), 
AND(AK$36 = $H$18, AK$36 =ASSUMPTIONS!$H$60), $H29 * AK46 * ((ASSUMPTIONS!$H$63 * $I15) + (ASSUMPTIONS!$H$64 * $F15)), 
TRUE, $I29 *AK46 * ((ASSUMPTIONS!$I$63 * $I15) + (ASSUMPTIONS!$I$64 * $F15))
)</f>
        <v>4723209.066</v>
      </c>
      <c r="AL56" s="153">
        <f t="array" ref="AL56">IFS(AND(AL$36 = $E$18, AL$36 =ASSUMPTIONS!$E$60), $E29 * AL46 * ((ASSUMPTIONS!$E$63 * $I15) + (ASSUMPTIONS!$E$64 * $F15)), 
AND(AL$36 = $F$18, AL$36 =ASSUMPTIONS!$F$60), $F29 * AL46 * ((ASSUMPTIONS!$F$63 * $I15) + (ASSUMPTIONS!$F$64 * $F15)), 
AND(AL$36 = $G$18, AL$36 =ASSUMPTIONS!$G$60), $G29 * AL46 * ((ASSUMPTIONS!$G$63 * $I15) + (ASSUMPTIONS!$G$64 * $F15)), 
AND(AL$36 = $H$18, AL$36 =ASSUMPTIONS!$H$60), $H29 * AL46 * ((ASSUMPTIONS!$H$63 * $I15) + (ASSUMPTIONS!$H$64 * $F15)), 
TRUE, $I29 *AL46 * ((ASSUMPTIONS!$I$63 * $I15) + (ASSUMPTIONS!$I$64 * $F15))
)</f>
        <v>4723209.066</v>
      </c>
      <c r="AM56" s="153">
        <f t="array" ref="AM56">IFS(AND(AM$36 = $E$18, AM$36 =ASSUMPTIONS!$E$60), $E29 * AM46 * ((ASSUMPTIONS!$E$63 * $I15) + (ASSUMPTIONS!$E$64 * $F15)), 
AND(AM$36 = $F$18, AM$36 =ASSUMPTIONS!$F$60), $F29 * AM46 * ((ASSUMPTIONS!$F$63 * $I15) + (ASSUMPTIONS!$F$64 * $F15)), 
AND(AM$36 = $G$18, AM$36 =ASSUMPTIONS!$G$60), $G29 * AM46 * ((ASSUMPTIONS!$G$63 * $I15) + (ASSUMPTIONS!$G$64 * $F15)), 
AND(AM$36 = $H$18, AM$36 =ASSUMPTIONS!$H$60), $H29 * AM46 * ((ASSUMPTIONS!$H$63 * $I15) + (ASSUMPTIONS!$H$64 * $F15)), 
TRUE, $I29 *AM46 * ((ASSUMPTIONS!$I$63 * $I15) + (ASSUMPTIONS!$I$64 * $F15))
)</f>
        <v>4723209.066</v>
      </c>
      <c r="AN56" s="153">
        <f t="array" ref="AN56">IFS(AND(AN$36 = $E$18, AN$36 =ASSUMPTIONS!$E$60), $E29 * AN46 * ((ASSUMPTIONS!$E$63 * $I15) + (ASSUMPTIONS!$E$64 * $F15)), 
AND(AN$36 = $F$18, AN$36 =ASSUMPTIONS!$F$60), $F29 * AN46 * ((ASSUMPTIONS!$F$63 * $I15) + (ASSUMPTIONS!$F$64 * $F15)), 
AND(AN$36 = $G$18, AN$36 =ASSUMPTIONS!$G$60), $G29 * AN46 * ((ASSUMPTIONS!$G$63 * $I15) + (ASSUMPTIONS!$G$64 * $F15)), 
AND(AN$36 = $H$18, AN$36 =ASSUMPTIONS!$H$60), $H29 * AN46 * ((ASSUMPTIONS!$H$63 * $I15) + (ASSUMPTIONS!$H$64 * $F15)), 
TRUE, $I29 *AN46 * ((ASSUMPTIONS!$I$63 * $I15) + (ASSUMPTIONS!$I$64 * $F15))
)</f>
        <v>4723209.066</v>
      </c>
      <c r="AO56" s="153">
        <f t="array" ref="AO56">IFS(AND(AO$36 = $E$18, AO$36 =ASSUMPTIONS!$E$60), $E29 * AO46 * ((ASSUMPTIONS!$E$63 * $I15) + (ASSUMPTIONS!$E$64 * $F15)), 
AND(AO$36 = $F$18, AO$36 =ASSUMPTIONS!$F$60), $F29 * AO46 * ((ASSUMPTIONS!$F$63 * $I15) + (ASSUMPTIONS!$F$64 * $F15)), 
AND(AO$36 = $G$18, AO$36 =ASSUMPTIONS!$G$60), $G29 * AO46 * ((ASSUMPTIONS!$G$63 * $I15) + (ASSUMPTIONS!$G$64 * $F15)), 
AND(AO$36 = $H$18, AO$36 =ASSUMPTIONS!$H$60), $H29 * AO46 * ((ASSUMPTIONS!$H$63 * $I15) + (ASSUMPTIONS!$H$64 * $F15)), 
TRUE, $I29 *AO46 * ((ASSUMPTIONS!$I$63 * $I15) + (ASSUMPTIONS!$I$64 * $F15))
)</f>
        <v>15339923.36</v>
      </c>
      <c r="AP56" s="153">
        <f t="array" ref="AP56">IFS(AND(AP$36 = $E$18, AP$36 =ASSUMPTIONS!$E$60), $E29 * AP46 * ((ASSUMPTIONS!$E$63 * $I15) + (ASSUMPTIONS!$E$64 * $F15)), 
AND(AP$36 = $F$18, AP$36 =ASSUMPTIONS!$F$60), $F29 * AP46 * ((ASSUMPTIONS!$F$63 * $I15) + (ASSUMPTIONS!$F$64 * $F15)), 
AND(AP$36 = $G$18, AP$36 =ASSUMPTIONS!$G$60), $G29 * AP46 * ((ASSUMPTIONS!$G$63 * $I15) + (ASSUMPTIONS!$G$64 * $F15)), 
AND(AP$36 = $H$18, AP$36 =ASSUMPTIONS!$H$60), $H29 * AP46 * ((ASSUMPTIONS!$H$63 * $I15) + (ASSUMPTIONS!$H$64 * $F15)), 
TRUE, $I29 *AP46 * ((ASSUMPTIONS!$I$63 * $I15) + (ASSUMPTIONS!$I$64 * $F15))
)</f>
        <v>15339923.36</v>
      </c>
      <c r="AQ56" s="153">
        <f t="array" ref="AQ56">IFS(AND(AQ$36 = $E$18, AQ$36 =ASSUMPTIONS!$E$60), $E29 * AQ46 * ((ASSUMPTIONS!$E$63 * $I15) + (ASSUMPTIONS!$E$64 * $F15)), 
AND(AQ$36 = $F$18, AQ$36 =ASSUMPTIONS!$F$60), $F29 * AQ46 * ((ASSUMPTIONS!$F$63 * $I15) + (ASSUMPTIONS!$F$64 * $F15)), 
AND(AQ$36 = $G$18, AQ$36 =ASSUMPTIONS!$G$60), $G29 * AQ46 * ((ASSUMPTIONS!$G$63 * $I15) + (ASSUMPTIONS!$G$64 * $F15)), 
AND(AQ$36 = $H$18, AQ$36 =ASSUMPTIONS!$H$60), $H29 * AQ46 * ((ASSUMPTIONS!$H$63 * $I15) + (ASSUMPTIONS!$H$64 * $F15)), 
TRUE, $I29 *AQ46 * ((ASSUMPTIONS!$I$63 * $I15) + (ASSUMPTIONS!$I$64 * $F15))
)</f>
        <v>15339923.36</v>
      </c>
      <c r="AR56" s="153">
        <f t="array" ref="AR56">IFS(AND(AR$36 = $E$18, AR$36 =ASSUMPTIONS!$E$60), $E29 * AR46 * ((ASSUMPTIONS!$E$63 * $I15) + (ASSUMPTIONS!$E$64 * $F15)), 
AND(AR$36 = $F$18, AR$36 =ASSUMPTIONS!$F$60), $F29 * AR46 * ((ASSUMPTIONS!$F$63 * $I15) + (ASSUMPTIONS!$F$64 * $F15)), 
AND(AR$36 = $G$18, AR$36 =ASSUMPTIONS!$G$60), $G29 * AR46 * ((ASSUMPTIONS!$G$63 * $I15) + (ASSUMPTIONS!$G$64 * $F15)), 
AND(AR$36 = $H$18, AR$36 =ASSUMPTIONS!$H$60), $H29 * AR46 * ((ASSUMPTIONS!$H$63 * $I15) + (ASSUMPTIONS!$H$64 * $F15)), 
TRUE, $I29 *AR46 * ((ASSUMPTIONS!$I$63 * $I15) + (ASSUMPTIONS!$I$64 * $F15))
)</f>
        <v>15339923.36</v>
      </c>
      <c r="AS56" s="153">
        <f t="array" ref="AS56">IFS(AND(AS$36 = $E$18, AS$36 =ASSUMPTIONS!$E$60), $E29 * AS46 * ((ASSUMPTIONS!$E$63 * $I15) + (ASSUMPTIONS!$E$64 * $F15)), 
AND(AS$36 = $F$18, AS$36 =ASSUMPTIONS!$F$60), $F29 * AS46 * ((ASSUMPTIONS!$F$63 * $I15) + (ASSUMPTIONS!$F$64 * $F15)), 
AND(AS$36 = $G$18, AS$36 =ASSUMPTIONS!$G$60), $G29 * AS46 * ((ASSUMPTIONS!$G$63 * $I15) + (ASSUMPTIONS!$G$64 * $F15)), 
AND(AS$36 = $H$18, AS$36 =ASSUMPTIONS!$H$60), $H29 * AS46 * ((ASSUMPTIONS!$H$63 * $I15) + (ASSUMPTIONS!$H$64 * $F15)), 
TRUE, $I29 *AS46 * ((ASSUMPTIONS!$I$63 * $I15) + (ASSUMPTIONS!$I$64 * $F15))
)</f>
        <v>15339923.36</v>
      </c>
      <c r="AT56" s="153">
        <f t="array" ref="AT56">IFS(AND(AT$36 = $E$18, AT$36 =ASSUMPTIONS!$E$60), $E29 * AT46 * ((ASSUMPTIONS!$E$63 * $I15) + (ASSUMPTIONS!$E$64 * $F15)), 
AND(AT$36 = $F$18, AT$36 =ASSUMPTIONS!$F$60), $F29 * AT46 * ((ASSUMPTIONS!$F$63 * $I15) + (ASSUMPTIONS!$F$64 * $F15)), 
AND(AT$36 = $G$18, AT$36 =ASSUMPTIONS!$G$60), $G29 * AT46 * ((ASSUMPTIONS!$G$63 * $I15) + (ASSUMPTIONS!$G$64 * $F15)), 
AND(AT$36 = $H$18, AT$36 =ASSUMPTIONS!$H$60), $H29 * AT46 * ((ASSUMPTIONS!$H$63 * $I15) + (ASSUMPTIONS!$H$64 * $F15)), 
TRUE, $I29 *AT46 * ((ASSUMPTIONS!$I$63 * $I15) + (ASSUMPTIONS!$I$64 * $F15))
)</f>
        <v>15339923.36</v>
      </c>
      <c r="AU56" s="153">
        <f t="array" ref="AU56">IFS(AND(AU$36 = $E$18, AU$36 =ASSUMPTIONS!$E$60), $E29 * AU46 * ((ASSUMPTIONS!$E$63 * $I15) + (ASSUMPTIONS!$E$64 * $F15)), 
AND(AU$36 = $F$18, AU$36 =ASSUMPTIONS!$F$60), $F29 * AU46 * ((ASSUMPTIONS!$F$63 * $I15) + (ASSUMPTIONS!$F$64 * $F15)), 
AND(AU$36 = $G$18, AU$36 =ASSUMPTIONS!$G$60), $G29 * AU46 * ((ASSUMPTIONS!$G$63 * $I15) + (ASSUMPTIONS!$G$64 * $F15)), 
AND(AU$36 = $H$18, AU$36 =ASSUMPTIONS!$H$60), $H29 * AU46 * ((ASSUMPTIONS!$H$63 * $I15) + (ASSUMPTIONS!$H$64 * $F15)), 
TRUE, $I29 *AU46 * ((ASSUMPTIONS!$I$63 * $I15) + (ASSUMPTIONS!$I$64 * $F15))
)</f>
        <v>15339923.36</v>
      </c>
      <c r="AV56" s="153">
        <f t="array" ref="AV56">IFS(AND(AV$36 = $E$18, AV$36 =ASSUMPTIONS!$E$60), $E29 * AV46 * ((ASSUMPTIONS!$E$63 * $I15) + (ASSUMPTIONS!$E$64 * $F15)), 
AND(AV$36 = $F$18, AV$36 =ASSUMPTIONS!$F$60), $F29 * AV46 * ((ASSUMPTIONS!$F$63 * $I15) + (ASSUMPTIONS!$F$64 * $F15)), 
AND(AV$36 = $G$18, AV$36 =ASSUMPTIONS!$G$60), $G29 * AV46 * ((ASSUMPTIONS!$G$63 * $I15) + (ASSUMPTIONS!$G$64 * $F15)), 
AND(AV$36 = $H$18, AV$36 =ASSUMPTIONS!$H$60), $H29 * AV46 * ((ASSUMPTIONS!$H$63 * $I15) + (ASSUMPTIONS!$H$64 * $F15)), 
TRUE, $I29 *AV46 * ((ASSUMPTIONS!$I$63 * $I15) + (ASSUMPTIONS!$I$64 * $F15))
)</f>
        <v>15339923.36</v>
      </c>
      <c r="AW56" s="153">
        <f t="array" ref="AW56">IFS(AND(AW$36 = $E$18, AW$36 =ASSUMPTIONS!$E$60), $E29 * AW46 * ((ASSUMPTIONS!$E$63 * $I15) + (ASSUMPTIONS!$E$64 * $F15)), 
AND(AW$36 = $F$18, AW$36 =ASSUMPTIONS!$F$60), $F29 * AW46 * ((ASSUMPTIONS!$F$63 * $I15) + (ASSUMPTIONS!$F$64 * $F15)), 
AND(AW$36 = $G$18, AW$36 =ASSUMPTIONS!$G$60), $G29 * AW46 * ((ASSUMPTIONS!$G$63 * $I15) + (ASSUMPTIONS!$G$64 * $F15)), 
AND(AW$36 = $H$18, AW$36 =ASSUMPTIONS!$H$60), $H29 * AW46 * ((ASSUMPTIONS!$H$63 * $I15) + (ASSUMPTIONS!$H$64 * $F15)), 
TRUE, $I29 *AW46 * ((ASSUMPTIONS!$I$63 * $I15) + (ASSUMPTIONS!$I$64 * $F15))
)</f>
        <v>15339923.36</v>
      </c>
      <c r="AX56" s="153">
        <f t="array" ref="AX56">IFS(AND(AX$36 = $E$18, AX$36 =ASSUMPTIONS!$E$60), $E29 * AX46 * ((ASSUMPTIONS!$E$63 * $I15) + (ASSUMPTIONS!$E$64 * $F15)), 
AND(AX$36 = $F$18, AX$36 =ASSUMPTIONS!$F$60), $F29 * AX46 * ((ASSUMPTIONS!$F$63 * $I15) + (ASSUMPTIONS!$F$64 * $F15)), 
AND(AX$36 = $G$18, AX$36 =ASSUMPTIONS!$G$60), $G29 * AX46 * ((ASSUMPTIONS!$G$63 * $I15) + (ASSUMPTIONS!$G$64 * $F15)), 
AND(AX$36 = $H$18, AX$36 =ASSUMPTIONS!$H$60), $H29 * AX46 * ((ASSUMPTIONS!$H$63 * $I15) + (ASSUMPTIONS!$H$64 * $F15)), 
TRUE, $I29 *AX46 * ((ASSUMPTIONS!$I$63 * $I15) + (ASSUMPTIONS!$I$64 * $F15))
)</f>
        <v>15339923.36</v>
      </c>
      <c r="AY56" s="153">
        <f t="array" ref="AY56">IFS(AND(AY$36 = $E$18, AY$36 =ASSUMPTIONS!$E$60), $E29 * AY46 * ((ASSUMPTIONS!$E$63 * $I15) + (ASSUMPTIONS!$E$64 * $F15)), 
AND(AY$36 = $F$18, AY$36 =ASSUMPTIONS!$F$60), $F29 * AY46 * ((ASSUMPTIONS!$F$63 * $I15) + (ASSUMPTIONS!$F$64 * $F15)), 
AND(AY$36 = $G$18, AY$36 =ASSUMPTIONS!$G$60), $G29 * AY46 * ((ASSUMPTIONS!$G$63 * $I15) + (ASSUMPTIONS!$G$64 * $F15)), 
AND(AY$36 = $H$18, AY$36 =ASSUMPTIONS!$H$60), $H29 * AY46 * ((ASSUMPTIONS!$H$63 * $I15) + (ASSUMPTIONS!$H$64 * $F15)), 
TRUE, $I29 *AY46 * ((ASSUMPTIONS!$I$63 * $I15) + (ASSUMPTIONS!$I$64 * $F15))
)</f>
        <v>15339923.36</v>
      </c>
      <c r="AZ56" s="153">
        <f t="array" ref="AZ56">IFS(AND(AZ$36 = $E$18, AZ$36 =ASSUMPTIONS!$E$60), $E29 * AZ46 * ((ASSUMPTIONS!$E$63 * $I15) + (ASSUMPTIONS!$E$64 * $F15)), 
AND(AZ$36 = $F$18, AZ$36 =ASSUMPTIONS!$F$60), $F29 * AZ46 * ((ASSUMPTIONS!$F$63 * $I15) + (ASSUMPTIONS!$F$64 * $F15)), 
AND(AZ$36 = $G$18, AZ$36 =ASSUMPTIONS!$G$60), $G29 * AZ46 * ((ASSUMPTIONS!$G$63 * $I15) + (ASSUMPTIONS!$G$64 * $F15)), 
AND(AZ$36 = $H$18, AZ$36 =ASSUMPTIONS!$H$60), $H29 * AZ46 * ((ASSUMPTIONS!$H$63 * $I15) + (ASSUMPTIONS!$H$64 * $F15)), 
TRUE, $I29 *AZ46 * ((ASSUMPTIONS!$I$63 * $I15) + (ASSUMPTIONS!$I$64 * $F15))
)</f>
        <v>15339923.36</v>
      </c>
      <c r="BA56" s="153">
        <f t="array" ref="BA56">IFS(AND(BA$36 = $E$18, BA$36 =ASSUMPTIONS!$E$60), $E29 * BA46 * ((ASSUMPTIONS!$E$63 * $I15) + (ASSUMPTIONS!$E$64 * $F15)), 
AND(BA$36 = $F$18, BA$36 =ASSUMPTIONS!$F$60), $F29 * BA46 * ((ASSUMPTIONS!$F$63 * $I15) + (ASSUMPTIONS!$F$64 * $F15)), 
AND(BA$36 = $G$18, BA$36 =ASSUMPTIONS!$G$60), $G29 * BA46 * ((ASSUMPTIONS!$G$63 * $I15) + (ASSUMPTIONS!$G$64 * $F15)), 
AND(BA$36 = $H$18, BA$36 =ASSUMPTIONS!$H$60), $H29 * BA46 * ((ASSUMPTIONS!$H$63 * $I15) + (ASSUMPTIONS!$H$64 * $F15)), 
TRUE, $I29 *BA46 * ((ASSUMPTIONS!$I$63 * $I15) + (ASSUMPTIONS!$I$64 * $F15))
)</f>
        <v>17319183.39</v>
      </c>
      <c r="BB56" s="153">
        <f t="array" ref="BB56">IFS(AND(BB$36 = $E$18, BB$36 =ASSUMPTIONS!$E$60), $E29 * BB46 * ((ASSUMPTIONS!$E$63 * $I15) + (ASSUMPTIONS!$E$64 * $F15)), 
AND(BB$36 = $F$18, BB$36 =ASSUMPTIONS!$F$60), $F29 * BB46 * ((ASSUMPTIONS!$F$63 * $I15) + (ASSUMPTIONS!$F$64 * $F15)), 
AND(BB$36 = $G$18, BB$36 =ASSUMPTIONS!$G$60), $G29 * BB46 * ((ASSUMPTIONS!$G$63 * $I15) + (ASSUMPTIONS!$G$64 * $F15)), 
AND(BB$36 = $H$18, BB$36 =ASSUMPTIONS!$H$60), $H29 * BB46 * ((ASSUMPTIONS!$H$63 * $I15) + (ASSUMPTIONS!$H$64 * $F15)), 
TRUE, $I29 *BB46 * ((ASSUMPTIONS!$I$63 * $I15) + (ASSUMPTIONS!$I$64 * $F15))
)</f>
        <v>17319183.39</v>
      </c>
      <c r="BC56" s="153">
        <f t="array" ref="BC56">IFS(AND(BC$36 = $E$18, BC$36 =ASSUMPTIONS!$E$60), $E29 * BC46 * ((ASSUMPTIONS!$E$63 * $I15) + (ASSUMPTIONS!$E$64 * $F15)), 
AND(BC$36 = $F$18, BC$36 =ASSUMPTIONS!$F$60), $F29 * BC46 * ((ASSUMPTIONS!$F$63 * $I15) + (ASSUMPTIONS!$F$64 * $F15)), 
AND(BC$36 = $G$18, BC$36 =ASSUMPTIONS!$G$60), $G29 * BC46 * ((ASSUMPTIONS!$G$63 * $I15) + (ASSUMPTIONS!$G$64 * $F15)), 
AND(BC$36 = $H$18, BC$36 =ASSUMPTIONS!$H$60), $H29 * BC46 * ((ASSUMPTIONS!$H$63 * $I15) + (ASSUMPTIONS!$H$64 * $F15)), 
TRUE, $I29 *BC46 * ((ASSUMPTIONS!$I$63 * $I15) + (ASSUMPTIONS!$I$64 * $F15))
)</f>
        <v>17319183.39</v>
      </c>
      <c r="BD56" s="153">
        <f t="array" ref="BD56">IFS(AND(BD$36 = $E$18, BD$36 =ASSUMPTIONS!$E$60), $E29 * BD46 * ((ASSUMPTIONS!$E$63 * $I15) + (ASSUMPTIONS!$E$64 * $F15)), 
AND(BD$36 = $F$18, BD$36 =ASSUMPTIONS!$F$60), $F29 * BD46 * ((ASSUMPTIONS!$F$63 * $I15) + (ASSUMPTIONS!$F$64 * $F15)), 
AND(BD$36 = $G$18, BD$36 =ASSUMPTIONS!$G$60), $G29 * BD46 * ((ASSUMPTIONS!$G$63 * $I15) + (ASSUMPTIONS!$G$64 * $F15)), 
AND(BD$36 = $H$18, BD$36 =ASSUMPTIONS!$H$60), $H29 * BD46 * ((ASSUMPTIONS!$H$63 * $I15) + (ASSUMPTIONS!$H$64 * $F15)), 
TRUE, $I29 *BD46 * ((ASSUMPTIONS!$I$63 * $I15) + (ASSUMPTIONS!$I$64 * $F15))
)</f>
        <v>17319183.39</v>
      </c>
      <c r="BE56" s="153">
        <f t="array" ref="BE56">IFS(AND(BE$36 = $E$18, BE$36 =ASSUMPTIONS!$E$60), $E29 * BE46 * ((ASSUMPTIONS!$E$63 * $I15) + (ASSUMPTIONS!$E$64 * $F15)), 
AND(BE$36 = $F$18, BE$36 =ASSUMPTIONS!$F$60), $F29 * BE46 * ((ASSUMPTIONS!$F$63 * $I15) + (ASSUMPTIONS!$F$64 * $F15)), 
AND(BE$36 = $G$18, BE$36 =ASSUMPTIONS!$G$60), $G29 * BE46 * ((ASSUMPTIONS!$G$63 * $I15) + (ASSUMPTIONS!$G$64 * $F15)), 
AND(BE$36 = $H$18, BE$36 =ASSUMPTIONS!$H$60), $H29 * BE46 * ((ASSUMPTIONS!$H$63 * $I15) + (ASSUMPTIONS!$H$64 * $F15)), 
TRUE, $I29 *BE46 * ((ASSUMPTIONS!$I$63 * $I15) + (ASSUMPTIONS!$I$64 * $F15))
)</f>
        <v>17319183.39</v>
      </c>
      <c r="BF56" s="153">
        <f t="array" ref="BF56">IFS(AND(BF$36 = $E$18, BF$36 =ASSUMPTIONS!$E$60), $E29 * BF46 * ((ASSUMPTIONS!$E$63 * $I15) + (ASSUMPTIONS!$E$64 * $F15)), 
AND(BF$36 = $F$18, BF$36 =ASSUMPTIONS!$F$60), $F29 * BF46 * ((ASSUMPTIONS!$F$63 * $I15) + (ASSUMPTIONS!$F$64 * $F15)), 
AND(BF$36 = $G$18, BF$36 =ASSUMPTIONS!$G$60), $G29 * BF46 * ((ASSUMPTIONS!$G$63 * $I15) + (ASSUMPTIONS!$G$64 * $F15)), 
AND(BF$36 = $H$18, BF$36 =ASSUMPTIONS!$H$60), $H29 * BF46 * ((ASSUMPTIONS!$H$63 * $I15) + (ASSUMPTIONS!$H$64 * $F15)), 
TRUE, $I29 *BF46 * ((ASSUMPTIONS!$I$63 * $I15) + (ASSUMPTIONS!$I$64 * $F15))
)</f>
        <v>17319183.39</v>
      </c>
      <c r="BG56" s="153">
        <f t="array" ref="BG56">IFS(AND(BG$36 = $E$18, BG$36 =ASSUMPTIONS!$E$60), $E29 * BG46 * ((ASSUMPTIONS!$E$63 * $I15) + (ASSUMPTIONS!$E$64 * $F15)), 
AND(BG$36 = $F$18, BG$36 =ASSUMPTIONS!$F$60), $F29 * BG46 * ((ASSUMPTIONS!$F$63 * $I15) + (ASSUMPTIONS!$F$64 * $F15)), 
AND(BG$36 = $G$18, BG$36 =ASSUMPTIONS!$G$60), $G29 * BG46 * ((ASSUMPTIONS!$G$63 * $I15) + (ASSUMPTIONS!$G$64 * $F15)), 
AND(BG$36 = $H$18, BG$36 =ASSUMPTIONS!$H$60), $H29 * BG46 * ((ASSUMPTIONS!$H$63 * $I15) + (ASSUMPTIONS!$H$64 * $F15)), 
TRUE, $I29 *BG46 * ((ASSUMPTIONS!$I$63 * $I15) + (ASSUMPTIONS!$I$64 * $F15))
)</f>
        <v>17319183.39</v>
      </c>
      <c r="BH56" s="153">
        <f t="array" ref="BH56">IFS(AND(BH$36 = $E$18, BH$36 =ASSUMPTIONS!$E$60), $E29 * BH46 * ((ASSUMPTIONS!$E$63 * $I15) + (ASSUMPTIONS!$E$64 * $F15)), 
AND(BH$36 = $F$18, BH$36 =ASSUMPTIONS!$F$60), $F29 * BH46 * ((ASSUMPTIONS!$F$63 * $I15) + (ASSUMPTIONS!$F$64 * $F15)), 
AND(BH$36 = $G$18, BH$36 =ASSUMPTIONS!$G$60), $G29 * BH46 * ((ASSUMPTIONS!$G$63 * $I15) + (ASSUMPTIONS!$G$64 * $F15)), 
AND(BH$36 = $H$18, BH$36 =ASSUMPTIONS!$H$60), $H29 * BH46 * ((ASSUMPTIONS!$H$63 * $I15) + (ASSUMPTIONS!$H$64 * $F15)), 
TRUE, $I29 *BH46 * ((ASSUMPTIONS!$I$63 * $I15) + (ASSUMPTIONS!$I$64 * $F15))
)</f>
        <v>17319183.39</v>
      </c>
      <c r="BI56" s="153">
        <f t="array" ref="BI56">IFS(AND(BI$36 = $E$18, BI$36 =ASSUMPTIONS!$E$60), $E29 * BI46 * ((ASSUMPTIONS!$E$63 * $I15) + (ASSUMPTIONS!$E$64 * $F15)), 
AND(BI$36 = $F$18, BI$36 =ASSUMPTIONS!$F$60), $F29 * BI46 * ((ASSUMPTIONS!$F$63 * $I15) + (ASSUMPTIONS!$F$64 * $F15)), 
AND(BI$36 = $G$18, BI$36 =ASSUMPTIONS!$G$60), $G29 * BI46 * ((ASSUMPTIONS!$G$63 * $I15) + (ASSUMPTIONS!$G$64 * $F15)), 
AND(BI$36 = $H$18, BI$36 =ASSUMPTIONS!$H$60), $H29 * BI46 * ((ASSUMPTIONS!$H$63 * $I15) + (ASSUMPTIONS!$H$64 * $F15)), 
TRUE, $I29 *BI46 * ((ASSUMPTIONS!$I$63 * $I15) + (ASSUMPTIONS!$I$64 * $F15))
)</f>
        <v>17319183.39</v>
      </c>
      <c r="BJ56" s="153">
        <f t="array" ref="BJ56">IFS(AND(BJ$36 = $E$18, BJ$36 =ASSUMPTIONS!$E$60), $E29 * BJ46 * ((ASSUMPTIONS!$E$63 * $I15) + (ASSUMPTIONS!$E$64 * $F15)), 
AND(BJ$36 = $F$18, BJ$36 =ASSUMPTIONS!$F$60), $F29 * BJ46 * ((ASSUMPTIONS!$F$63 * $I15) + (ASSUMPTIONS!$F$64 * $F15)), 
AND(BJ$36 = $G$18, BJ$36 =ASSUMPTIONS!$G$60), $G29 * BJ46 * ((ASSUMPTIONS!$G$63 * $I15) + (ASSUMPTIONS!$G$64 * $F15)), 
AND(BJ$36 = $H$18, BJ$36 =ASSUMPTIONS!$H$60), $H29 * BJ46 * ((ASSUMPTIONS!$H$63 * $I15) + (ASSUMPTIONS!$H$64 * $F15)), 
TRUE, $I29 *BJ46 * ((ASSUMPTIONS!$I$63 * $I15) + (ASSUMPTIONS!$I$64 * $F15))
)</f>
        <v>17319183.39</v>
      </c>
      <c r="BK56" s="153">
        <f t="array" ref="BK56">IFS(AND(BK$36 = $E$18, BK$36 =ASSUMPTIONS!$E$60), $E29 * BK46 * ((ASSUMPTIONS!$E$63 * $I15) + (ASSUMPTIONS!$E$64 * $F15)), 
AND(BK$36 = $F$18, BK$36 =ASSUMPTIONS!$F$60), $F29 * BK46 * ((ASSUMPTIONS!$F$63 * $I15) + (ASSUMPTIONS!$F$64 * $F15)), 
AND(BK$36 = $G$18, BK$36 =ASSUMPTIONS!$G$60), $G29 * BK46 * ((ASSUMPTIONS!$G$63 * $I15) + (ASSUMPTIONS!$G$64 * $F15)), 
AND(BK$36 = $H$18, BK$36 =ASSUMPTIONS!$H$60), $H29 * BK46 * ((ASSUMPTIONS!$H$63 * $I15) + (ASSUMPTIONS!$H$64 * $F15)), 
TRUE, $I29 *BK46 * ((ASSUMPTIONS!$I$63 * $I15) + (ASSUMPTIONS!$I$64 * $F15))
)</f>
        <v>17319183.39</v>
      </c>
      <c r="BL56" s="153">
        <f t="array" ref="BL56">IFS(AND(BL$36 = $E$18, BL$36 =ASSUMPTIONS!$E$60), $E29 * BL46 * ((ASSUMPTIONS!$E$63 * $I15) + (ASSUMPTIONS!$E$64 * $F15)), 
AND(BL$36 = $F$18, BL$36 =ASSUMPTIONS!$F$60), $F29 * BL46 * ((ASSUMPTIONS!$F$63 * $I15) + (ASSUMPTIONS!$F$64 * $F15)), 
AND(BL$36 = $G$18, BL$36 =ASSUMPTIONS!$G$60), $G29 * BL46 * ((ASSUMPTIONS!$G$63 * $I15) + (ASSUMPTIONS!$G$64 * $F15)), 
AND(BL$36 = $H$18, BL$36 =ASSUMPTIONS!$H$60), $H29 * BL46 * ((ASSUMPTIONS!$H$63 * $I15) + (ASSUMPTIONS!$H$64 * $F15)), 
TRUE, $I29 *BL46 * ((ASSUMPTIONS!$I$63 * $I15) + (ASSUMPTIONS!$I$64 * $F15))
)</f>
        <v>17319183.39</v>
      </c>
    </row>
    <row r="57" ht="15.75" customHeight="1">
      <c r="D57" s="35" t="s">
        <v>30</v>
      </c>
      <c r="E57" s="153">
        <f t="array" ref="E57">IFS(AND(E$36 = $E$18, E$36 =ASSUMPTIONS!$E$60), $E30 * E47 * ((ASSUMPTIONS!$E$63 * $I16) + (ASSUMPTIONS!$E$64 * $F16)), 
AND(E$36 = $F$18, E$36 =ASSUMPTIONS!$F$60), $F30 * E47 * ((ASSUMPTIONS!$F$63 * $I16) + (ASSUMPTIONS!$F$64 * $F16)), 
AND(E$36 = $G$18, E$36 =ASSUMPTIONS!$G$60), $G30 * E47 * ((ASSUMPTIONS!$G$63 * $I16) + (ASSUMPTIONS!$G$64 * $F16)), 
AND(E$36 = $H$18, E$36 =ASSUMPTIONS!$H$60), $H30 * E47 * ((ASSUMPTIONS!$H$63 * $I16) + (ASSUMPTIONS!$H$64 * $F16)), 
TRUE, $I30 *E47 * ((ASSUMPTIONS!$I$63 * $I16) + (ASSUMPTIONS!$I$64 * $F16))
)</f>
        <v>0</v>
      </c>
      <c r="F57" s="153">
        <f t="array" ref="F57">IFS(AND(F$36 = $E$18, F$36 =ASSUMPTIONS!$E$60), $E30 * F47 * ((ASSUMPTIONS!$E$63 * $I16) + (ASSUMPTIONS!$E$64 * $F16)), 
AND(F$36 = $F$18, F$36 =ASSUMPTIONS!$F$60), $F30 * F47 * ((ASSUMPTIONS!$F$63 * $I16) + (ASSUMPTIONS!$F$64 * $F16)), 
AND(F$36 = $G$18, F$36 =ASSUMPTIONS!$G$60), $G30 * F47 * ((ASSUMPTIONS!$G$63 * $I16) + (ASSUMPTIONS!$G$64 * $F16)), 
AND(F$36 = $H$18, F$36 =ASSUMPTIONS!$H$60), $H30 * F47 * ((ASSUMPTIONS!$H$63 * $I16) + (ASSUMPTIONS!$H$64 * $F16)), 
TRUE, $I30 *F47 * ((ASSUMPTIONS!$I$63 * $I16) + (ASSUMPTIONS!$I$64 * $F16))
)</f>
        <v>0</v>
      </c>
      <c r="G57" s="153">
        <f t="array" ref="G57">IFS(AND(G$36 = $E$18, G$36 =ASSUMPTIONS!$E$60), $E30 * G47 * ((ASSUMPTIONS!$E$63 * $I16) + (ASSUMPTIONS!$E$64 * $F16)), 
AND(G$36 = $F$18, G$36 =ASSUMPTIONS!$F$60), $F30 * G47 * ((ASSUMPTIONS!$F$63 * $I16) + (ASSUMPTIONS!$F$64 * $F16)), 
AND(G$36 = $G$18, G$36 =ASSUMPTIONS!$G$60), $G30 * G47 * ((ASSUMPTIONS!$G$63 * $I16) + (ASSUMPTIONS!$G$64 * $F16)), 
AND(G$36 = $H$18, G$36 =ASSUMPTIONS!$H$60), $H30 * G47 * ((ASSUMPTIONS!$H$63 * $I16) + (ASSUMPTIONS!$H$64 * $F16)), 
TRUE, $I30 *G47 * ((ASSUMPTIONS!$I$63 * $I16) + (ASSUMPTIONS!$I$64 * $F16))
)</f>
        <v>0</v>
      </c>
      <c r="H57" s="153">
        <f t="array" ref="H57">IFS(AND(H$36 = $E$18, H$36 =ASSUMPTIONS!$E$60), $E30 * H47 * ((ASSUMPTIONS!$E$63 * $I16) + (ASSUMPTIONS!$E$64 * $F16)), 
AND(H$36 = $F$18, H$36 =ASSUMPTIONS!$F$60), $F30 * H47 * ((ASSUMPTIONS!$F$63 * $I16) + (ASSUMPTIONS!$F$64 * $F16)), 
AND(H$36 = $G$18, H$36 =ASSUMPTIONS!$G$60), $G30 * H47 * ((ASSUMPTIONS!$G$63 * $I16) + (ASSUMPTIONS!$G$64 * $F16)), 
AND(H$36 = $H$18, H$36 =ASSUMPTIONS!$H$60), $H30 * H47 * ((ASSUMPTIONS!$H$63 * $I16) + (ASSUMPTIONS!$H$64 * $F16)), 
TRUE, $I30 *H47 * ((ASSUMPTIONS!$I$63 * $I16) + (ASSUMPTIONS!$I$64 * $F16))
)</f>
        <v>0</v>
      </c>
      <c r="I57" s="153">
        <f t="array" ref="I57">IFS(AND(I$36 = $E$18, I$36 =ASSUMPTIONS!$E$60), $E30 * I47 * ((ASSUMPTIONS!$E$63 * $I16) + (ASSUMPTIONS!$E$64 * $F16)), 
AND(I$36 = $F$18, I$36 =ASSUMPTIONS!$F$60), $F30 * I47 * ((ASSUMPTIONS!$F$63 * $I16) + (ASSUMPTIONS!$F$64 * $F16)), 
AND(I$36 = $G$18, I$36 =ASSUMPTIONS!$G$60), $G30 * I47 * ((ASSUMPTIONS!$G$63 * $I16) + (ASSUMPTIONS!$G$64 * $F16)), 
AND(I$36 = $H$18, I$36 =ASSUMPTIONS!$H$60), $H30 * I47 * ((ASSUMPTIONS!$H$63 * $I16) + (ASSUMPTIONS!$H$64 * $F16)), 
TRUE, $I30 *I47 * ((ASSUMPTIONS!$I$63 * $I16) + (ASSUMPTIONS!$I$64 * $F16))
)</f>
        <v>0</v>
      </c>
      <c r="J57" s="153">
        <f t="array" ref="J57">IFS(AND(J$36 = $E$18, J$36 =ASSUMPTIONS!$E$60), $E30 * J47 * ((ASSUMPTIONS!$E$63 * $I16) + (ASSUMPTIONS!$E$64 * $F16)), 
AND(J$36 = $F$18, J$36 =ASSUMPTIONS!$F$60), $F30 * J47 * ((ASSUMPTIONS!$F$63 * $I16) + (ASSUMPTIONS!$F$64 * $F16)), 
AND(J$36 = $G$18, J$36 =ASSUMPTIONS!$G$60), $G30 * J47 * ((ASSUMPTIONS!$G$63 * $I16) + (ASSUMPTIONS!$G$64 * $F16)), 
AND(J$36 = $H$18, J$36 =ASSUMPTIONS!$H$60), $H30 * J47 * ((ASSUMPTIONS!$H$63 * $I16) + (ASSUMPTIONS!$H$64 * $F16)), 
TRUE, $I30 *J47 * ((ASSUMPTIONS!$I$63 * $I16) + (ASSUMPTIONS!$I$64 * $F16))
)</f>
        <v>0</v>
      </c>
      <c r="K57" s="153">
        <f t="array" ref="K57">IFS(AND(K$36 = $E$18, K$36 =ASSUMPTIONS!$E$60), $E30 * K47 * ((ASSUMPTIONS!$E$63 * $I16) + (ASSUMPTIONS!$E$64 * $F16)), 
AND(K$36 = $F$18, K$36 =ASSUMPTIONS!$F$60), $F30 * K47 * ((ASSUMPTIONS!$F$63 * $I16) + (ASSUMPTIONS!$F$64 * $F16)), 
AND(K$36 = $G$18, K$36 =ASSUMPTIONS!$G$60), $G30 * K47 * ((ASSUMPTIONS!$G$63 * $I16) + (ASSUMPTIONS!$G$64 * $F16)), 
AND(K$36 = $H$18, K$36 =ASSUMPTIONS!$H$60), $H30 * K47 * ((ASSUMPTIONS!$H$63 * $I16) + (ASSUMPTIONS!$H$64 * $F16)), 
TRUE, $I30 *K47 * ((ASSUMPTIONS!$I$63 * $I16) + (ASSUMPTIONS!$I$64 * $F16))
)</f>
        <v>2192832</v>
      </c>
      <c r="L57" s="153">
        <f t="array" ref="L57">IFS(AND(L$36 = $E$18, L$36 =ASSUMPTIONS!$E$60), $E30 * L47 * ((ASSUMPTIONS!$E$63 * $I16) + (ASSUMPTIONS!$E$64 * $F16)), 
AND(L$36 = $F$18, L$36 =ASSUMPTIONS!$F$60), $F30 * L47 * ((ASSUMPTIONS!$F$63 * $I16) + (ASSUMPTIONS!$F$64 * $F16)), 
AND(L$36 = $G$18, L$36 =ASSUMPTIONS!$G$60), $G30 * L47 * ((ASSUMPTIONS!$G$63 * $I16) + (ASSUMPTIONS!$G$64 * $F16)), 
AND(L$36 = $H$18, L$36 =ASSUMPTIONS!$H$60), $H30 * L47 * ((ASSUMPTIONS!$H$63 * $I16) + (ASSUMPTIONS!$H$64 * $F16)), 
TRUE, $I30 *L47 * ((ASSUMPTIONS!$I$63 * $I16) + (ASSUMPTIONS!$I$64 * $F16))
)</f>
        <v>2192832</v>
      </c>
      <c r="M57" s="153">
        <f t="array" ref="M57">IFS(AND(M$36 = $E$18, M$36 =ASSUMPTIONS!$E$60), $E30 * M47 * ((ASSUMPTIONS!$E$63 * $I16) + (ASSUMPTIONS!$E$64 * $F16)), 
AND(M$36 = $F$18, M$36 =ASSUMPTIONS!$F$60), $F30 * M47 * ((ASSUMPTIONS!$F$63 * $I16) + (ASSUMPTIONS!$F$64 * $F16)), 
AND(M$36 = $G$18, M$36 =ASSUMPTIONS!$G$60), $G30 * M47 * ((ASSUMPTIONS!$G$63 * $I16) + (ASSUMPTIONS!$G$64 * $F16)), 
AND(M$36 = $H$18, M$36 =ASSUMPTIONS!$H$60), $H30 * M47 * ((ASSUMPTIONS!$H$63 * $I16) + (ASSUMPTIONS!$H$64 * $F16)), 
TRUE, $I30 *M47 * ((ASSUMPTIONS!$I$63 * $I16) + (ASSUMPTIONS!$I$64 * $F16))
)</f>
        <v>2192832</v>
      </c>
      <c r="N57" s="153">
        <f t="array" ref="N57">IFS(AND(N$36 = $E$18, N$36 =ASSUMPTIONS!$E$60), $E30 * N47 * ((ASSUMPTIONS!$E$63 * $I16) + (ASSUMPTIONS!$E$64 * $F16)), 
AND(N$36 = $F$18, N$36 =ASSUMPTIONS!$F$60), $F30 * N47 * ((ASSUMPTIONS!$F$63 * $I16) + (ASSUMPTIONS!$F$64 * $F16)), 
AND(N$36 = $G$18, N$36 =ASSUMPTIONS!$G$60), $G30 * N47 * ((ASSUMPTIONS!$G$63 * $I16) + (ASSUMPTIONS!$G$64 * $F16)), 
AND(N$36 = $H$18, N$36 =ASSUMPTIONS!$H$60), $H30 * N47 * ((ASSUMPTIONS!$H$63 * $I16) + (ASSUMPTIONS!$H$64 * $F16)), 
TRUE, $I30 *N47 * ((ASSUMPTIONS!$I$63 * $I16) + (ASSUMPTIONS!$I$64 * $F16))
)</f>
        <v>2192832</v>
      </c>
      <c r="O57" s="153">
        <f t="array" ref="O57">IFS(AND(O$36 = $E$18, O$36 =ASSUMPTIONS!$E$60), $E30 * O47 * ((ASSUMPTIONS!$E$63 * $I16) + (ASSUMPTIONS!$E$64 * $F16)), 
AND(O$36 = $F$18, O$36 =ASSUMPTIONS!$F$60), $F30 * O47 * ((ASSUMPTIONS!$F$63 * $I16) + (ASSUMPTIONS!$F$64 * $F16)), 
AND(O$36 = $G$18, O$36 =ASSUMPTIONS!$G$60), $G30 * O47 * ((ASSUMPTIONS!$G$63 * $I16) + (ASSUMPTIONS!$G$64 * $F16)), 
AND(O$36 = $H$18, O$36 =ASSUMPTIONS!$H$60), $H30 * O47 * ((ASSUMPTIONS!$H$63 * $I16) + (ASSUMPTIONS!$H$64 * $F16)), 
TRUE, $I30 *O47 * ((ASSUMPTIONS!$I$63 * $I16) + (ASSUMPTIONS!$I$64 * $F16))
)</f>
        <v>2192832</v>
      </c>
      <c r="P57" s="153">
        <f t="array" ref="P57">IFS(AND(P$36 = $E$18, P$36 =ASSUMPTIONS!$E$60), $E30 * P47 * ((ASSUMPTIONS!$E$63 * $I16) + (ASSUMPTIONS!$E$64 * $F16)), 
AND(P$36 = $F$18, P$36 =ASSUMPTIONS!$F$60), $F30 * P47 * ((ASSUMPTIONS!$F$63 * $I16) + (ASSUMPTIONS!$F$64 * $F16)), 
AND(P$36 = $G$18, P$36 =ASSUMPTIONS!$G$60), $G30 * P47 * ((ASSUMPTIONS!$G$63 * $I16) + (ASSUMPTIONS!$G$64 * $F16)), 
AND(P$36 = $H$18, P$36 =ASSUMPTIONS!$H$60), $H30 * P47 * ((ASSUMPTIONS!$H$63 * $I16) + (ASSUMPTIONS!$H$64 * $F16)), 
TRUE, $I30 *P47 * ((ASSUMPTIONS!$I$63 * $I16) + (ASSUMPTIONS!$I$64 * $F16))
)</f>
        <v>2192832</v>
      </c>
      <c r="Q57" s="153">
        <f t="array" ref="Q57">IFS(AND(Q$36 = $E$18, Q$36 =ASSUMPTIONS!$E$60), $E30 * Q47 * ((ASSUMPTIONS!$E$63 * $I16) + (ASSUMPTIONS!$E$64 * $F16)), 
AND(Q$36 = $F$18, Q$36 =ASSUMPTIONS!$F$60), $F30 * Q47 * ((ASSUMPTIONS!$F$63 * $I16) + (ASSUMPTIONS!$F$64 * $F16)), 
AND(Q$36 = $G$18, Q$36 =ASSUMPTIONS!$G$60), $G30 * Q47 * ((ASSUMPTIONS!$G$63 * $I16) + (ASSUMPTIONS!$G$64 * $F16)), 
AND(Q$36 = $H$18, Q$36 =ASSUMPTIONS!$H$60), $H30 * Q47 * ((ASSUMPTIONS!$H$63 * $I16) + (ASSUMPTIONS!$H$64 * $F16)), 
TRUE, $I30 *Q47 * ((ASSUMPTIONS!$I$63 * $I16) + (ASSUMPTIONS!$I$64 * $F16))
)</f>
        <v>2369598.624</v>
      </c>
      <c r="R57" s="153">
        <f t="array" ref="R57">IFS(AND(R$36 = $E$18, R$36 =ASSUMPTIONS!$E$60), $E30 * R47 * ((ASSUMPTIONS!$E$63 * $I16) + (ASSUMPTIONS!$E$64 * $F16)), 
AND(R$36 = $F$18, R$36 =ASSUMPTIONS!$F$60), $F30 * R47 * ((ASSUMPTIONS!$F$63 * $I16) + (ASSUMPTIONS!$F$64 * $F16)), 
AND(R$36 = $G$18, R$36 =ASSUMPTIONS!$G$60), $G30 * R47 * ((ASSUMPTIONS!$G$63 * $I16) + (ASSUMPTIONS!$G$64 * $F16)), 
AND(R$36 = $H$18, R$36 =ASSUMPTIONS!$H$60), $H30 * R47 * ((ASSUMPTIONS!$H$63 * $I16) + (ASSUMPTIONS!$H$64 * $F16)), 
TRUE, $I30 *R47 * ((ASSUMPTIONS!$I$63 * $I16) + (ASSUMPTIONS!$I$64 * $F16))
)</f>
        <v>2369598.624</v>
      </c>
      <c r="S57" s="153">
        <f t="array" ref="S57">IFS(AND(S$36 = $E$18, S$36 =ASSUMPTIONS!$E$60), $E30 * S47 * ((ASSUMPTIONS!$E$63 * $I16) + (ASSUMPTIONS!$E$64 * $F16)), 
AND(S$36 = $F$18, S$36 =ASSUMPTIONS!$F$60), $F30 * S47 * ((ASSUMPTIONS!$F$63 * $I16) + (ASSUMPTIONS!$F$64 * $F16)), 
AND(S$36 = $G$18, S$36 =ASSUMPTIONS!$G$60), $G30 * S47 * ((ASSUMPTIONS!$G$63 * $I16) + (ASSUMPTIONS!$G$64 * $F16)), 
AND(S$36 = $H$18, S$36 =ASSUMPTIONS!$H$60), $H30 * S47 * ((ASSUMPTIONS!$H$63 * $I16) + (ASSUMPTIONS!$H$64 * $F16)), 
TRUE, $I30 *S47 * ((ASSUMPTIONS!$I$63 * $I16) + (ASSUMPTIONS!$I$64 * $F16))
)</f>
        <v>2369598.624</v>
      </c>
      <c r="T57" s="153">
        <f t="array" ref="T57">IFS(AND(T$36 = $E$18, T$36 =ASSUMPTIONS!$E$60), $E30 * T47 * ((ASSUMPTIONS!$E$63 * $I16) + (ASSUMPTIONS!$E$64 * $F16)), 
AND(T$36 = $F$18, T$36 =ASSUMPTIONS!$F$60), $F30 * T47 * ((ASSUMPTIONS!$F$63 * $I16) + (ASSUMPTIONS!$F$64 * $F16)), 
AND(T$36 = $G$18, T$36 =ASSUMPTIONS!$G$60), $G30 * T47 * ((ASSUMPTIONS!$G$63 * $I16) + (ASSUMPTIONS!$G$64 * $F16)), 
AND(T$36 = $H$18, T$36 =ASSUMPTIONS!$H$60), $H30 * T47 * ((ASSUMPTIONS!$H$63 * $I16) + (ASSUMPTIONS!$H$64 * $F16)), 
TRUE, $I30 *T47 * ((ASSUMPTIONS!$I$63 * $I16) + (ASSUMPTIONS!$I$64 * $F16))
)</f>
        <v>2369598.624</v>
      </c>
      <c r="U57" s="153">
        <f t="array" ref="U57">IFS(AND(U$36 = $E$18, U$36 =ASSUMPTIONS!$E$60), $E30 * U47 * ((ASSUMPTIONS!$E$63 * $I16) + (ASSUMPTIONS!$E$64 * $F16)), 
AND(U$36 = $F$18, U$36 =ASSUMPTIONS!$F$60), $F30 * U47 * ((ASSUMPTIONS!$F$63 * $I16) + (ASSUMPTIONS!$F$64 * $F16)), 
AND(U$36 = $G$18, U$36 =ASSUMPTIONS!$G$60), $G30 * U47 * ((ASSUMPTIONS!$G$63 * $I16) + (ASSUMPTIONS!$G$64 * $F16)), 
AND(U$36 = $H$18, U$36 =ASSUMPTIONS!$H$60), $H30 * U47 * ((ASSUMPTIONS!$H$63 * $I16) + (ASSUMPTIONS!$H$64 * $F16)), 
TRUE, $I30 *U47 * ((ASSUMPTIONS!$I$63 * $I16) + (ASSUMPTIONS!$I$64 * $F16))
)</f>
        <v>2369598.624</v>
      </c>
      <c r="V57" s="153">
        <f t="array" ref="V57">IFS(AND(V$36 = $E$18, V$36 =ASSUMPTIONS!$E$60), $E30 * V47 * ((ASSUMPTIONS!$E$63 * $I16) + (ASSUMPTIONS!$E$64 * $F16)), 
AND(V$36 = $F$18, V$36 =ASSUMPTIONS!$F$60), $F30 * V47 * ((ASSUMPTIONS!$F$63 * $I16) + (ASSUMPTIONS!$F$64 * $F16)), 
AND(V$36 = $G$18, V$36 =ASSUMPTIONS!$G$60), $G30 * V47 * ((ASSUMPTIONS!$G$63 * $I16) + (ASSUMPTIONS!$G$64 * $F16)), 
AND(V$36 = $H$18, V$36 =ASSUMPTIONS!$H$60), $H30 * V47 * ((ASSUMPTIONS!$H$63 * $I16) + (ASSUMPTIONS!$H$64 * $F16)), 
TRUE, $I30 *V47 * ((ASSUMPTIONS!$I$63 * $I16) + (ASSUMPTIONS!$I$64 * $F16))
)</f>
        <v>2369598.624</v>
      </c>
      <c r="W57" s="153">
        <f t="array" ref="W57">IFS(AND(W$36 = $E$18, W$36 =ASSUMPTIONS!$E$60), $E30 * W47 * ((ASSUMPTIONS!$E$63 * $I16) + (ASSUMPTIONS!$E$64 * $F16)), 
AND(W$36 = $F$18, W$36 =ASSUMPTIONS!$F$60), $F30 * W47 * ((ASSUMPTIONS!$F$63 * $I16) + (ASSUMPTIONS!$F$64 * $F16)), 
AND(W$36 = $G$18, W$36 =ASSUMPTIONS!$G$60), $G30 * W47 * ((ASSUMPTIONS!$G$63 * $I16) + (ASSUMPTIONS!$G$64 * $F16)), 
AND(W$36 = $H$18, W$36 =ASSUMPTIONS!$H$60), $H30 * W47 * ((ASSUMPTIONS!$H$63 * $I16) + (ASSUMPTIONS!$H$64 * $F16)), 
TRUE, $I30 *W47 * ((ASSUMPTIONS!$I$63 * $I16) + (ASSUMPTIONS!$I$64 * $F16))
)</f>
        <v>2369598.624</v>
      </c>
      <c r="X57" s="153">
        <f t="array" ref="X57">IFS(AND(X$36 = $E$18, X$36 =ASSUMPTIONS!$E$60), $E30 * X47 * ((ASSUMPTIONS!$E$63 * $I16) + (ASSUMPTIONS!$E$64 * $F16)), 
AND(X$36 = $F$18, X$36 =ASSUMPTIONS!$F$60), $F30 * X47 * ((ASSUMPTIONS!$F$63 * $I16) + (ASSUMPTIONS!$F$64 * $F16)), 
AND(X$36 = $G$18, X$36 =ASSUMPTIONS!$G$60), $G30 * X47 * ((ASSUMPTIONS!$G$63 * $I16) + (ASSUMPTIONS!$G$64 * $F16)), 
AND(X$36 = $H$18, X$36 =ASSUMPTIONS!$H$60), $H30 * X47 * ((ASSUMPTIONS!$H$63 * $I16) + (ASSUMPTIONS!$H$64 * $F16)), 
TRUE, $I30 *X47 * ((ASSUMPTIONS!$I$63 * $I16) + (ASSUMPTIONS!$I$64 * $F16))
)</f>
        <v>2369598.624</v>
      </c>
      <c r="Y57" s="153">
        <f t="array" ref="Y57">IFS(AND(Y$36 = $E$18, Y$36 =ASSUMPTIONS!$E$60), $E30 * Y47 * ((ASSUMPTIONS!$E$63 * $I16) + (ASSUMPTIONS!$E$64 * $F16)), 
AND(Y$36 = $F$18, Y$36 =ASSUMPTIONS!$F$60), $F30 * Y47 * ((ASSUMPTIONS!$F$63 * $I16) + (ASSUMPTIONS!$F$64 * $F16)), 
AND(Y$36 = $G$18, Y$36 =ASSUMPTIONS!$G$60), $G30 * Y47 * ((ASSUMPTIONS!$G$63 * $I16) + (ASSUMPTIONS!$G$64 * $F16)), 
AND(Y$36 = $H$18, Y$36 =ASSUMPTIONS!$H$60), $H30 * Y47 * ((ASSUMPTIONS!$H$63 * $I16) + (ASSUMPTIONS!$H$64 * $F16)), 
TRUE, $I30 *Y47 * ((ASSUMPTIONS!$I$63 * $I16) + (ASSUMPTIONS!$I$64 * $F16))
)</f>
        <v>2369598.624</v>
      </c>
      <c r="Z57" s="153">
        <f t="array" ref="Z57">IFS(AND(Z$36 = $E$18, Z$36 =ASSUMPTIONS!$E$60), $E30 * Z47 * ((ASSUMPTIONS!$E$63 * $I16) + (ASSUMPTIONS!$E$64 * $F16)), 
AND(Z$36 = $F$18, Z$36 =ASSUMPTIONS!$F$60), $F30 * Z47 * ((ASSUMPTIONS!$F$63 * $I16) + (ASSUMPTIONS!$F$64 * $F16)), 
AND(Z$36 = $G$18, Z$36 =ASSUMPTIONS!$G$60), $G30 * Z47 * ((ASSUMPTIONS!$G$63 * $I16) + (ASSUMPTIONS!$G$64 * $F16)), 
AND(Z$36 = $H$18, Z$36 =ASSUMPTIONS!$H$60), $H30 * Z47 * ((ASSUMPTIONS!$H$63 * $I16) + (ASSUMPTIONS!$H$64 * $F16)), 
TRUE, $I30 *Z47 * ((ASSUMPTIONS!$I$63 * $I16) + (ASSUMPTIONS!$I$64 * $F16))
)</f>
        <v>2369598.624</v>
      </c>
      <c r="AA57" s="153">
        <f t="array" ref="AA57">IFS(AND(AA$36 = $E$18, AA$36 =ASSUMPTIONS!$E$60), $E30 * AA47 * ((ASSUMPTIONS!$E$63 * $I16) + (ASSUMPTIONS!$E$64 * $F16)), 
AND(AA$36 = $F$18, AA$36 =ASSUMPTIONS!$F$60), $F30 * AA47 * ((ASSUMPTIONS!$F$63 * $I16) + (ASSUMPTIONS!$F$64 * $F16)), 
AND(AA$36 = $G$18, AA$36 =ASSUMPTIONS!$G$60), $G30 * AA47 * ((ASSUMPTIONS!$G$63 * $I16) + (ASSUMPTIONS!$G$64 * $F16)), 
AND(AA$36 = $H$18, AA$36 =ASSUMPTIONS!$H$60), $H30 * AA47 * ((ASSUMPTIONS!$H$63 * $I16) + (ASSUMPTIONS!$H$64 * $F16)), 
TRUE, $I30 *AA47 * ((ASSUMPTIONS!$I$63 * $I16) + (ASSUMPTIONS!$I$64 * $F16))
)</f>
        <v>2369598.624</v>
      </c>
      <c r="AB57" s="153">
        <f t="array" ref="AB57">IFS(AND(AB$36 = $E$18, AB$36 =ASSUMPTIONS!$E$60), $E30 * AB47 * ((ASSUMPTIONS!$E$63 * $I16) + (ASSUMPTIONS!$E$64 * $F16)), 
AND(AB$36 = $F$18, AB$36 =ASSUMPTIONS!$F$60), $F30 * AB47 * ((ASSUMPTIONS!$F$63 * $I16) + (ASSUMPTIONS!$F$64 * $F16)), 
AND(AB$36 = $G$18, AB$36 =ASSUMPTIONS!$G$60), $G30 * AB47 * ((ASSUMPTIONS!$G$63 * $I16) + (ASSUMPTIONS!$G$64 * $F16)), 
AND(AB$36 = $H$18, AB$36 =ASSUMPTIONS!$H$60), $H30 * AB47 * ((ASSUMPTIONS!$H$63 * $I16) + (ASSUMPTIONS!$H$64 * $F16)), 
TRUE, $I30 *AB47 * ((ASSUMPTIONS!$I$63 * $I16) + (ASSUMPTIONS!$I$64 * $F16))
)</f>
        <v>2369598.624</v>
      </c>
      <c r="AC57" s="153">
        <f t="array" ref="AC57">IFS(AND(AC$36 = $E$18, AC$36 =ASSUMPTIONS!$E$60), $E30 * AC47 * ((ASSUMPTIONS!$E$63 * $I16) + (ASSUMPTIONS!$E$64 * $F16)), 
AND(AC$36 = $F$18, AC$36 =ASSUMPTIONS!$F$60), $F30 * AC47 * ((ASSUMPTIONS!$F$63 * $I16) + (ASSUMPTIONS!$F$64 * $F16)), 
AND(AC$36 = $G$18, AC$36 =ASSUMPTIONS!$G$60), $G30 * AC47 * ((ASSUMPTIONS!$G$63 * $I16) + (ASSUMPTIONS!$G$64 * $F16)), 
AND(AC$36 = $H$18, AC$36 =ASSUMPTIONS!$H$60), $H30 * AC47 * ((ASSUMPTIONS!$H$63 * $I16) + (ASSUMPTIONS!$H$64 * $F16)), 
TRUE, $I30 *AC47 * ((ASSUMPTIONS!$I$63 * $I16) + (ASSUMPTIONS!$I$64 * $F16))
)</f>
        <v>5215183.108</v>
      </c>
      <c r="AD57" s="153">
        <f t="array" ref="AD57">IFS(AND(AD$36 = $E$18, AD$36 =ASSUMPTIONS!$E$60), $E30 * AD47 * ((ASSUMPTIONS!$E$63 * $I16) + (ASSUMPTIONS!$E$64 * $F16)), 
AND(AD$36 = $F$18, AD$36 =ASSUMPTIONS!$F$60), $F30 * AD47 * ((ASSUMPTIONS!$F$63 * $I16) + (ASSUMPTIONS!$F$64 * $F16)), 
AND(AD$36 = $G$18, AD$36 =ASSUMPTIONS!$G$60), $G30 * AD47 * ((ASSUMPTIONS!$G$63 * $I16) + (ASSUMPTIONS!$G$64 * $F16)), 
AND(AD$36 = $H$18, AD$36 =ASSUMPTIONS!$H$60), $H30 * AD47 * ((ASSUMPTIONS!$H$63 * $I16) + (ASSUMPTIONS!$H$64 * $F16)), 
TRUE, $I30 *AD47 * ((ASSUMPTIONS!$I$63 * $I16) + (ASSUMPTIONS!$I$64 * $F16))
)</f>
        <v>5215183.108</v>
      </c>
      <c r="AE57" s="153">
        <f t="array" ref="AE57">IFS(AND(AE$36 = $E$18, AE$36 =ASSUMPTIONS!$E$60), $E30 * AE47 * ((ASSUMPTIONS!$E$63 * $I16) + (ASSUMPTIONS!$E$64 * $F16)), 
AND(AE$36 = $F$18, AE$36 =ASSUMPTIONS!$F$60), $F30 * AE47 * ((ASSUMPTIONS!$F$63 * $I16) + (ASSUMPTIONS!$F$64 * $F16)), 
AND(AE$36 = $G$18, AE$36 =ASSUMPTIONS!$G$60), $G30 * AE47 * ((ASSUMPTIONS!$G$63 * $I16) + (ASSUMPTIONS!$G$64 * $F16)), 
AND(AE$36 = $H$18, AE$36 =ASSUMPTIONS!$H$60), $H30 * AE47 * ((ASSUMPTIONS!$H$63 * $I16) + (ASSUMPTIONS!$H$64 * $F16)), 
TRUE, $I30 *AE47 * ((ASSUMPTIONS!$I$63 * $I16) + (ASSUMPTIONS!$I$64 * $F16))
)</f>
        <v>5215183.108</v>
      </c>
      <c r="AF57" s="153">
        <f t="array" ref="AF57">IFS(AND(AF$36 = $E$18, AF$36 =ASSUMPTIONS!$E$60), $E30 * AF47 * ((ASSUMPTIONS!$E$63 * $I16) + (ASSUMPTIONS!$E$64 * $F16)), 
AND(AF$36 = $F$18, AF$36 =ASSUMPTIONS!$F$60), $F30 * AF47 * ((ASSUMPTIONS!$F$63 * $I16) + (ASSUMPTIONS!$F$64 * $F16)), 
AND(AF$36 = $G$18, AF$36 =ASSUMPTIONS!$G$60), $G30 * AF47 * ((ASSUMPTIONS!$G$63 * $I16) + (ASSUMPTIONS!$G$64 * $F16)), 
AND(AF$36 = $H$18, AF$36 =ASSUMPTIONS!$H$60), $H30 * AF47 * ((ASSUMPTIONS!$H$63 * $I16) + (ASSUMPTIONS!$H$64 * $F16)), 
TRUE, $I30 *AF47 * ((ASSUMPTIONS!$I$63 * $I16) + (ASSUMPTIONS!$I$64 * $F16))
)</f>
        <v>5215183.108</v>
      </c>
      <c r="AG57" s="153">
        <f t="array" ref="AG57">IFS(AND(AG$36 = $E$18, AG$36 =ASSUMPTIONS!$E$60), $E30 * AG47 * ((ASSUMPTIONS!$E$63 * $I16) + (ASSUMPTIONS!$E$64 * $F16)), 
AND(AG$36 = $F$18, AG$36 =ASSUMPTIONS!$F$60), $F30 * AG47 * ((ASSUMPTIONS!$F$63 * $I16) + (ASSUMPTIONS!$F$64 * $F16)), 
AND(AG$36 = $G$18, AG$36 =ASSUMPTIONS!$G$60), $G30 * AG47 * ((ASSUMPTIONS!$G$63 * $I16) + (ASSUMPTIONS!$G$64 * $F16)), 
AND(AG$36 = $H$18, AG$36 =ASSUMPTIONS!$H$60), $H30 * AG47 * ((ASSUMPTIONS!$H$63 * $I16) + (ASSUMPTIONS!$H$64 * $F16)), 
TRUE, $I30 *AG47 * ((ASSUMPTIONS!$I$63 * $I16) + (ASSUMPTIONS!$I$64 * $F16))
)</f>
        <v>5215183.108</v>
      </c>
      <c r="AH57" s="153">
        <f t="array" ref="AH57">IFS(AND(AH$36 = $E$18, AH$36 =ASSUMPTIONS!$E$60), $E30 * AH47 * ((ASSUMPTIONS!$E$63 * $I16) + (ASSUMPTIONS!$E$64 * $F16)), 
AND(AH$36 = $F$18, AH$36 =ASSUMPTIONS!$F$60), $F30 * AH47 * ((ASSUMPTIONS!$F$63 * $I16) + (ASSUMPTIONS!$F$64 * $F16)), 
AND(AH$36 = $G$18, AH$36 =ASSUMPTIONS!$G$60), $G30 * AH47 * ((ASSUMPTIONS!$G$63 * $I16) + (ASSUMPTIONS!$G$64 * $F16)), 
AND(AH$36 = $H$18, AH$36 =ASSUMPTIONS!$H$60), $H30 * AH47 * ((ASSUMPTIONS!$H$63 * $I16) + (ASSUMPTIONS!$H$64 * $F16)), 
TRUE, $I30 *AH47 * ((ASSUMPTIONS!$I$63 * $I16) + (ASSUMPTIONS!$I$64 * $F16))
)</f>
        <v>5215183.108</v>
      </c>
      <c r="AI57" s="153">
        <f t="array" ref="AI57">IFS(AND(AI$36 = $E$18, AI$36 =ASSUMPTIONS!$E$60), $E30 * AI47 * ((ASSUMPTIONS!$E$63 * $I16) + (ASSUMPTIONS!$E$64 * $F16)), 
AND(AI$36 = $F$18, AI$36 =ASSUMPTIONS!$F$60), $F30 * AI47 * ((ASSUMPTIONS!$F$63 * $I16) + (ASSUMPTIONS!$F$64 * $F16)), 
AND(AI$36 = $G$18, AI$36 =ASSUMPTIONS!$G$60), $G30 * AI47 * ((ASSUMPTIONS!$G$63 * $I16) + (ASSUMPTIONS!$G$64 * $F16)), 
AND(AI$36 = $H$18, AI$36 =ASSUMPTIONS!$H$60), $H30 * AI47 * ((ASSUMPTIONS!$H$63 * $I16) + (ASSUMPTIONS!$H$64 * $F16)), 
TRUE, $I30 *AI47 * ((ASSUMPTIONS!$I$63 * $I16) + (ASSUMPTIONS!$I$64 * $F16))
)</f>
        <v>5215183.108</v>
      </c>
      <c r="AJ57" s="153">
        <f t="array" ref="AJ57">IFS(AND(AJ$36 = $E$18, AJ$36 =ASSUMPTIONS!$E$60), $E30 * AJ47 * ((ASSUMPTIONS!$E$63 * $I16) + (ASSUMPTIONS!$E$64 * $F16)), 
AND(AJ$36 = $F$18, AJ$36 =ASSUMPTIONS!$F$60), $F30 * AJ47 * ((ASSUMPTIONS!$F$63 * $I16) + (ASSUMPTIONS!$F$64 * $F16)), 
AND(AJ$36 = $G$18, AJ$36 =ASSUMPTIONS!$G$60), $G30 * AJ47 * ((ASSUMPTIONS!$G$63 * $I16) + (ASSUMPTIONS!$G$64 * $F16)), 
AND(AJ$36 = $H$18, AJ$36 =ASSUMPTIONS!$H$60), $H30 * AJ47 * ((ASSUMPTIONS!$H$63 * $I16) + (ASSUMPTIONS!$H$64 * $F16)), 
TRUE, $I30 *AJ47 * ((ASSUMPTIONS!$I$63 * $I16) + (ASSUMPTIONS!$I$64 * $F16))
)</f>
        <v>5215183.108</v>
      </c>
      <c r="AK57" s="153">
        <f t="array" ref="AK57">IFS(AND(AK$36 = $E$18, AK$36 =ASSUMPTIONS!$E$60), $E30 * AK47 * ((ASSUMPTIONS!$E$63 * $I16) + (ASSUMPTIONS!$E$64 * $F16)), 
AND(AK$36 = $F$18, AK$36 =ASSUMPTIONS!$F$60), $F30 * AK47 * ((ASSUMPTIONS!$F$63 * $I16) + (ASSUMPTIONS!$F$64 * $F16)), 
AND(AK$36 = $G$18, AK$36 =ASSUMPTIONS!$G$60), $G30 * AK47 * ((ASSUMPTIONS!$G$63 * $I16) + (ASSUMPTIONS!$G$64 * $F16)), 
AND(AK$36 = $H$18, AK$36 =ASSUMPTIONS!$H$60), $H30 * AK47 * ((ASSUMPTIONS!$H$63 * $I16) + (ASSUMPTIONS!$H$64 * $F16)), 
TRUE, $I30 *AK47 * ((ASSUMPTIONS!$I$63 * $I16) + (ASSUMPTIONS!$I$64 * $F16))
)</f>
        <v>5215183.108</v>
      </c>
      <c r="AL57" s="153">
        <f t="array" ref="AL57">IFS(AND(AL$36 = $E$18, AL$36 =ASSUMPTIONS!$E$60), $E30 * AL47 * ((ASSUMPTIONS!$E$63 * $I16) + (ASSUMPTIONS!$E$64 * $F16)), 
AND(AL$36 = $F$18, AL$36 =ASSUMPTIONS!$F$60), $F30 * AL47 * ((ASSUMPTIONS!$F$63 * $I16) + (ASSUMPTIONS!$F$64 * $F16)), 
AND(AL$36 = $G$18, AL$36 =ASSUMPTIONS!$G$60), $G30 * AL47 * ((ASSUMPTIONS!$G$63 * $I16) + (ASSUMPTIONS!$G$64 * $F16)), 
AND(AL$36 = $H$18, AL$36 =ASSUMPTIONS!$H$60), $H30 * AL47 * ((ASSUMPTIONS!$H$63 * $I16) + (ASSUMPTIONS!$H$64 * $F16)), 
TRUE, $I30 *AL47 * ((ASSUMPTIONS!$I$63 * $I16) + (ASSUMPTIONS!$I$64 * $F16))
)</f>
        <v>5215183.108</v>
      </c>
      <c r="AM57" s="153">
        <f t="array" ref="AM57">IFS(AND(AM$36 = $E$18, AM$36 =ASSUMPTIONS!$E$60), $E30 * AM47 * ((ASSUMPTIONS!$E$63 * $I16) + (ASSUMPTIONS!$E$64 * $F16)), 
AND(AM$36 = $F$18, AM$36 =ASSUMPTIONS!$F$60), $F30 * AM47 * ((ASSUMPTIONS!$F$63 * $I16) + (ASSUMPTIONS!$F$64 * $F16)), 
AND(AM$36 = $G$18, AM$36 =ASSUMPTIONS!$G$60), $G30 * AM47 * ((ASSUMPTIONS!$G$63 * $I16) + (ASSUMPTIONS!$G$64 * $F16)), 
AND(AM$36 = $H$18, AM$36 =ASSUMPTIONS!$H$60), $H30 * AM47 * ((ASSUMPTIONS!$H$63 * $I16) + (ASSUMPTIONS!$H$64 * $F16)), 
TRUE, $I30 *AM47 * ((ASSUMPTIONS!$I$63 * $I16) + (ASSUMPTIONS!$I$64 * $F16))
)</f>
        <v>5215183.108</v>
      </c>
      <c r="AN57" s="153">
        <f t="array" ref="AN57">IFS(AND(AN$36 = $E$18, AN$36 =ASSUMPTIONS!$E$60), $E30 * AN47 * ((ASSUMPTIONS!$E$63 * $I16) + (ASSUMPTIONS!$E$64 * $F16)), 
AND(AN$36 = $F$18, AN$36 =ASSUMPTIONS!$F$60), $F30 * AN47 * ((ASSUMPTIONS!$F$63 * $I16) + (ASSUMPTIONS!$F$64 * $F16)), 
AND(AN$36 = $G$18, AN$36 =ASSUMPTIONS!$G$60), $G30 * AN47 * ((ASSUMPTIONS!$G$63 * $I16) + (ASSUMPTIONS!$G$64 * $F16)), 
AND(AN$36 = $H$18, AN$36 =ASSUMPTIONS!$H$60), $H30 * AN47 * ((ASSUMPTIONS!$H$63 * $I16) + (ASSUMPTIONS!$H$64 * $F16)), 
TRUE, $I30 *AN47 * ((ASSUMPTIONS!$I$63 * $I16) + (ASSUMPTIONS!$I$64 * $F16))
)</f>
        <v>5215183.108</v>
      </c>
      <c r="AO57" s="153">
        <f t="array" ref="AO57">IFS(AND(AO$36 = $E$18, AO$36 =ASSUMPTIONS!$E$60), $E30 * AO47 * ((ASSUMPTIONS!$E$63 * $I16) + (ASSUMPTIONS!$E$64 * $F16)), 
AND(AO$36 = $F$18, AO$36 =ASSUMPTIONS!$F$60), $F30 * AO47 * ((ASSUMPTIONS!$F$63 * $I16) + (ASSUMPTIONS!$F$64 * $F16)), 
AND(AO$36 = $G$18, AO$36 =ASSUMPTIONS!$G$60), $G30 * AO47 * ((ASSUMPTIONS!$G$63 * $I16) + (ASSUMPTIONS!$G$64 * $F16)), 
AND(AO$36 = $H$18, AO$36 =ASSUMPTIONS!$H$60), $H30 * AO47 * ((ASSUMPTIONS!$H$63 * $I16) + (ASSUMPTIONS!$H$64 * $F16)), 
TRUE, $I30 *AO47 * ((ASSUMPTIONS!$I$63 * $I16) + (ASSUMPTIONS!$I$64 * $F16))
)</f>
        <v>17193678.48</v>
      </c>
      <c r="AP57" s="153">
        <f t="array" ref="AP57">IFS(AND(AP$36 = $E$18, AP$36 =ASSUMPTIONS!$E$60), $E30 * AP47 * ((ASSUMPTIONS!$E$63 * $I16) + (ASSUMPTIONS!$E$64 * $F16)), 
AND(AP$36 = $F$18, AP$36 =ASSUMPTIONS!$F$60), $F30 * AP47 * ((ASSUMPTIONS!$F$63 * $I16) + (ASSUMPTIONS!$F$64 * $F16)), 
AND(AP$36 = $G$18, AP$36 =ASSUMPTIONS!$G$60), $G30 * AP47 * ((ASSUMPTIONS!$G$63 * $I16) + (ASSUMPTIONS!$G$64 * $F16)), 
AND(AP$36 = $H$18, AP$36 =ASSUMPTIONS!$H$60), $H30 * AP47 * ((ASSUMPTIONS!$H$63 * $I16) + (ASSUMPTIONS!$H$64 * $F16)), 
TRUE, $I30 *AP47 * ((ASSUMPTIONS!$I$63 * $I16) + (ASSUMPTIONS!$I$64 * $F16))
)</f>
        <v>17193678.48</v>
      </c>
      <c r="AQ57" s="153">
        <f t="array" ref="AQ57">IFS(AND(AQ$36 = $E$18, AQ$36 =ASSUMPTIONS!$E$60), $E30 * AQ47 * ((ASSUMPTIONS!$E$63 * $I16) + (ASSUMPTIONS!$E$64 * $F16)), 
AND(AQ$36 = $F$18, AQ$36 =ASSUMPTIONS!$F$60), $F30 * AQ47 * ((ASSUMPTIONS!$F$63 * $I16) + (ASSUMPTIONS!$F$64 * $F16)), 
AND(AQ$36 = $G$18, AQ$36 =ASSUMPTIONS!$G$60), $G30 * AQ47 * ((ASSUMPTIONS!$G$63 * $I16) + (ASSUMPTIONS!$G$64 * $F16)), 
AND(AQ$36 = $H$18, AQ$36 =ASSUMPTIONS!$H$60), $H30 * AQ47 * ((ASSUMPTIONS!$H$63 * $I16) + (ASSUMPTIONS!$H$64 * $F16)), 
TRUE, $I30 *AQ47 * ((ASSUMPTIONS!$I$63 * $I16) + (ASSUMPTIONS!$I$64 * $F16))
)</f>
        <v>17193678.48</v>
      </c>
      <c r="AR57" s="153">
        <f t="array" ref="AR57">IFS(AND(AR$36 = $E$18, AR$36 =ASSUMPTIONS!$E$60), $E30 * AR47 * ((ASSUMPTIONS!$E$63 * $I16) + (ASSUMPTIONS!$E$64 * $F16)), 
AND(AR$36 = $F$18, AR$36 =ASSUMPTIONS!$F$60), $F30 * AR47 * ((ASSUMPTIONS!$F$63 * $I16) + (ASSUMPTIONS!$F$64 * $F16)), 
AND(AR$36 = $G$18, AR$36 =ASSUMPTIONS!$G$60), $G30 * AR47 * ((ASSUMPTIONS!$G$63 * $I16) + (ASSUMPTIONS!$G$64 * $F16)), 
AND(AR$36 = $H$18, AR$36 =ASSUMPTIONS!$H$60), $H30 * AR47 * ((ASSUMPTIONS!$H$63 * $I16) + (ASSUMPTIONS!$H$64 * $F16)), 
TRUE, $I30 *AR47 * ((ASSUMPTIONS!$I$63 * $I16) + (ASSUMPTIONS!$I$64 * $F16))
)</f>
        <v>17193678.48</v>
      </c>
      <c r="AS57" s="153">
        <f t="array" ref="AS57">IFS(AND(AS$36 = $E$18, AS$36 =ASSUMPTIONS!$E$60), $E30 * AS47 * ((ASSUMPTIONS!$E$63 * $I16) + (ASSUMPTIONS!$E$64 * $F16)), 
AND(AS$36 = $F$18, AS$36 =ASSUMPTIONS!$F$60), $F30 * AS47 * ((ASSUMPTIONS!$F$63 * $I16) + (ASSUMPTIONS!$F$64 * $F16)), 
AND(AS$36 = $G$18, AS$36 =ASSUMPTIONS!$G$60), $G30 * AS47 * ((ASSUMPTIONS!$G$63 * $I16) + (ASSUMPTIONS!$G$64 * $F16)), 
AND(AS$36 = $H$18, AS$36 =ASSUMPTIONS!$H$60), $H30 * AS47 * ((ASSUMPTIONS!$H$63 * $I16) + (ASSUMPTIONS!$H$64 * $F16)), 
TRUE, $I30 *AS47 * ((ASSUMPTIONS!$I$63 * $I16) + (ASSUMPTIONS!$I$64 * $F16))
)</f>
        <v>17193678.48</v>
      </c>
      <c r="AT57" s="153">
        <f t="array" ref="AT57">IFS(AND(AT$36 = $E$18, AT$36 =ASSUMPTIONS!$E$60), $E30 * AT47 * ((ASSUMPTIONS!$E$63 * $I16) + (ASSUMPTIONS!$E$64 * $F16)), 
AND(AT$36 = $F$18, AT$36 =ASSUMPTIONS!$F$60), $F30 * AT47 * ((ASSUMPTIONS!$F$63 * $I16) + (ASSUMPTIONS!$F$64 * $F16)), 
AND(AT$36 = $G$18, AT$36 =ASSUMPTIONS!$G$60), $G30 * AT47 * ((ASSUMPTIONS!$G$63 * $I16) + (ASSUMPTIONS!$G$64 * $F16)), 
AND(AT$36 = $H$18, AT$36 =ASSUMPTIONS!$H$60), $H30 * AT47 * ((ASSUMPTIONS!$H$63 * $I16) + (ASSUMPTIONS!$H$64 * $F16)), 
TRUE, $I30 *AT47 * ((ASSUMPTIONS!$I$63 * $I16) + (ASSUMPTIONS!$I$64 * $F16))
)</f>
        <v>17193678.48</v>
      </c>
      <c r="AU57" s="153">
        <f t="array" ref="AU57">IFS(AND(AU$36 = $E$18, AU$36 =ASSUMPTIONS!$E$60), $E30 * AU47 * ((ASSUMPTIONS!$E$63 * $I16) + (ASSUMPTIONS!$E$64 * $F16)), 
AND(AU$36 = $F$18, AU$36 =ASSUMPTIONS!$F$60), $F30 * AU47 * ((ASSUMPTIONS!$F$63 * $I16) + (ASSUMPTIONS!$F$64 * $F16)), 
AND(AU$36 = $G$18, AU$36 =ASSUMPTIONS!$G$60), $G30 * AU47 * ((ASSUMPTIONS!$G$63 * $I16) + (ASSUMPTIONS!$G$64 * $F16)), 
AND(AU$36 = $H$18, AU$36 =ASSUMPTIONS!$H$60), $H30 * AU47 * ((ASSUMPTIONS!$H$63 * $I16) + (ASSUMPTIONS!$H$64 * $F16)), 
TRUE, $I30 *AU47 * ((ASSUMPTIONS!$I$63 * $I16) + (ASSUMPTIONS!$I$64 * $F16))
)</f>
        <v>17193678.48</v>
      </c>
      <c r="AV57" s="153">
        <f t="array" ref="AV57">IFS(AND(AV$36 = $E$18, AV$36 =ASSUMPTIONS!$E$60), $E30 * AV47 * ((ASSUMPTIONS!$E$63 * $I16) + (ASSUMPTIONS!$E$64 * $F16)), 
AND(AV$36 = $F$18, AV$36 =ASSUMPTIONS!$F$60), $F30 * AV47 * ((ASSUMPTIONS!$F$63 * $I16) + (ASSUMPTIONS!$F$64 * $F16)), 
AND(AV$36 = $G$18, AV$36 =ASSUMPTIONS!$G$60), $G30 * AV47 * ((ASSUMPTIONS!$G$63 * $I16) + (ASSUMPTIONS!$G$64 * $F16)), 
AND(AV$36 = $H$18, AV$36 =ASSUMPTIONS!$H$60), $H30 * AV47 * ((ASSUMPTIONS!$H$63 * $I16) + (ASSUMPTIONS!$H$64 * $F16)), 
TRUE, $I30 *AV47 * ((ASSUMPTIONS!$I$63 * $I16) + (ASSUMPTIONS!$I$64 * $F16))
)</f>
        <v>17193678.48</v>
      </c>
      <c r="AW57" s="153">
        <f t="array" ref="AW57">IFS(AND(AW$36 = $E$18, AW$36 =ASSUMPTIONS!$E$60), $E30 * AW47 * ((ASSUMPTIONS!$E$63 * $I16) + (ASSUMPTIONS!$E$64 * $F16)), 
AND(AW$36 = $F$18, AW$36 =ASSUMPTIONS!$F$60), $F30 * AW47 * ((ASSUMPTIONS!$F$63 * $I16) + (ASSUMPTIONS!$F$64 * $F16)), 
AND(AW$36 = $G$18, AW$36 =ASSUMPTIONS!$G$60), $G30 * AW47 * ((ASSUMPTIONS!$G$63 * $I16) + (ASSUMPTIONS!$G$64 * $F16)), 
AND(AW$36 = $H$18, AW$36 =ASSUMPTIONS!$H$60), $H30 * AW47 * ((ASSUMPTIONS!$H$63 * $I16) + (ASSUMPTIONS!$H$64 * $F16)), 
TRUE, $I30 *AW47 * ((ASSUMPTIONS!$I$63 * $I16) + (ASSUMPTIONS!$I$64 * $F16))
)</f>
        <v>17193678.48</v>
      </c>
      <c r="AX57" s="153">
        <f t="array" ref="AX57">IFS(AND(AX$36 = $E$18, AX$36 =ASSUMPTIONS!$E$60), $E30 * AX47 * ((ASSUMPTIONS!$E$63 * $I16) + (ASSUMPTIONS!$E$64 * $F16)), 
AND(AX$36 = $F$18, AX$36 =ASSUMPTIONS!$F$60), $F30 * AX47 * ((ASSUMPTIONS!$F$63 * $I16) + (ASSUMPTIONS!$F$64 * $F16)), 
AND(AX$36 = $G$18, AX$36 =ASSUMPTIONS!$G$60), $G30 * AX47 * ((ASSUMPTIONS!$G$63 * $I16) + (ASSUMPTIONS!$G$64 * $F16)), 
AND(AX$36 = $H$18, AX$36 =ASSUMPTIONS!$H$60), $H30 * AX47 * ((ASSUMPTIONS!$H$63 * $I16) + (ASSUMPTIONS!$H$64 * $F16)), 
TRUE, $I30 *AX47 * ((ASSUMPTIONS!$I$63 * $I16) + (ASSUMPTIONS!$I$64 * $F16))
)</f>
        <v>17193678.48</v>
      </c>
      <c r="AY57" s="153">
        <f t="array" ref="AY57">IFS(AND(AY$36 = $E$18, AY$36 =ASSUMPTIONS!$E$60), $E30 * AY47 * ((ASSUMPTIONS!$E$63 * $I16) + (ASSUMPTIONS!$E$64 * $F16)), 
AND(AY$36 = $F$18, AY$36 =ASSUMPTIONS!$F$60), $F30 * AY47 * ((ASSUMPTIONS!$F$63 * $I16) + (ASSUMPTIONS!$F$64 * $F16)), 
AND(AY$36 = $G$18, AY$36 =ASSUMPTIONS!$G$60), $G30 * AY47 * ((ASSUMPTIONS!$G$63 * $I16) + (ASSUMPTIONS!$G$64 * $F16)), 
AND(AY$36 = $H$18, AY$36 =ASSUMPTIONS!$H$60), $H30 * AY47 * ((ASSUMPTIONS!$H$63 * $I16) + (ASSUMPTIONS!$H$64 * $F16)), 
TRUE, $I30 *AY47 * ((ASSUMPTIONS!$I$63 * $I16) + (ASSUMPTIONS!$I$64 * $F16))
)</f>
        <v>17193678.48</v>
      </c>
      <c r="AZ57" s="153">
        <f t="array" ref="AZ57">IFS(AND(AZ$36 = $E$18, AZ$36 =ASSUMPTIONS!$E$60), $E30 * AZ47 * ((ASSUMPTIONS!$E$63 * $I16) + (ASSUMPTIONS!$E$64 * $F16)), 
AND(AZ$36 = $F$18, AZ$36 =ASSUMPTIONS!$F$60), $F30 * AZ47 * ((ASSUMPTIONS!$F$63 * $I16) + (ASSUMPTIONS!$F$64 * $F16)), 
AND(AZ$36 = $G$18, AZ$36 =ASSUMPTIONS!$G$60), $G30 * AZ47 * ((ASSUMPTIONS!$G$63 * $I16) + (ASSUMPTIONS!$G$64 * $F16)), 
AND(AZ$36 = $H$18, AZ$36 =ASSUMPTIONS!$H$60), $H30 * AZ47 * ((ASSUMPTIONS!$H$63 * $I16) + (ASSUMPTIONS!$H$64 * $F16)), 
TRUE, $I30 *AZ47 * ((ASSUMPTIONS!$I$63 * $I16) + (ASSUMPTIONS!$I$64 * $F16))
)</f>
        <v>17193678.48</v>
      </c>
      <c r="BA57" s="153">
        <f t="array" ref="BA57">IFS(AND(BA$36 = $E$18, BA$36 =ASSUMPTIONS!$E$60), $E30 * BA47 * ((ASSUMPTIONS!$E$63 * $I16) + (ASSUMPTIONS!$E$64 * $F16)), 
AND(BA$36 = $F$18, BA$36 =ASSUMPTIONS!$F$60), $F30 * BA47 * ((ASSUMPTIONS!$F$63 * $I16) + (ASSUMPTIONS!$F$64 * $F16)), 
AND(BA$36 = $G$18, BA$36 =ASSUMPTIONS!$G$60), $G30 * BA47 * ((ASSUMPTIONS!$G$63 * $I16) + (ASSUMPTIONS!$G$64 * $F16)), 
AND(BA$36 = $H$18, BA$36 =ASSUMPTIONS!$H$60), $H30 * BA47 * ((ASSUMPTIONS!$H$63 * $I16) + (ASSUMPTIONS!$H$64 * $F16)), 
TRUE, $I30 *BA47 * ((ASSUMPTIONS!$I$63 * $I16) + (ASSUMPTIONS!$I$64 * $F16))
)</f>
        <v>19840199.12</v>
      </c>
      <c r="BB57" s="153">
        <f t="array" ref="BB57">IFS(AND(BB$36 = $E$18, BB$36 =ASSUMPTIONS!$E$60), $E30 * BB47 * ((ASSUMPTIONS!$E$63 * $I16) + (ASSUMPTIONS!$E$64 * $F16)), 
AND(BB$36 = $F$18, BB$36 =ASSUMPTIONS!$F$60), $F30 * BB47 * ((ASSUMPTIONS!$F$63 * $I16) + (ASSUMPTIONS!$F$64 * $F16)), 
AND(BB$36 = $G$18, BB$36 =ASSUMPTIONS!$G$60), $G30 * BB47 * ((ASSUMPTIONS!$G$63 * $I16) + (ASSUMPTIONS!$G$64 * $F16)), 
AND(BB$36 = $H$18, BB$36 =ASSUMPTIONS!$H$60), $H30 * BB47 * ((ASSUMPTIONS!$H$63 * $I16) + (ASSUMPTIONS!$H$64 * $F16)), 
TRUE, $I30 *BB47 * ((ASSUMPTIONS!$I$63 * $I16) + (ASSUMPTIONS!$I$64 * $F16))
)</f>
        <v>19840199.12</v>
      </c>
      <c r="BC57" s="153">
        <f t="array" ref="BC57">IFS(AND(BC$36 = $E$18, BC$36 =ASSUMPTIONS!$E$60), $E30 * BC47 * ((ASSUMPTIONS!$E$63 * $I16) + (ASSUMPTIONS!$E$64 * $F16)), 
AND(BC$36 = $F$18, BC$36 =ASSUMPTIONS!$F$60), $F30 * BC47 * ((ASSUMPTIONS!$F$63 * $I16) + (ASSUMPTIONS!$F$64 * $F16)), 
AND(BC$36 = $G$18, BC$36 =ASSUMPTIONS!$G$60), $G30 * BC47 * ((ASSUMPTIONS!$G$63 * $I16) + (ASSUMPTIONS!$G$64 * $F16)), 
AND(BC$36 = $H$18, BC$36 =ASSUMPTIONS!$H$60), $H30 * BC47 * ((ASSUMPTIONS!$H$63 * $I16) + (ASSUMPTIONS!$H$64 * $F16)), 
TRUE, $I30 *BC47 * ((ASSUMPTIONS!$I$63 * $I16) + (ASSUMPTIONS!$I$64 * $F16))
)</f>
        <v>19840199.12</v>
      </c>
      <c r="BD57" s="153">
        <f t="array" ref="BD57">IFS(AND(BD$36 = $E$18, BD$36 =ASSUMPTIONS!$E$60), $E30 * BD47 * ((ASSUMPTIONS!$E$63 * $I16) + (ASSUMPTIONS!$E$64 * $F16)), 
AND(BD$36 = $F$18, BD$36 =ASSUMPTIONS!$F$60), $F30 * BD47 * ((ASSUMPTIONS!$F$63 * $I16) + (ASSUMPTIONS!$F$64 * $F16)), 
AND(BD$36 = $G$18, BD$36 =ASSUMPTIONS!$G$60), $G30 * BD47 * ((ASSUMPTIONS!$G$63 * $I16) + (ASSUMPTIONS!$G$64 * $F16)), 
AND(BD$36 = $H$18, BD$36 =ASSUMPTIONS!$H$60), $H30 * BD47 * ((ASSUMPTIONS!$H$63 * $I16) + (ASSUMPTIONS!$H$64 * $F16)), 
TRUE, $I30 *BD47 * ((ASSUMPTIONS!$I$63 * $I16) + (ASSUMPTIONS!$I$64 * $F16))
)</f>
        <v>19840199.12</v>
      </c>
      <c r="BE57" s="153">
        <f t="array" ref="BE57">IFS(AND(BE$36 = $E$18, BE$36 =ASSUMPTIONS!$E$60), $E30 * BE47 * ((ASSUMPTIONS!$E$63 * $I16) + (ASSUMPTIONS!$E$64 * $F16)), 
AND(BE$36 = $F$18, BE$36 =ASSUMPTIONS!$F$60), $F30 * BE47 * ((ASSUMPTIONS!$F$63 * $I16) + (ASSUMPTIONS!$F$64 * $F16)), 
AND(BE$36 = $G$18, BE$36 =ASSUMPTIONS!$G$60), $G30 * BE47 * ((ASSUMPTIONS!$G$63 * $I16) + (ASSUMPTIONS!$G$64 * $F16)), 
AND(BE$36 = $H$18, BE$36 =ASSUMPTIONS!$H$60), $H30 * BE47 * ((ASSUMPTIONS!$H$63 * $I16) + (ASSUMPTIONS!$H$64 * $F16)), 
TRUE, $I30 *BE47 * ((ASSUMPTIONS!$I$63 * $I16) + (ASSUMPTIONS!$I$64 * $F16))
)</f>
        <v>19840199.12</v>
      </c>
      <c r="BF57" s="153">
        <f t="array" ref="BF57">IFS(AND(BF$36 = $E$18, BF$36 =ASSUMPTIONS!$E$60), $E30 * BF47 * ((ASSUMPTIONS!$E$63 * $I16) + (ASSUMPTIONS!$E$64 * $F16)), 
AND(BF$36 = $F$18, BF$36 =ASSUMPTIONS!$F$60), $F30 * BF47 * ((ASSUMPTIONS!$F$63 * $I16) + (ASSUMPTIONS!$F$64 * $F16)), 
AND(BF$36 = $G$18, BF$36 =ASSUMPTIONS!$G$60), $G30 * BF47 * ((ASSUMPTIONS!$G$63 * $I16) + (ASSUMPTIONS!$G$64 * $F16)), 
AND(BF$36 = $H$18, BF$36 =ASSUMPTIONS!$H$60), $H30 * BF47 * ((ASSUMPTIONS!$H$63 * $I16) + (ASSUMPTIONS!$H$64 * $F16)), 
TRUE, $I30 *BF47 * ((ASSUMPTIONS!$I$63 * $I16) + (ASSUMPTIONS!$I$64 * $F16))
)</f>
        <v>19840199.12</v>
      </c>
      <c r="BG57" s="153">
        <f t="array" ref="BG57">IFS(AND(BG$36 = $E$18, BG$36 =ASSUMPTIONS!$E$60), $E30 * BG47 * ((ASSUMPTIONS!$E$63 * $I16) + (ASSUMPTIONS!$E$64 * $F16)), 
AND(BG$36 = $F$18, BG$36 =ASSUMPTIONS!$F$60), $F30 * BG47 * ((ASSUMPTIONS!$F$63 * $I16) + (ASSUMPTIONS!$F$64 * $F16)), 
AND(BG$36 = $G$18, BG$36 =ASSUMPTIONS!$G$60), $G30 * BG47 * ((ASSUMPTIONS!$G$63 * $I16) + (ASSUMPTIONS!$G$64 * $F16)), 
AND(BG$36 = $H$18, BG$36 =ASSUMPTIONS!$H$60), $H30 * BG47 * ((ASSUMPTIONS!$H$63 * $I16) + (ASSUMPTIONS!$H$64 * $F16)), 
TRUE, $I30 *BG47 * ((ASSUMPTIONS!$I$63 * $I16) + (ASSUMPTIONS!$I$64 * $F16))
)</f>
        <v>19840199.12</v>
      </c>
      <c r="BH57" s="153">
        <f t="array" ref="BH57">IFS(AND(BH$36 = $E$18, BH$36 =ASSUMPTIONS!$E$60), $E30 * BH47 * ((ASSUMPTIONS!$E$63 * $I16) + (ASSUMPTIONS!$E$64 * $F16)), 
AND(BH$36 = $F$18, BH$36 =ASSUMPTIONS!$F$60), $F30 * BH47 * ((ASSUMPTIONS!$F$63 * $I16) + (ASSUMPTIONS!$F$64 * $F16)), 
AND(BH$36 = $G$18, BH$36 =ASSUMPTIONS!$G$60), $G30 * BH47 * ((ASSUMPTIONS!$G$63 * $I16) + (ASSUMPTIONS!$G$64 * $F16)), 
AND(BH$36 = $H$18, BH$36 =ASSUMPTIONS!$H$60), $H30 * BH47 * ((ASSUMPTIONS!$H$63 * $I16) + (ASSUMPTIONS!$H$64 * $F16)), 
TRUE, $I30 *BH47 * ((ASSUMPTIONS!$I$63 * $I16) + (ASSUMPTIONS!$I$64 * $F16))
)</f>
        <v>19840199.12</v>
      </c>
      <c r="BI57" s="153">
        <f t="array" ref="BI57">IFS(AND(BI$36 = $E$18, BI$36 =ASSUMPTIONS!$E$60), $E30 * BI47 * ((ASSUMPTIONS!$E$63 * $I16) + (ASSUMPTIONS!$E$64 * $F16)), 
AND(BI$36 = $F$18, BI$36 =ASSUMPTIONS!$F$60), $F30 * BI47 * ((ASSUMPTIONS!$F$63 * $I16) + (ASSUMPTIONS!$F$64 * $F16)), 
AND(BI$36 = $G$18, BI$36 =ASSUMPTIONS!$G$60), $G30 * BI47 * ((ASSUMPTIONS!$G$63 * $I16) + (ASSUMPTIONS!$G$64 * $F16)), 
AND(BI$36 = $H$18, BI$36 =ASSUMPTIONS!$H$60), $H30 * BI47 * ((ASSUMPTIONS!$H$63 * $I16) + (ASSUMPTIONS!$H$64 * $F16)), 
TRUE, $I30 *BI47 * ((ASSUMPTIONS!$I$63 * $I16) + (ASSUMPTIONS!$I$64 * $F16))
)</f>
        <v>19840199.12</v>
      </c>
      <c r="BJ57" s="153">
        <f t="array" ref="BJ57">IFS(AND(BJ$36 = $E$18, BJ$36 =ASSUMPTIONS!$E$60), $E30 * BJ47 * ((ASSUMPTIONS!$E$63 * $I16) + (ASSUMPTIONS!$E$64 * $F16)), 
AND(BJ$36 = $F$18, BJ$36 =ASSUMPTIONS!$F$60), $F30 * BJ47 * ((ASSUMPTIONS!$F$63 * $I16) + (ASSUMPTIONS!$F$64 * $F16)), 
AND(BJ$36 = $G$18, BJ$36 =ASSUMPTIONS!$G$60), $G30 * BJ47 * ((ASSUMPTIONS!$G$63 * $I16) + (ASSUMPTIONS!$G$64 * $F16)), 
AND(BJ$36 = $H$18, BJ$36 =ASSUMPTIONS!$H$60), $H30 * BJ47 * ((ASSUMPTIONS!$H$63 * $I16) + (ASSUMPTIONS!$H$64 * $F16)), 
TRUE, $I30 *BJ47 * ((ASSUMPTIONS!$I$63 * $I16) + (ASSUMPTIONS!$I$64 * $F16))
)</f>
        <v>19840199.12</v>
      </c>
      <c r="BK57" s="153">
        <f t="array" ref="BK57">IFS(AND(BK$36 = $E$18, BK$36 =ASSUMPTIONS!$E$60), $E30 * BK47 * ((ASSUMPTIONS!$E$63 * $I16) + (ASSUMPTIONS!$E$64 * $F16)), 
AND(BK$36 = $F$18, BK$36 =ASSUMPTIONS!$F$60), $F30 * BK47 * ((ASSUMPTIONS!$F$63 * $I16) + (ASSUMPTIONS!$F$64 * $F16)), 
AND(BK$36 = $G$18, BK$36 =ASSUMPTIONS!$G$60), $G30 * BK47 * ((ASSUMPTIONS!$G$63 * $I16) + (ASSUMPTIONS!$G$64 * $F16)), 
AND(BK$36 = $H$18, BK$36 =ASSUMPTIONS!$H$60), $H30 * BK47 * ((ASSUMPTIONS!$H$63 * $I16) + (ASSUMPTIONS!$H$64 * $F16)), 
TRUE, $I30 *BK47 * ((ASSUMPTIONS!$I$63 * $I16) + (ASSUMPTIONS!$I$64 * $F16))
)</f>
        <v>19840199.12</v>
      </c>
      <c r="BL57" s="153">
        <f t="array" ref="BL57">IFS(AND(BL$36 = $E$18, BL$36 =ASSUMPTIONS!$E$60), $E30 * BL47 * ((ASSUMPTIONS!$E$63 * $I16) + (ASSUMPTIONS!$E$64 * $F16)), 
AND(BL$36 = $F$18, BL$36 =ASSUMPTIONS!$F$60), $F30 * BL47 * ((ASSUMPTIONS!$F$63 * $I16) + (ASSUMPTIONS!$F$64 * $F16)), 
AND(BL$36 = $G$18, BL$36 =ASSUMPTIONS!$G$60), $G30 * BL47 * ((ASSUMPTIONS!$G$63 * $I16) + (ASSUMPTIONS!$G$64 * $F16)), 
AND(BL$36 = $H$18, BL$36 =ASSUMPTIONS!$H$60), $H30 * BL47 * ((ASSUMPTIONS!$H$63 * $I16) + (ASSUMPTIONS!$H$64 * $F16)), 
TRUE, $I30 *BL47 * ((ASSUMPTIONS!$I$63 * $I16) + (ASSUMPTIONS!$I$64 * $F16))
)</f>
        <v>19840199.12</v>
      </c>
    </row>
    <row r="58" ht="15.75" customHeight="1">
      <c r="D58" s="85" t="s">
        <v>155</v>
      </c>
      <c r="E58" s="154">
        <f t="shared" ref="E58:BL58" si="5">SUM(E49:E57)</f>
        <v>0</v>
      </c>
      <c r="F58" s="154">
        <f t="shared" si="5"/>
        <v>0</v>
      </c>
      <c r="G58" s="154">
        <f t="shared" si="5"/>
        <v>0</v>
      </c>
      <c r="H58" s="154">
        <f t="shared" si="5"/>
        <v>0</v>
      </c>
      <c r="I58" s="154">
        <f t="shared" si="5"/>
        <v>2387024.64</v>
      </c>
      <c r="J58" s="154">
        <f t="shared" si="5"/>
        <v>4774049.28</v>
      </c>
      <c r="K58" s="154">
        <f t="shared" si="5"/>
        <v>19546446.24</v>
      </c>
      <c r="L58" s="154">
        <f t="shared" si="5"/>
        <v>21933470.88</v>
      </c>
      <c r="M58" s="154">
        <f t="shared" si="5"/>
        <v>24320495.52</v>
      </c>
      <c r="N58" s="154">
        <f t="shared" si="5"/>
        <v>26707520.16</v>
      </c>
      <c r="O58" s="154">
        <f t="shared" si="5"/>
        <v>29094544.8</v>
      </c>
      <c r="P58" s="154">
        <f t="shared" si="5"/>
        <v>31481569.44</v>
      </c>
      <c r="Q58" s="154">
        <f t="shared" si="5"/>
        <v>35733958.65</v>
      </c>
      <c r="R58" s="154">
        <f t="shared" si="5"/>
        <v>38228735.46</v>
      </c>
      <c r="S58" s="154">
        <f t="shared" si="5"/>
        <v>40723512.27</v>
      </c>
      <c r="T58" s="154">
        <f t="shared" si="5"/>
        <v>43218289.08</v>
      </c>
      <c r="U58" s="154">
        <f t="shared" si="5"/>
        <v>45713065.89</v>
      </c>
      <c r="V58" s="154">
        <f t="shared" si="5"/>
        <v>48207842.7</v>
      </c>
      <c r="W58" s="154">
        <f t="shared" si="5"/>
        <v>50702619.51</v>
      </c>
      <c r="X58" s="154">
        <f t="shared" si="5"/>
        <v>53197396.32</v>
      </c>
      <c r="Y58" s="154">
        <f t="shared" si="5"/>
        <v>55692173.13</v>
      </c>
      <c r="Z58" s="154">
        <f t="shared" si="5"/>
        <v>58186949.94</v>
      </c>
      <c r="AA58" s="154">
        <f t="shared" si="5"/>
        <v>60681726.75</v>
      </c>
      <c r="AB58" s="154">
        <f t="shared" si="5"/>
        <v>63176503.56</v>
      </c>
      <c r="AC58" s="154">
        <f t="shared" si="5"/>
        <v>84481806.73</v>
      </c>
      <c r="AD58" s="154">
        <f t="shared" si="5"/>
        <v>87125878.2</v>
      </c>
      <c r="AE58" s="154">
        <f t="shared" si="5"/>
        <v>89769949.66</v>
      </c>
      <c r="AF58" s="154">
        <f t="shared" si="5"/>
        <v>92414021.12</v>
      </c>
      <c r="AG58" s="154">
        <f t="shared" si="5"/>
        <v>95058092.58</v>
      </c>
      <c r="AH58" s="154">
        <f t="shared" si="5"/>
        <v>97702164.05</v>
      </c>
      <c r="AI58" s="154">
        <f t="shared" si="5"/>
        <v>100346235.5</v>
      </c>
      <c r="AJ58" s="154">
        <f t="shared" si="5"/>
        <v>102990307</v>
      </c>
      <c r="AK58" s="154">
        <f t="shared" si="5"/>
        <v>105634378.4</v>
      </c>
      <c r="AL58" s="154">
        <f t="shared" si="5"/>
        <v>108278449.9</v>
      </c>
      <c r="AM58" s="154">
        <f t="shared" si="5"/>
        <v>110922521.4</v>
      </c>
      <c r="AN58" s="154">
        <f t="shared" si="5"/>
        <v>113566592.8</v>
      </c>
      <c r="AO58" s="154">
        <f t="shared" si="5"/>
        <v>192598814.2</v>
      </c>
      <c r="AP58" s="154">
        <f t="shared" si="5"/>
        <v>200999049.7</v>
      </c>
      <c r="AQ58" s="154">
        <f t="shared" si="5"/>
        <v>209399285.2</v>
      </c>
      <c r="AR58" s="154">
        <f t="shared" si="5"/>
        <v>217799520.7</v>
      </c>
      <c r="AS58" s="154">
        <f t="shared" si="5"/>
        <v>226199756.2</v>
      </c>
      <c r="AT58" s="154">
        <f t="shared" si="5"/>
        <v>234599991.6</v>
      </c>
      <c r="AU58" s="154">
        <f t="shared" si="5"/>
        <v>243000227.1</v>
      </c>
      <c r="AV58" s="154">
        <f t="shared" si="5"/>
        <v>251400462.6</v>
      </c>
      <c r="AW58" s="154">
        <f t="shared" si="5"/>
        <v>251400462.6</v>
      </c>
      <c r="AX58" s="154">
        <f t="shared" si="5"/>
        <v>251400462.6</v>
      </c>
      <c r="AY58" s="154">
        <f t="shared" si="5"/>
        <v>251400462.6</v>
      </c>
      <c r="AZ58" s="154">
        <f t="shared" si="5"/>
        <v>251400462.6</v>
      </c>
      <c r="BA58" s="154">
        <f t="shared" si="5"/>
        <v>280285017.3</v>
      </c>
      <c r="BB58" s="154">
        <f t="shared" si="5"/>
        <v>280285017.3</v>
      </c>
      <c r="BC58" s="154">
        <f t="shared" si="5"/>
        <v>280285017.3</v>
      </c>
      <c r="BD58" s="154">
        <f t="shared" si="5"/>
        <v>280285017.3</v>
      </c>
      <c r="BE58" s="154">
        <f t="shared" si="5"/>
        <v>280285017.3</v>
      </c>
      <c r="BF58" s="154">
        <f t="shared" si="5"/>
        <v>280285017.3</v>
      </c>
      <c r="BG58" s="154">
        <f t="shared" si="5"/>
        <v>280285017.3</v>
      </c>
      <c r="BH58" s="154">
        <f t="shared" si="5"/>
        <v>280285017.3</v>
      </c>
      <c r="BI58" s="154">
        <f t="shared" si="5"/>
        <v>280285017.3</v>
      </c>
      <c r="BJ58" s="154">
        <f t="shared" si="5"/>
        <v>280285017.3</v>
      </c>
      <c r="BK58" s="154">
        <f t="shared" si="5"/>
        <v>280285017.3</v>
      </c>
      <c r="BL58" s="155">
        <f t="shared" si="5"/>
        <v>280285017.3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33:D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88"/>
    <col customWidth="1" min="4" max="4" width="25.63"/>
    <col customWidth="1" min="5" max="8" width="12.88"/>
    <col customWidth="1" min="9" max="10" width="14.5"/>
    <col customWidth="1" min="11" max="64" width="15.5"/>
  </cols>
  <sheetData>
    <row r="1">
      <c r="A1" s="111" t="str">
        <f>COVER!$B$12</f>
        <v>Narayan Dairy Project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ht="15.75" customHeight="1">
      <c r="A2" s="112" t="s">
        <v>156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64"/>
      <c r="L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4" ht="15.75" customHeight="1">
      <c r="D4" s="130" t="s">
        <v>150</v>
      </c>
      <c r="E4" s="131">
        <v>1.0</v>
      </c>
      <c r="F4" s="131">
        <v>2.0</v>
      </c>
      <c r="G4" s="131">
        <v>3.0</v>
      </c>
      <c r="H4" s="131">
        <v>4.0</v>
      </c>
      <c r="I4" s="132">
        <v>5.0</v>
      </c>
    </row>
    <row r="5" ht="1.5" customHeight="1">
      <c r="D5" s="133"/>
      <c r="E5" s="134"/>
      <c r="F5" s="134"/>
      <c r="G5" s="134"/>
      <c r="H5" s="134"/>
      <c r="I5" s="135"/>
    </row>
    <row r="6" ht="1.5" customHeight="1">
      <c r="D6" s="136"/>
      <c r="E6" s="137"/>
      <c r="F6" s="137"/>
      <c r="G6" s="137"/>
      <c r="H6" s="137"/>
      <c r="I6" s="138"/>
    </row>
    <row r="7" ht="15.75" customHeight="1">
      <c r="D7" s="29" t="s">
        <v>157</v>
      </c>
      <c r="I7" s="31"/>
    </row>
    <row r="8" ht="15.75" customHeight="1">
      <c r="D8" s="35" t="s">
        <v>58</v>
      </c>
      <c r="E8" s="30">
        <f t="shared" ref="E8:E10" si="1">1</f>
        <v>1</v>
      </c>
      <c r="F8" s="30">
        <f>E8 * (1 + ASSUMPTIONS!$H$36)</f>
        <v>1.04</v>
      </c>
      <c r="G8" s="30">
        <f>F8 * (1 + ASSUMPTIONS!$H$36)</f>
        <v>1.0816</v>
      </c>
      <c r="H8" s="30">
        <f>G8 * (1 + ASSUMPTIONS!$H$36)</f>
        <v>1.124864</v>
      </c>
      <c r="I8" s="31">
        <f>H8 * (1 + ASSUMPTIONS!$H$36)</f>
        <v>1.16985856</v>
      </c>
    </row>
    <row r="9" ht="15.75" customHeight="1">
      <c r="D9" s="35" t="s">
        <v>60</v>
      </c>
      <c r="E9" s="30">
        <f t="shared" si="1"/>
        <v>1</v>
      </c>
      <c r="F9" s="30">
        <f>E9 * (1 + ASSUMPTIONS!$H$38)</f>
        <v>1.06</v>
      </c>
      <c r="G9" s="30">
        <f>F9 * (1 + ASSUMPTIONS!$H$38)</f>
        <v>1.1236</v>
      </c>
      <c r="H9" s="30">
        <f>G9 * (1 + ASSUMPTIONS!$H$38)</f>
        <v>1.191016</v>
      </c>
      <c r="I9" s="31">
        <f>H9 * (1 + ASSUMPTIONS!$H$38)</f>
        <v>1.26247696</v>
      </c>
    </row>
    <row r="10" ht="15.75" customHeight="1">
      <c r="D10" s="85" t="s">
        <v>62</v>
      </c>
      <c r="E10" s="48">
        <f t="shared" si="1"/>
        <v>1</v>
      </c>
      <c r="F10" s="48">
        <f>E10 * (1 + ASSUMPTIONS!$H$40)</f>
        <v>1.05</v>
      </c>
      <c r="G10" s="48">
        <f>F10 * (1 + ASSUMPTIONS!$H$40)</f>
        <v>1.1025</v>
      </c>
      <c r="H10" s="48">
        <f>G10 * (1 + ASSUMPTIONS!$H$40)</f>
        <v>1.157625</v>
      </c>
      <c r="I10" s="144">
        <f>H10 * (1 + ASSUMPTIONS!$H$40)</f>
        <v>1.21550625</v>
      </c>
    </row>
    <row r="11" ht="15.75" customHeight="1"/>
    <row r="12" ht="15.75" customHeight="1">
      <c r="D12" s="145" t="s">
        <v>152</v>
      </c>
      <c r="E12" s="146">
        <v>1.0</v>
      </c>
      <c r="F12" s="146">
        <f t="shared" ref="F12:BL12" si="2">E12+1</f>
        <v>2</v>
      </c>
      <c r="G12" s="146">
        <f t="shared" si="2"/>
        <v>3</v>
      </c>
      <c r="H12" s="146">
        <f t="shared" si="2"/>
        <v>4</v>
      </c>
      <c r="I12" s="146">
        <f t="shared" si="2"/>
        <v>5</v>
      </c>
      <c r="J12" s="146">
        <f t="shared" si="2"/>
        <v>6</v>
      </c>
      <c r="K12" s="146">
        <f t="shared" si="2"/>
        <v>7</v>
      </c>
      <c r="L12" s="146">
        <f t="shared" si="2"/>
        <v>8</v>
      </c>
      <c r="M12" s="146">
        <f t="shared" si="2"/>
        <v>9</v>
      </c>
      <c r="N12" s="146">
        <f t="shared" si="2"/>
        <v>10</v>
      </c>
      <c r="O12" s="146">
        <f t="shared" si="2"/>
        <v>11</v>
      </c>
      <c r="P12" s="146">
        <f t="shared" si="2"/>
        <v>12</v>
      </c>
      <c r="Q12" s="146">
        <f t="shared" si="2"/>
        <v>13</v>
      </c>
      <c r="R12" s="146">
        <f t="shared" si="2"/>
        <v>14</v>
      </c>
      <c r="S12" s="146">
        <f t="shared" si="2"/>
        <v>15</v>
      </c>
      <c r="T12" s="146">
        <f t="shared" si="2"/>
        <v>16</v>
      </c>
      <c r="U12" s="146">
        <f t="shared" si="2"/>
        <v>17</v>
      </c>
      <c r="V12" s="146">
        <f t="shared" si="2"/>
        <v>18</v>
      </c>
      <c r="W12" s="146">
        <f t="shared" si="2"/>
        <v>19</v>
      </c>
      <c r="X12" s="146">
        <f t="shared" si="2"/>
        <v>20</v>
      </c>
      <c r="Y12" s="146">
        <f t="shared" si="2"/>
        <v>21</v>
      </c>
      <c r="Z12" s="146">
        <f t="shared" si="2"/>
        <v>22</v>
      </c>
      <c r="AA12" s="146">
        <f t="shared" si="2"/>
        <v>23</v>
      </c>
      <c r="AB12" s="146">
        <f t="shared" si="2"/>
        <v>24</v>
      </c>
      <c r="AC12" s="146">
        <f t="shared" si="2"/>
        <v>25</v>
      </c>
      <c r="AD12" s="146">
        <f t="shared" si="2"/>
        <v>26</v>
      </c>
      <c r="AE12" s="146">
        <f t="shared" si="2"/>
        <v>27</v>
      </c>
      <c r="AF12" s="146">
        <f t="shared" si="2"/>
        <v>28</v>
      </c>
      <c r="AG12" s="146">
        <f t="shared" si="2"/>
        <v>29</v>
      </c>
      <c r="AH12" s="146">
        <f t="shared" si="2"/>
        <v>30</v>
      </c>
      <c r="AI12" s="146">
        <f t="shared" si="2"/>
        <v>31</v>
      </c>
      <c r="AJ12" s="146">
        <f t="shared" si="2"/>
        <v>32</v>
      </c>
      <c r="AK12" s="146">
        <f t="shared" si="2"/>
        <v>33</v>
      </c>
      <c r="AL12" s="146">
        <f t="shared" si="2"/>
        <v>34</v>
      </c>
      <c r="AM12" s="146">
        <f t="shared" si="2"/>
        <v>35</v>
      </c>
      <c r="AN12" s="146">
        <f t="shared" si="2"/>
        <v>36</v>
      </c>
      <c r="AO12" s="146">
        <f t="shared" si="2"/>
        <v>37</v>
      </c>
      <c r="AP12" s="146">
        <f t="shared" si="2"/>
        <v>38</v>
      </c>
      <c r="AQ12" s="146">
        <f t="shared" si="2"/>
        <v>39</v>
      </c>
      <c r="AR12" s="146">
        <f t="shared" si="2"/>
        <v>40</v>
      </c>
      <c r="AS12" s="146">
        <f t="shared" si="2"/>
        <v>41</v>
      </c>
      <c r="AT12" s="146">
        <f t="shared" si="2"/>
        <v>42</v>
      </c>
      <c r="AU12" s="146">
        <f t="shared" si="2"/>
        <v>43</v>
      </c>
      <c r="AV12" s="146">
        <f t="shared" si="2"/>
        <v>44</v>
      </c>
      <c r="AW12" s="146">
        <f t="shared" si="2"/>
        <v>45</v>
      </c>
      <c r="AX12" s="146">
        <f t="shared" si="2"/>
        <v>46</v>
      </c>
      <c r="AY12" s="146">
        <f t="shared" si="2"/>
        <v>47</v>
      </c>
      <c r="AZ12" s="146">
        <f t="shared" si="2"/>
        <v>48</v>
      </c>
      <c r="BA12" s="146">
        <f t="shared" si="2"/>
        <v>49</v>
      </c>
      <c r="BB12" s="146">
        <f t="shared" si="2"/>
        <v>50</v>
      </c>
      <c r="BC12" s="146">
        <f t="shared" si="2"/>
        <v>51</v>
      </c>
      <c r="BD12" s="146">
        <f t="shared" si="2"/>
        <v>52</v>
      </c>
      <c r="BE12" s="146">
        <f t="shared" si="2"/>
        <v>53</v>
      </c>
      <c r="BF12" s="146">
        <f t="shared" si="2"/>
        <v>54</v>
      </c>
      <c r="BG12" s="146">
        <f t="shared" si="2"/>
        <v>55</v>
      </c>
      <c r="BH12" s="146">
        <f t="shared" si="2"/>
        <v>56</v>
      </c>
      <c r="BI12" s="146">
        <f t="shared" si="2"/>
        <v>57</v>
      </c>
      <c r="BJ12" s="146">
        <f t="shared" si="2"/>
        <v>58</v>
      </c>
      <c r="BK12" s="146">
        <f t="shared" si="2"/>
        <v>59</v>
      </c>
      <c r="BL12" s="147">
        <f t="shared" si="2"/>
        <v>60</v>
      </c>
    </row>
    <row r="13" ht="1.5" customHeight="1">
      <c r="D13" s="148"/>
      <c r="E13" s="18"/>
      <c r="F13" s="18"/>
      <c r="G13" s="18"/>
      <c r="H13" s="18"/>
      <c r="I13" s="18"/>
      <c r="J13" s="18"/>
      <c r="K13" s="18"/>
      <c r="L13" s="18"/>
      <c r="M13" s="149"/>
      <c r="N13" s="149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49"/>
      <c r="BK13" s="149"/>
      <c r="BL13" s="150"/>
    </row>
    <row r="14" ht="1.5" customHeight="1">
      <c r="D14" s="148"/>
      <c r="E14" s="24"/>
      <c r="F14" s="24"/>
      <c r="G14" s="24"/>
      <c r="H14" s="24"/>
      <c r="I14" s="24"/>
      <c r="J14" s="24"/>
      <c r="K14" s="24"/>
      <c r="L14" s="24"/>
      <c r="M14" s="151"/>
      <c r="N14" s="151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151"/>
      <c r="BK14" s="151"/>
      <c r="BL14" s="152"/>
    </row>
    <row r="15" ht="15.75" customHeight="1">
      <c r="D15" s="148"/>
      <c r="E15" s="156">
        <f t="shared" ref="E15:BL15" si="3">INT((E12 - 1) / 12) +1</f>
        <v>1</v>
      </c>
      <c r="F15" s="156">
        <f t="shared" si="3"/>
        <v>1</v>
      </c>
      <c r="G15" s="156">
        <f t="shared" si="3"/>
        <v>1</v>
      </c>
      <c r="H15" s="156">
        <f t="shared" si="3"/>
        <v>1</v>
      </c>
      <c r="I15" s="156">
        <f t="shared" si="3"/>
        <v>1</v>
      </c>
      <c r="J15" s="156">
        <f t="shared" si="3"/>
        <v>1</v>
      </c>
      <c r="K15" s="156">
        <f t="shared" si="3"/>
        <v>1</v>
      </c>
      <c r="L15" s="156">
        <f t="shared" si="3"/>
        <v>1</v>
      </c>
      <c r="M15" s="156">
        <f t="shared" si="3"/>
        <v>1</v>
      </c>
      <c r="N15" s="156">
        <f t="shared" si="3"/>
        <v>1</v>
      </c>
      <c r="O15" s="156">
        <f t="shared" si="3"/>
        <v>1</v>
      </c>
      <c r="P15" s="156">
        <f t="shared" si="3"/>
        <v>1</v>
      </c>
      <c r="Q15" s="156">
        <f t="shared" si="3"/>
        <v>2</v>
      </c>
      <c r="R15" s="156">
        <f t="shared" si="3"/>
        <v>2</v>
      </c>
      <c r="S15" s="156">
        <f t="shared" si="3"/>
        <v>2</v>
      </c>
      <c r="T15" s="156">
        <f t="shared" si="3"/>
        <v>2</v>
      </c>
      <c r="U15" s="156">
        <f t="shared" si="3"/>
        <v>2</v>
      </c>
      <c r="V15" s="156">
        <f t="shared" si="3"/>
        <v>2</v>
      </c>
      <c r="W15" s="156">
        <f t="shared" si="3"/>
        <v>2</v>
      </c>
      <c r="X15" s="156">
        <f t="shared" si="3"/>
        <v>2</v>
      </c>
      <c r="Y15" s="156">
        <f t="shared" si="3"/>
        <v>2</v>
      </c>
      <c r="Z15" s="156">
        <f t="shared" si="3"/>
        <v>2</v>
      </c>
      <c r="AA15" s="156">
        <f t="shared" si="3"/>
        <v>2</v>
      </c>
      <c r="AB15" s="156">
        <f t="shared" si="3"/>
        <v>2</v>
      </c>
      <c r="AC15" s="156">
        <f t="shared" si="3"/>
        <v>3</v>
      </c>
      <c r="AD15" s="156">
        <f t="shared" si="3"/>
        <v>3</v>
      </c>
      <c r="AE15" s="156">
        <f t="shared" si="3"/>
        <v>3</v>
      </c>
      <c r="AF15" s="156">
        <f t="shared" si="3"/>
        <v>3</v>
      </c>
      <c r="AG15" s="156">
        <f t="shared" si="3"/>
        <v>3</v>
      </c>
      <c r="AH15" s="156">
        <f t="shared" si="3"/>
        <v>3</v>
      </c>
      <c r="AI15" s="156">
        <f t="shared" si="3"/>
        <v>3</v>
      </c>
      <c r="AJ15" s="156">
        <f t="shared" si="3"/>
        <v>3</v>
      </c>
      <c r="AK15" s="156">
        <f t="shared" si="3"/>
        <v>3</v>
      </c>
      <c r="AL15" s="156">
        <f t="shared" si="3"/>
        <v>3</v>
      </c>
      <c r="AM15" s="156">
        <f t="shared" si="3"/>
        <v>3</v>
      </c>
      <c r="AN15" s="156">
        <f t="shared" si="3"/>
        <v>3</v>
      </c>
      <c r="AO15" s="156">
        <f t="shared" si="3"/>
        <v>4</v>
      </c>
      <c r="AP15" s="156">
        <f t="shared" si="3"/>
        <v>4</v>
      </c>
      <c r="AQ15" s="156">
        <f t="shared" si="3"/>
        <v>4</v>
      </c>
      <c r="AR15" s="156">
        <f t="shared" si="3"/>
        <v>4</v>
      </c>
      <c r="AS15" s="156">
        <f t="shared" si="3"/>
        <v>4</v>
      </c>
      <c r="AT15" s="156">
        <f t="shared" si="3"/>
        <v>4</v>
      </c>
      <c r="AU15" s="156">
        <f t="shared" si="3"/>
        <v>4</v>
      </c>
      <c r="AV15" s="156">
        <f t="shared" si="3"/>
        <v>4</v>
      </c>
      <c r="AW15" s="156">
        <f t="shared" si="3"/>
        <v>4</v>
      </c>
      <c r="AX15" s="156">
        <f t="shared" si="3"/>
        <v>4</v>
      </c>
      <c r="AY15" s="156">
        <f t="shared" si="3"/>
        <v>4</v>
      </c>
      <c r="AZ15" s="156">
        <f t="shared" si="3"/>
        <v>4</v>
      </c>
      <c r="BA15" s="156">
        <f t="shared" si="3"/>
        <v>5</v>
      </c>
      <c r="BB15" s="156">
        <f t="shared" si="3"/>
        <v>5</v>
      </c>
      <c r="BC15" s="156">
        <f t="shared" si="3"/>
        <v>5</v>
      </c>
      <c r="BD15" s="156">
        <f t="shared" si="3"/>
        <v>5</v>
      </c>
      <c r="BE15" s="156">
        <f t="shared" si="3"/>
        <v>5</v>
      </c>
      <c r="BF15" s="156">
        <f t="shared" si="3"/>
        <v>5</v>
      </c>
      <c r="BG15" s="156">
        <f t="shared" si="3"/>
        <v>5</v>
      </c>
      <c r="BH15" s="156">
        <f t="shared" si="3"/>
        <v>5</v>
      </c>
      <c r="BI15" s="156">
        <f t="shared" si="3"/>
        <v>5</v>
      </c>
      <c r="BJ15" s="156">
        <f t="shared" si="3"/>
        <v>5</v>
      </c>
      <c r="BK15" s="156">
        <f t="shared" si="3"/>
        <v>5</v>
      </c>
      <c r="BL15" s="157">
        <f t="shared" si="3"/>
        <v>5</v>
      </c>
    </row>
    <row r="16" ht="1.5" customHeight="1"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9"/>
    </row>
    <row r="17" ht="15.75" customHeight="1">
      <c r="D17" s="29" t="s">
        <v>158</v>
      </c>
      <c r="BL17" s="31"/>
    </row>
    <row r="18" ht="15.75" customHeight="1">
      <c r="D18" s="57" t="s">
        <v>159</v>
      </c>
      <c r="E18" s="64">
        <f>'MILK FLOW ENGINE'!E$8</f>
        <v>0</v>
      </c>
      <c r="F18" s="64">
        <f>'MILK FLOW ENGINE'!F$8</f>
        <v>0</v>
      </c>
      <c r="G18" s="64">
        <f>'MILK FLOW ENGINE'!G$8</f>
        <v>0</v>
      </c>
      <c r="H18" s="64">
        <f>'MILK FLOW ENGINE'!H$8</f>
        <v>0</v>
      </c>
      <c r="I18" s="64">
        <f>'MILK FLOW ENGINE'!I$8</f>
        <v>50</v>
      </c>
      <c r="J18" s="64">
        <f>'MILK FLOW ENGINE'!J$8</f>
        <v>100</v>
      </c>
      <c r="K18" s="64">
        <f>'MILK FLOW ENGINE'!K$8</f>
        <v>150</v>
      </c>
      <c r="L18" s="64">
        <f>'MILK FLOW ENGINE'!L$8</f>
        <v>200</v>
      </c>
      <c r="M18" s="64">
        <f>'MILK FLOW ENGINE'!M$8</f>
        <v>250</v>
      </c>
      <c r="N18" s="64">
        <f>'MILK FLOW ENGINE'!N$8</f>
        <v>300</v>
      </c>
      <c r="O18" s="64">
        <f>'MILK FLOW ENGINE'!O$8</f>
        <v>350</v>
      </c>
      <c r="P18" s="64">
        <f>'MILK FLOW ENGINE'!P$8</f>
        <v>400</v>
      </c>
      <c r="Q18" s="64">
        <f>'MILK FLOW ENGINE'!Q$8</f>
        <v>450</v>
      </c>
      <c r="R18" s="64">
        <f>'MILK FLOW ENGINE'!R$8</f>
        <v>500</v>
      </c>
      <c r="S18" s="64">
        <f>'MILK FLOW ENGINE'!S$8</f>
        <v>550</v>
      </c>
      <c r="T18" s="64">
        <f>'MILK FLOW ENGINE'!T$8</f>
        <v>600</v>
      </c>
      <c r="U18" s="64">
        <f>'MILK FLOW ENGINE'!U$8</f>
        <v>650</v>
      </c>
      <c r="V18" s="64">
        <f>'MILK FLOW ENGINE'!V$8</f>
        <v>700</v>
      </c>
      <c r="W18" s="64">
        <f>'MILK FLOW ENGINE'!W$8</f>
        <v>750</v>
      </c>
      <c r="X18" s="64">
        <f>'MILK FLOW ENGINE'!X$8</f>
        <v>800</v>
      </c>
      <c r="Y18" s="64">
        <f>'MILK FLOW ENGINE'!Y$8</f>
        <v>850</v>
      </c>
      <c r="Z18" s="64">
        <f>'MILK FLOW ENGINE'!Z$8</f>
        <v>900</v>
      </c>
      <c r="AA18" s="64">
        <f>'MILK FLOW ENGINE'!AA$8</f>
        <v>950</v>
      </c>
      <c r="AB18" s="64">
        <f>'MILK FLOW ENGINE'!AB$8</f>
        <v>1000</v>
      </c>
      <c r="AC18" s="64">
        <f>'MILK FLOW ENGINE'!AC$8</f>
        <v>1050</v>
      </c>
      <c r="AD18" s="64">
        <f>'MILK FLOW ENGINE'!AD$8</f>
        <v>1100</v>
      </c>
      <c r="AE18" s="64">
        <f>'MILK FLOW ENGINE'!AE$8</f>
        <v>1150</v>
      </c>
      <c r="AF18" s="64">
        <f>'MILK FLOW ENGINE'!AF$8</f>
        <v>1200</v>
      </c>
      <c r="AG18" s="64">
        <f>'MILK FLOW ENGINE'!AG$8</f>
        <v>1250</v>
      </c>
      <c r="AH18" s="64">
        <f>'MILK FLOW ENGINE'!AH$8</f>
        <v>1300</v>
      </c>
      <c r="AI18" s="64">
        <f>'MILK FLOW ENGINE'!AI$8</f>
        <v>1350</v>
      </c>
      <c r="AJ18" s="64">
        <f>'MILK FLOW ENGINE'!AJ$8</f>
        <v>1400</v>
      </c>
      <c r="AK18" s="64">
        <f>'MILK FLOW ENGINE'!AK$8</f>
        <v>1450</v>
      </c>
      <c r="AL18" s="64">
        <f>'MILK FLOW ENGINE'!AL$8</f>
        <v>1500</v>
      </c>
      <c r="AM18" s="64">
        <f>'MILK FLOW ENGINE'!AM$8</f>
        <v>1550</v>
      </c>
      <c r="AN18" s="64">
        <f>'MILK FLOW ENGINE'!AN$8</f>
        <v>1600</v>
      </c>
      <c r="AO18" s="64">
        <f>'MILK FLOW ENGINE'!AO$8</f>
        <v>1750</v>
      </c>
      <c r="AP18" s="64">
        <f>'MILK FLOW ENGINE'!AP$8</f>
        <v>1900</v>
      </c>
      <c r="AQ18" s="64">
        <f>'MILK FLOW ENGINE'!AQ$8</f>
        <v>2050</v>
      </c>
      <c r="AR18" s="64">
        <f>'MILK FLOW ENGINE'!AR$8</f>
        <v>2200</v>
      </c>
      <c r="AS18" s="64">
        <f>'MILK FLOW ENGINE'!AS$8</f>
        <v>2350</v>
      </c>
      <c r="AT18" s="64">
        <f>'MILK FLOW ENGINE'!AT$8</f>
        <v>2500</v>
      </c>
      <c r="AU18" s="64">
        <f>'MILK FLOW ENGINE'!AU$8</f>
        <v>2650</v>
      </c>
      <c r="AV18" s="64">
        <f>'MILK FLOW ENGINE'!AV$8</f>
        <v>2800</v>
      </c>
      <c r="AW18" s="64">
        <f>'MILK FLOW ENGINE'!AW$8</f>
        <v>2800</v>
      </c>
      <c r="AX18" s="64">
        <f>'MILK FLOW ENGINE'!AX$8</f>
        <v>2800</v>
      </c>
      <c r="AY18" s="64">
        <f>'MILK FLOW ENGINE'!AY$8</f>
        <v>2800</v>
      </c>
      <c r="AZ18" s="64">
        <f>'MILK FLOW ENGINE'!AZ$8</f>
        <v>2800</v>
      </c>
      <c r="BA18" s="64">
        <f>'MILK FLOW ENGINE'!BA$8</f>
        <v>2800</v>
      </c>
      <c r="BB18" s="64">
        <f>'MILK FLOW ENGINE'!BB$8</f>
        <v>2800</v>
      </c>
      <c r="BC18" s="64">
        <f>'MILK FLOW ENGINE'!BC$8</f>
        <v>2800</v>
      </c>
      <c r="BD18" s="64">
        <f>'MILK FLOW ENGINE'!BD$8</f>
        <v>2800</v>
      </c>
      <c r="BE18" s="64">
        <f>'MILK FLOW ENGINE'!BE$8</f>
        <v>2800</v>
      </c>
      <c r="BF18" s="64">
        <f>'MILK FLOW ENGINE'!BF$8</f>
        <v>2800</v>
      </c>
      <c r="BG18" s="64">
        <f>'MILK FLOW ENGINE'!BG$8</f>
        <v>2800</v>
      </c>
      <c r="BH18" s="64">
        <f>'MILK FLOW ENGINE'!BH$8</f>
        <v>2800</v>
      </c>
      <c r="BI18" s="64">
        <f>'MILK FLOW ENGINE'!BI$8</f>
        <v>2800</v>
      </c>
      <c r="BJ18" s="64">
        <f>'MILK FLOW ENGINE'!BJ$8</f>
        <v>2800</v>
      </c>
      <c r="BK18" s="64">
        <f>'MILK FLOW ENGINE'!BK$8</f>
        <v>2800</v>
      </c>
      <c r="BL18" s="65">
        <f>'MILK FLOW ENGINE'!BL$8</f>
        <v>2800</v>
      </c>
    </row>
    <row r="19" ht="15.75" customHeight="1">
      <c r="D19" s="57" t="s">
        <v>160</v>
      </c>
      <c r="E19" s="64">
        <f>'MILK FLOW ENGINE'!E10</f>
        <v>0</v>
      </c>
      <c r="F19" s="64">
        <f>'MILK FLOW ENGINE'!F10</f>
        <v>0</v>
      </c>
      <c r="G19" s="64">
        <f>'MILK FLOW ENGINE'!G10</f>
        <v>0</v>
      </c>
      <c r="H19" s="64">
        <f>'MILK FLOW ENGINE'!H10</f>
        <v>0</v>
      </c>
      <c r="I19" s="64">
        <f>'MILK FLOW ENGINE'!I10</f>
        <v>48000</v>
      </c>
      <c r="J19" s="64">
        <f>'MILK FLOW ENGINE'!J10</f>
        <v>96000</v>
      </c>
      <c r="K19" s="64">
        <f>'MILK FLOW ENGINE'!K10</f>
        <v>144000</v>
      </c>
      <c r="L19" s="64">
        <f>'MILK FLOW ENGINE'!L10</f>
        <v>192000</v>
      </c>
      <c r="M19" s="64">
        <f>'MILK FLOW ENGINE'!M10</f>
        <v>240000</v>
      </c>
      <c r="N19" s="64">
        <f>'MILK FLOW ENGINE'!N10</f>
        <v>288000</v>
      </c>
      <c r="O19" s="64">
        <f>'MILK FLOW ENGINE'!O10</f>
        <v>336000</v>
      </c>
      <c r="P19" s="64">
        <f>'MILK FLOW ENGINE'!P10</f>
        <v>384000</v>
      </c>
      <c r="Q19" s="64">
        <f>'MILK FLOW ENGINE'!Q10</f>
        <v>432000</v>
      </c>
      <c r="R19" s="64">
        <f>'MILK FLOW ENGINE'!R10</f>
        <v>480000</v>
      </c>
      <c r="S19" s="64">
        <f>'MILK FLOW ENGINE'!S10</f>
        <v>528000</v>
      </c>
      <c r="T19" s="64">
        <f>'MILK FLOW ENGINE'!T10</f>
        <v>576000</v>
      </c>
      <c r="U19" s="64">
        <f>'MILK FLOW ENGINE'!U10</f>
        <v>624000</v>
      </c>
      <c r="V19" s="64">
        <f>'MILK FLOW ENGINE'!V10</f>
        <v>672000</v>
      </c>
      <c r="W19" s="64">
        <f>'MILK FLOW ENGINE'!W10</f>
        <v>720000</v>
      </c>
      <c r="X19" s="64">
        <f>'MILK FLOW ENGINE'!X10</f>
        <v>768000</v>
      </c>
      <c r="Y19" s="64">
        <f>'MILK FLOW ENGINE'!Y10</f>
        <v>816000</v>
      </c>
      <c r="Z19" s="64">
        <f>'MILK FLOW ENGINE'!Z10</f>
        <v>864000</v>
      </c>
      <c r="AA19" s="64">
        <f>'MILK FLOW ENGINE'!AA10</f>
        <v>912000</v>
      </c>
      <c r="AB19" s="64">
        <f>'MILK FLOW ENGINE'!AB10</f>
        <v>960000</v>
      </c>
      <c r="AC19" s="64">
        <f>'MILK FLOW ENGINE'!AC10</f>
        <v>1008000</v>
      </c>
      <c r="AD19" s="64">
        <f>'MILK FLOW ENGINE'!AD10</f>
        <v>1056000</v>
      </c>
      <c r="AE19" s="64">
        <f>'MILK FLOW ENGINE'!AE10</f>
        <v>1104000</v>
      </c>
      <c r="AF19" s="64">
        <f>'MILK FLOW ENGINE'!AF10</f>
        <v>1152000</v>
      </c>
      <c r="AG19" s="64">
        <f>'MILK FLOW ENGINE'!AG10</f>
        <v>1200000</v>
      </c>
      <c r="AH19" s="64">
        <f>'MILK FLOW ENGINE'!AH10</f>
        <v>1248000</v>
      </c>
      <c r="AI19" s="64">
        <f>'MILK FLOW ENGINE'!AI10</f>
        <v>1296000</v>
      </c>
      <c r="AJ19" s="64">
        <f>'MILK FLOW ENGINE'!AJ10</f>
        <v>1344000</v>
      </c>
      <c r="AK19" s="64">
        <f>'MILK FLOW ENGINE'!AK10</f>
        <v>1392000</v>
      </c>
      <c r="AL19" s="64">
        <f>'MILK FLOW ENGINE'!AL10</f>
        <v>1440000</v>
      </c>
      <c r="AM19" s="64">
        <f>'MILK FLOW ENGINE'!AM10</f>
        <v>1488000</v>
      </c>
      <c r="AN19" s="64">
        <f>'MILK FLOW ENGINE'!AN10</f>
        <v>1536000</v>
      </c>
      <c r="AO19" s="64">
        <f>'MILK FLOW ENGINE'!AO10</f>
        <v>1680000</v>
      </c>
      <c r="AP19" s="64">
        <f>'MILK FLOW ENGINE'!AP10</f>
        <v>1824000</v>
      </c>
      <c r="AQ19" s="64">
        <f>'MILK FLOW ENGINE'!AQ10</f>
        <v>1968000</v>
      </c>
      <c r="AR19" s="64">
        <f>'MILK FLOW ENGINE'!AR10</f>
        <v>2112000</v>
      </c>
      <c r="AS19" s="64">
        <f>'MILK FLOW ENGINE'!AS10</f>
        <v>2256000</v>
      </c>
      <c r="AT19" s="64">
        <f>'MILK FLOW ENGINE'!AT10</f>
        <v>2400000</v>
      </c>
      <c r="AU19" s="64">
        <f>'MILK FLOW ENGINE'!AU10</f>
        <v>2544000</v>
      </c>
      <c r="AV19" s="64">
        <f>'MILK FLOW ENGINE'!AV10</f>
        <v>2688000</v>
      </c>
      <c r="AW19" s="64">
        <f>'MILK FLOW ENGINE'!AW10</f>
        <v>2688000</v>
      </c>
      <c r="AX19" s="64">
        <f>'MILK FLOW ENGINE'!AX10</f>
        <v>2688000</v>
      </c>
      <c r="AY19" s="64">
        <f>'MILK FLOW ENGINE'!AY10</f>
        <v>2688000</v>
      </c>
      <c r="AZ19" s="64">
        <f>'MILK FLOW ENGINE'!AZ10</f>
        <v>2688000</v>
      </c>
      <c r="BA19" s="64">
        <f>'MILK FLOW ENGINE'!BA10</f>
        <v>2688000</v>
      </c>
      <c r="BB19" s="64">
        <f>'MILK FLOW ENGINE'!BB10</f>
        <v>2688000</v>
      </c>
      <c r="BC19" s="64">
        <f>'MILK FLOW ENGINE'!BC10</f>
        <v>2688000</v>
      </c>
      <c r="BD19" s="64">
        <f>'MILK FLOW ENGINE'!BD10</f>
        <v>2688000</v>
      </c>
      <c r="BE19" s="64">
        <f>'MILK FLOW ENGINE'!BE10</f>
        <v>2688000</v>
      </c>
      <c r="BF19" s="64">
        <f>'MILK FLOW ENGINE'!BF10</f>
        <v>2688000</v>
      </c>
      <c r="BG19" s="64">
        <f>'MILK FLOW ENGINE'!BG10</f>
        <v>2688000</v>
      </c>
      <c r="BH19" s="64">
        <f>'MILK FLOW ENGINE'!BH10</f>
        <v>2688000</v>
      </c>
      <c r="BI19" s="64">
        <f>'MILK FLOW ENGINE'!BI10</f>
        <v>2688000</v>
      </c>
      <c r="BJ19" s="64">
        <f>'MILK FLOW ENGINE'!BJ10</f>
        <v>2688000</v>
      </c>
      <c r="BK19" s="64">
        <f>'MILK FLOW ENGINE'!BK10</f>
        <v>2688000</v>
      </c>
      <c r="BL19" s="64">
        <f>'MILK FLOW ENGINE'!BL10</f>
        <v>2688000</v>
      </c>
    </row>
    <row r="20" ht="15.75" customHeight="1">
      <c r="D20" s="57" t="s">
        <v>161</v>
      </c>
      <c r="E20" s="153">
        <f>IF(E$15=$E$4, ASSUMPTIONS!$H$26 * $E$9,
IF(E$15=$F$4,  ASSUMPTIONS!$H$26 * $F$9,
IF(E$15=$G$4,  ASSUMPTIONS!$H$26 * $G$9,
IF(E$15=$H$4,  ASSUMPTIONS!$H$26 * $H$9,
IF(E$15=$I$4,  ASSUMPTIONS!$H$26 * $I$9, 0
)))))</f>
        <v>22</v>
      </c>
      <c r="F20" s="153">
        <f>IF(F$15=$E$4, ASSUMPTIONS!$H$26 * $E$9,
IF(F$15=$F$4,  ASSUMPTIONS!$H$26 * $F$9,
IF(F$15=$G$4,  ASSUMPTIONS!$H$26 * $G$9,
IF(F$15=$H$4,  ASSUMPTIONS!$H$26 * $H$9,
IF(F$15=$I$4,  ASSUMPTIONS!$H$26 * $I$9, 0
)))))</f>
        <v>22</v>
      </c>
      <c r="G20" s="153">
        <f>IF(G$15=$E$4, ASSUMPTIONS!$H$26 * $E$9,
IF(G$15=$F$4,  ASSUMPTIONS!$H$26 * $F$9,
IF(G$15=$G$4,  ASSUMPTIONS!$H$26 * $G$9,
IF(G$15=$H$4,  ASSUMPTIONS!$H$26 * $H$9,
IF(G$15=$I$4,  ASSUMPTIONS!$H$26 * $I$9, 0
)))))</f>
        <v>22</v>
      </c>
      <c r="H20" s="153">
        <f>IF(H$15=$E$4, ASSUMPTIONS!$H$26 * $E$9,
IF(H$15=$F$4,  ASSUMPTIONS!$H$26 * $F$9,
IF(H$15=$G$4,  ASSUMPTIONS!$H$26 * $G$9,
IF(H$15=$H$4,  ASSUMPTIONS!$H$26 * $H$9,
IF(H$15=$I$4,  ASSUMPTIONS!$H$26 * $I$9, 0
)))))</f>
        <v>22</v>
      </c>
      <c r="I20" s="153">
        <f>IF(I$15=$E$4, ASSUMPTIONS!$H$26 * $E$9,
IF(I$15=$F$4,  ASSUMPTIONS!$H$26 * $F$9,
IF(I$15=$G$4,  ASSUMPTIONS!$H$26 * $G$9,
IF(I$15=$H$4,  ASSUMPTIONS!$H$26 * $H$9,
IF(I$15=$I$4,  ASSUMPTIONS!$H$26 * $I$9, 0
)))))</f>
        <v>22</v>
      </c>
      <c r="J20" s="153">
        <f>IF(J$15=$E$4, ASSUMPTIONS!$H$26 * $E$9,
IF(J$15=$F$4,  ASSUMPTIONS!$H$26 * $F$9,
IF(J$15=$G$4,  ASSUMPTIONS!$H$26 * $G$9,
IF(J$15=$H$4,  ASSUMPTIONS!$H$26 * $H$9,
IF(J$15=$I$4,  ASSUMPTIONS!$H$26 * $I$9, 0
)))))</f>
        <v>22</v>
      </c>
      <c r="K20" s="153">
        <f>IF(K$15=$E$4, ASSUMPTIONS!$H$26 * $E$9,
IF(K$15=$F$4,  ASSUMPTIONS!$H$26 * $F$9,
IF(K$15=$G$4,  ASSUMPTIONS!$H$26 * $G$9,
IF(K$15=$H$4,  ASSUMPTIONS!$H$26 * $H$9,
IF(K$15=$I$4,  ASSUMPTIONS!$H$26 * $I$9, 0
)))))</f>
        <v>22</v>
      </c>
      <c r="L20" s="153">
        <f>IF(L$15=$E$4, ASSUMPTIONS!$H$26 * $E$9,
IF(L$15=$F$4,  ASSUMPTIONS!$H$26 * $F$9,
IF(L$15=$G$4,  ASSUMPTIONS!$H$26 * $G$9,
IF(L$15=$H$4,  ASSUMPTIONS!$H$26 * $H$9,
IF(L$15=$I$4,  ASSUMPTIONS!$H$26 * $I$9, 0
)))))</f>
        <v>22</v>
      </c>
      <c r="M20" s="153">
        <f>IF(M$15=$E$4, ASSUMPTIONS!$H$26 * $E$9,
IF(M$15=$F$4,  ASSUMPTIONS!$H$26 * $F$9,
IF(M$15=$G$4,  ASSUMPTIONS!$H$26 * $G$9,
IF(M$15=$H$4,  ASSUMPTIONS!$H$26 * $H$9,
IF(M$15=$I$4,  ASSUMPTIONS!$H$26 * $I$9, 0
)))))</f>
        <v>22</v>
      </c>
      <c r="N20" s="153">
        <f>IF(N$15=$E$4, ASSUMPTIONS!$H$26 * $E$9,
IF(N$15=$F$4,  ASSUMPTIONS!$H$26 * $F$9,
IF(N$15=$G$4,  ASSUMPTIONS!$H$26 * $G$9,
IF(N$15=$H$4,  ASSUMPTIONS!$H$26 * $H$9,
IF(N$15=$I$4,  ASSUMPTIONS!$H$26 * $I$9, 0
)))))</f>
        <v>22</v>
      </c>
      <c r="O20" s="153">
        <f>IF(O$15=$E$4, ASSUMPTIONS!$H$26 * $E$9,
IF(O$15=$F$4,  ASSUMPTIONS!$H$26 * $F$9,
IF(O$15=$G$4,  ASSUMPTIONS!$H$26 * $G$9,
IF(O$15=$H$4,  ASSUMPTIONS!$H$26 * $H$9,
IF(O$15=$I$4,  ASSUMPTIONS!$H$26 * $I$9, 0
)))))</f>
        <v>22</v>
      </c>
      <c r="P20" s="153">
        <f>IF(P$15=$E$4, ASSUMPTIONS!$H$26 * $E$9,
IF(P$15=$F$4,  ASSUMPTIONS!$H$26 * $F$9,
IF(P$15=$G$4,  ASSUMPTIONS!$H$26 * $G$9,
IF(P$15=$H$4,  ASSUMPTIONS!$H$26 * $H$9,
IF(P$15=$I$4,  ASSUMPTIONS!$H$26 * $I$9, 0
)))))</f>
        <v>22</v>
      </c>
      <c r="Q20" s="153">
        <f>IF(Q$15=$E$4, ASSUMPTIONS!$H$26 * $E$9,
IF(Q$15=$F$4,  ASSUMPTIONS!$H$26 * $F$9,
IF(Q$15=$G$4,  ASSUMPTIONS!$H$26 * $G$9,
IF(Q$15=$H$4,  ASSUMPTIONS!$H$26 * $H$9,
IF(Q$15=$I$4,  ASSUMPTIONS!$H$26 * $I$9, 0
)))))</f>
        <v>23.32</v>
      </c>
      <c r="R20" s="153">
        <f>IF(R$15=$E$4, ASSUMPTIONS!$H$26 * $E$9,
IF(R$15=$F$4,  ASSUMPTIONS!$H$26 * $F$9,
IF(R$15=$G$4,  ASSUMPTIONS!$H$26 * $G$9,
IF(R$15=$H$4,  ASSUMPTIONS!$H$26 * $H$9,
IF(R$15=$I$4,  ASSUMPTIONS!$H$26 * $I$9, 0
)))))</f>
        <v>23.32</v>
      </c>
      <c r="S20" s="153">
        <f>IF(S$15=$E$4, ASSUMPTIONS!$H$26 * $E$9,
IF(S$15=$F$4,  ASSUMPTIONS!$H$26 * $F$9,
IF(S$15=$G$4,  ASSUMPTIONS!$H$26 * $G$9,
IF(S$15=$H$4,  ASSUMPTIONS!$H$26 * $H$9,
IF(S$15=$I$4,  ASSUMPTIONS!$H$26 * $I$9, 0
)))))</f>
        <v>23.32</v>
      </c>
      <c r="T20" s="153">
        <f>IF(T$15=$E$4, ASSUMPTIONS!$H$26 * $E$9,
IF(T$15=$F$4,  ASSUMPTIONS!$H$26 * $F$9,
IF(T$15=$G$4,  ASSUMPTIONS!$H$26 * $G$9,
IF(T$15=$H$4,  ASSUMPTIONS!$H$26 * $H$9,
IF(T$15=$I$4,  ASSUMPTIONS!$H$26 * $I$9, 0
)))))</f>
        <v>23.32</v>
      </c>
      <c r="U20" s="153">
        <f>IF(U$15=$E$4, ASSUMPTIONS!$H$26 * $E$9,
IF(U$15=$F$4,  ASSUMPTIONS!$H$26 * $F$9,
IF(U$15=$G$4,  ASSUMPTIONS!$H$26 * $G$9,
IF(U$15=$H$4,  ASSUMPTIONS!$H$26 * $H$9,
IF(U$15=$I$4,  ASSUMPTIONS!$H$26 * $I$9, 0
)))))</f>
        <v>23.32</v>
      </c>
      <c r="V20" s="153">
        <f>IF(V$15=$E$4, ASSUMPTIONS!$H$26 * $E$9,
IF(V$15=$F$4,  ASSUMPTIONS!$H$26 * $F$9,
IF(V$15=$G$4,  ASSUMPTIONS!$H$26 * $G$9,
IF(V$15=$H$4,  ASSUMPTIONS!$H$26 * $H$9,
IF(V$15=$I$4,  ASSUMPTIONS!$H$26 * $I$9, 0
)))))</f>
        <v>23.32</v>
      </c>
      <c r="W20" s="153">
        <f>IF(W$15=$E$4, ASSUMPTIONS!$H$26 * $E$9,
IF(W$15=$F$4,  ASSUMPTIONS!$H$26 * $F$9,
IF(W$15=$G$4,  ASSUMPTIONS!$H$26 * $G$9,
IF(W$15=$H$4,  ASSUMPTIONS!$H$26 * $H$9,
IF(W$15=$I$4,  ASSUMPTIONS!$H$26 * $I$9, 0
)))))</f>
        <v>23.32</v>
      </c>
      <c r="X20" s="153">
        <f>IF(X$15=$E$4, ASSUMPTIONS!$H$26 * $E$9,
IF(X$15=$F$4,  ASSUMPTIONS!$H$26 * $F$9,
IF(X$15=$G$4,  ASSUMPTIONS!$H$26 * $G$9,
IF(X$15=$H$4,  ASSUMPTIONS!$H$26 * $H$9,
IF(X$15=$I$4,  ASSUMPTIONS!$H$26 * $I$9, 0
)))))</f>
        <v>23.32</v>
      </c>
      <c r="Y20" s="153">
        <f>IF(Y$15=$E$4, ASSUMPTIONS!$H$26 * $E$9,
IF(Y$15=$F$4,  ASSUMPTIONS!$H$26 * $F$9,
IF(Y$15=$G$4,  ASSUMPTIONS!$H$26 * $G$9,
IF(Y$15=$H$4,  ASSUMPTIONS!$H$26 * $H$9,
IF(Y$15=$I$4,  ASSUMPTIONS!$H$26 * $I$9, 0
)))))</f>
        <v>23.32</v>
      </c>
      <c r="Z20" s="153">
        <f>IF(Z$15=$E$4, ASSUMPTIONS!$H$26 * $E$9,
IF(Z$15=$F$4,  ASSUMPTIONS!$H$26 * $F$9,
IF(Z$15=$G$4,  ASSUMPTIONS!$H$26 * $G$9,
IF(Z$15=$H$4,  ASSUMPTIONS!$H$26 * $H$9,
IF(Z$15=$I$4,  ASSUMPTIONS!$H$26 * $I$9, 0
)))))</f>
        <v>23.32</v>
      </c>
      <c r="AA20" s="153">
        <f>IF(AA$15=$E$4, ASSUMPTIONS!$H$26 * $E$9,
IF(AA$15=$F$4,  ASSUMPTIONS!$H$26 * $F$9,
IF(AA$15=$G$4,  ASSUMPTIONS!$H$26 * $G$9,
IF(AA$15=$H$4,  ASSUMPTIONS!$H$26 * $H$9,
IF(AA$15=$I$4,  ASSUMPTIONS!$H$26 * $I$9, 0
)))))</f>
        <v>23.32</v>
      </c>
      <c r="AB20" s="153">
        <f>IF(AB$15=$E$4, ASSUMPTIONS!$H$26 * $E$9,
IF(AB$15=$F$4,  ASSUMPTIONS!$H$26 * $F$9,
IF(AB$15=$G$4,  ASSUMPTIONS!$H$26 * $G$9,
IF(AB$15=$H$4,  ASSUMPTIONS!$H$26 * $H$9,
IF(AB$15=$I$4,  ASSUMPTIONS!$H$26 * $I$9, 0
)))))</f>
        <v>23.32</v>
      </c>
      <c r="AC20" s="153">
        <f>IF(AC$15=$E$4, ASSUMPTIONS!$H$26 * $E$9,
IF(AC$15=$F$4,  ASSUMPTIONS!$H$26 * $F$9,
IF(AC$15=$G$4,  ASSUMPTIONS!$H$26 * $G$9,
IF(AC$15=$H$4,  ASSUMPTIONS!$H$26 * $H$9,
IF(AC$15=$I$4,  ASSUMPTIONS!$H$26 * $I$9, 0
)))))</f>
        <v>24.7192</v>
      </c>
      <c r="AD20" s="153">
        <f>IF(AD$15=$E$4, ASSUMPTIONS!$H$26 * $E$9,
IF(AD$15=$F$4,  ASSUMPTIONS!$H$26 * $F$9,
IF(AD$15=$G$4,  ASSUMPTIONS!$H$26 * $G$9,
IF(AD$15=$H$4,  ASSUMPTIONS!$H$26 * $H$9,
IF(AD$15=$I$4,  ASSUMPTIONS!$H$26 * $I$9, 0
)))))</f>
        <v>24.7192</v>
      </c>
      <c r="AE20" s="153">
        <f>IF(AE$15=$E$4, ASSUMPTIONS!$H$26 * $E$9,
IF(AE$15=$F$4,  ASSUMPTIONS!$H$26 * $F$9,
IF(AE$15=$G$4,  ASSUMPTIONS!$H$26 * $G$9,
IF(AE$15=$H$4,  ASSUMPTIONS!$H$26 * $H$9,
IF(AE$15=$I$4,  ASSUMPTIONS!$H$26 * $I$9, 0
)))))</f>
        <v>24.7192</v>
      </c>
      <c r="AF20" s="153">
        <f>IF(AF$15=$E$4, ASSUMPTIONS!$H$26 * $E$9,
IF(AF$15=$F$4,  ASSUMPTIONS!$H$26 * $F$9,
IF(AF$15=$G$4,  ASSUMPTIONS!$H$26 * $G$9,
IF(AF$15=$H$4,  ASSUMPTIONS!$H$26 * $H$9,
IF(AF$15=$I$4,  ASSUMPTIONS!$H$26 * $I$9, 0
)))))</f>
        <v>24.7192</v>
      </c>
      <c r="AG20" s="153">
        <f>IF(AG$15=$E$4, ASSUMPTIONS!$H$26 * $E$9,
IF(AG$15=$F$4,  ASSUMPTIONS!$H$26 * $F$9,
IF(AG$15=$G$4,  ASSUMPTIONS!$H$26 * $G$9,
IF(AG$15=$H$4,  ASSUMPTIONS!$H$26 * $H$9,
IF(AG$15=$I$4,  ASSUMPTIONS!$H$26 * $I$9, 0
)))))</f>
        <v>24.7192</v>
      </c>
      <c r="AH20" s="153">
        <f>IF(AH$15=$E$4, ASSUMPTIONS!$H$26 * $E$9,
IF(AH$15=$F$4,  ASSUMPTIONS!$H$26 * $F$9,
IF(AH$15=$G$4,  ASSUMPTIONS!$H$26 * $G$9,
IF(AH$15=$H$4,  ASSUMPTIONS!$H$26 * $H$9,
IF(AH$15=$I$4,  ASSUMPTIONS!$H$26 * $I$9, 0
)))))</f>
        <v>24.7192</v>
      </c>
      <c r="AI20" s="153">
        <f>IF(AI$15=$E$4, ASSUMPTIONS!$H$26 * $E$9,
IF(AI$15=$F$4,  ASSUMPTIONS!$H$26 * $F$9,
IF(AI$15=$G$4,  ASSUMPTIONS!$H$26 * $G$9,
IF(AI$15=$H$4,  ASSUMPTIONS!$H$26 * $H$9,
IF(AI$15=$I$4,  ASSUMPTIONS!$H$26 * $I$9, 0
)))))</f>
        <v>24.7192</v>
      </c>
      <c r="AJ20" s="153">
        <f>IF(AJ$15=$E$4, ASSUMPTIONS!$H$26 * $E$9,
IF(AJ$15=$F$4,  ASSUMPTIONS!$H$26 * $F$9,
IF(AJ$15=$G$4,  ASSUMPTIONS!$H$26 * $G$9,
IF(AJ$15=$H$4,  ASSUMPTIONS!$H$26 * $H$9,
IF(AJ$15=$I$4,  ASSUMPTIONS!$H$26 * $I$9, 0
)))))</f>
        <v>24.7192</v>
      </c>
      <c r="AK20" s="153">
        <f>IF(AK$15=$E$4, ASSUMPTIONS!$H$26 * $E$9,
IF(AK$15=$F$4,  ASSUMPTIONS!$H$26 * $F$9,
IF(AK$15=$G$4,  ASSUMPTIONS!$H$26 * $G$9,
IF(AK$15=$H$4,  ASSUMPTIONS!$H$26 * $H$9,
IF(AK$15=$I$4,  ASSUMPTIONS!$H$26 * $I$9, 0
)))))</f>
        <v>24.7192</v>
      </c>
      <c r="AL20" s="153">
        <f>IF(AL$15=$E$4, ASSUMPTIONS!$H$26 * $E$9,
IF(AL$15=$F$4,  ASSUMPTIONS!$H$26 * $F$9,
IF(AL$15=$G$4,  ASSUMPTIONS!$H$26 * $G$9,
IF(AL$15=$H$4,  ASSUMPTIONS!$H$26 * $H$9,
IF(AL$15=$I$4,  ASSUMPTIONS!$H$26 * $I$9, 0
)))))</f>
        <v>24.7192</v>
      </c>
      <c r="AM20" s="153">
        <f>IF(AM$15=$E$4, ASSUMPTIONS!$H$26 * $E$9,
IF(AM$15=$F$4,  ASSUMPTIONS!$H$26 * $F$9,
IF(AM$15=$G$4,  ASSUMPTIONS!$H$26 * $G$9,
IF(AM$15=$H$4,  ASSUMPTIONS!$H$26 * $H$9,
IF(AM$15=$I$4,  ASSUMPTIONS!$H$26 * $I$9, 0
)))))</f>
        <v>24.7192</v>
      </c>
      <c r="AN20" s="153">
        <f>IF(AN$15=$E$4, ASSUMPTIONS!$H$26 * $E$9,
IF(AN$15=$F$4,  ASSUMPTIONS!$H$26 * $F$9,
IF(AN$15=$G$4,  ASSUMPTIONS!$H$26 * $G$9,
IF(AN$15=$H$4,  ASSUMPTIONS!$H$26 * $H$9,
IF(AN$15=$I$4,  ASSUMPTIONS!$H$26 * $I$9, 0
)))))</f>
        <v>24.7192</v>
      </c>
      <c r="AO20" s="153">
        <f>IF(AO$15=$E$4, ASSUMPTIONS!$H$26 * $E$9,
IF(AO$15=$F$4,  ASSUMPTIONS!$H$26 * $F$9,
IF(AO$15=$G$4,  ASSUMPTIONS!$H$26 * $G$9,
IF(AO$15=$H$4,  ASSUMPTIONS!$H$26 * $H$9,
IF(AO$15=$I$4,  ASSUMPTIONS!$H$26 * $I$9, 0
)))))</f>
        <v>26.202352</v>
      </c>
      <c r="AP20" s="153">
        <f>IF(AP$15=$E$4, ASSUMPTIONS!$H$26 * $E$9,
IF(AP$15=$F$4,  ASSUMPTIONS!$H$26 * $F$9,
IF(AP$15=$G$4,  ASSUMPTIONS!$H$26 * $G$9,
IF(AP$15=$H$4,  ASSUMPTIONS!$H$26 * $H$9,
IF(AP$15=$I$4,  ASSUMPTIONS!$H$26 * $I$9, 0
)))))</f>
        <v>26.202352</v>
      </c>
      <c r="AQ20" s="153">
        <f>IF(AQ$15=$E$4, ASSUMPTIONS!$H$26 * $E$9,
IF(AQ$15=$F$4,  ASSUMPTIONS!$H$26 * $F$9,
IF(AQ$15=$G$4,  ASSUMPTIONS!$H$26 * $G$9,
IF(AQ$15=$H$4,  ASSUMPTIONS!$H$26 * $H$9,
IF(AQ$15=$I$4,  ASSUMPTIONS!$H$26 * $I$9, 0
)))))</f>
        <v>26.202352</v>
      </c>
      <c r="AR20" s="153">
        <f>IF(AR$15=$E$4, ASSUMPTIONS!$H$26 * $E$9,
IF(AR$15=$F$4,  ASSUMPTIONS!$H$26 * $F$9,
IF(AR$15=$G$4,  ASSUMPTIONS!$H$26 * $G$9,
IF(AR$15=$H$4,  ASSUMPTIONS!$H$26 * $H$9,
IF(AR$15=$I$4,  ASSUMPTIONS!$H$26 * $I$9, 0
)))))</f>
        <v>26.202352</v>
      </c>
      <c r="AS20" s="153">
        <f>IF(AS$15=$E$4, ASSUMPTIONS!$H$26 * $E$9,
IF(AS$15=$F$4,  ASSUMPTIONS!$H$26 * $F$9,
IF(AS$15=$G$4,  ASSUMPTIONS!$H$26 * $G$9,
IF(AS$15=$H$4,  ASSUMPTIONS!$H$26 * $H$9,
IF(AS$15=$I$4,  ASSUMPTIONS!$H$26 * $I$9, 0
)))))</f>
        <v>26.202352</v>
      </c>
      <c r="AT20" s="153">
        <f>IF(AT$15=$E$4, ASSUMPTIONS!$H$26 * $E$9,
IF(AT$15=$F$4,  ASSUMPTIONS!$H$26 * $F$9,
IF(AT$15=$G$4,  ASSUMPTIONS!$H$26 * $G$9,
IF(AT$15=$H$4,  ASSUMPTIONS!$H$26 * $H$9,
IF(AT$15=$I$4,  ASSUMPTIONS!$H$26 * $I$9, 0
)))))</f>
        <v>26.202352</v>
      </c>
      <c r="AU20" s="153">
        <f>IF(AU$15=$E$4, ASSUMPTIONS!$H$26 * $E$9,
IF(AU$15=$F$4,  ASSUMPTIONS!$H$26 * $F$9,
IF(AU$15=$G$4,  ASSUMPTIONS!$H$26 * $G$9,
IF(AU$15=$H$4,  ASSUMPTIONS!$H$26 * $H$9,
IF(AU$15=$I$4,  ASSUMPTIONS!$H$26 * $I$9, 0
)))))</f>
        <v>26.202352</v>
      </c>
      <c r="AV20" s="153">
        <f>IF(AV$15=$E$4, ASSUMPTIONS!$H$26 * $E$9,
IF(AV$15=$F$4,  ASSUMPTIONS!$H$26 * $F$9,
IF(AV$15=$G$4,  ASSUMPTIONS!$H$26 * $G$9,
IF(AV$15=$H$4,  ASSUMPTIONS!$H$26 * $H$9,
IF(AV$15=$I$4,  ASSUMPTIONS!$H$26 * $I$9, 0
)))))</f>
        <v>26.202352</v>
      </c>
      <c r="AW20" s="153">
        <f>IF(AW$15=$E$4, ASSUMPTIONS!$H$26 * $E$9,
IF(AW$15=$F$4,  ASSUMPTIONS!$H$26 * $F$9,
IF(AW$15=$G$4,  ASSUMPTIONS!$H$26 * $G$9,
IF(AW$15=$H$4,  ASSUMPTIONS!$H$26 * $H$9,
IF(AW$15=$I$4,  ASSUMPTIONS!$H$26 * $I$9, 0
)))))</f>
        <v>26.202352</v>
      </c>
      <c r="AX20" s="153">
        <f>IF(AX$15=$E$4, ASSUMPTIONS!$H$26 * $E$9,
IF(AX$15=$F$4,  ASSUMPTIONS!$H$26 * $F$9,
IF(AX$15=$G$4,  ASSUMPTIONS!$H$26 * $G$9,
IF(AX$15=$H$4,  ASSUMPTIONS!$H$26 * $H$9,
IF(AX$15=$I$4,  ASSUMPTIONS!$H$26 * $I$9, 0
)))))</f>
        <v>26.202352</v>
      </c>
      <c r="AY20" s="153">
        <f>IF(AY$15=$E$4, ASSUMPTIONS!$H$26 * $E$9,
IF(AY$15=$F$4,  ASSUMPTIONS!$H$26 * $F$9,
IF(AY$15=$G$4,  ASSUMPTIONS!$H$26 * $G$9,
IF(AY$15=$H$4,  ASSUMPTIONS!$H$26 * $H$9,
IF(AY$15=$I$4,  ASSUMPTIONS!$H$26 * $I$9, 0
)))))</f>
        <v>26.202352</v>
      </c>
      <c r="AZ20" s="153">
        <f>IF(AZ$15=$E$4, ASSUMPTIONS!$H$26 * $E$9,
IF(AZ$15=$F$4,  ASSUMPTIONS!$H$26 * $F$9,
IF(AZ$15=$G$4,  ASSUMPTIONS!$H$26 * $G$9,
IF(AZ$15=$H$4,  ASSUMPTIONS!$H$26 * $H$9,
IF(AZ$15=$I$4,  ASSUMPTIONS!$H$26 * $I$9, 0
)))))</f>
        <v>26.202352</v>
      </c>
      <c r="BA20" s="153">
        <f>IF(BA$15=$E$4, ASSUMPTIONS!$H$26 * $E$9,
IF(BA$15=$F$4,  ASSUMPTIONS!$H$26 * $F$9,
IF(BA$15=$G$4,  ASSUMPTIONS!$H$26 * $G$9,
IF(BA$15=$H$4,  ASSUMPTIONS!$H$26 * $H$9,
IF(BA$15=$I$4,  ASSUMPTIONS!$H$26 * $I$9, 0
)))))</f>
        <v>27.77449312</v>
      </c>
      <c r="BB20" s="153">
        <f>IF(BB$15=$E$4, ASSUMPTIONS!$H$26 * $E$9,
IF(BB$15=$F$4,  ASSUMPTIONS!$H$26 * $F$9,
IF(BB$15=$G$4,  ASSUMPTIONS!$H$26 * $G$9,
IF(BB$15=$H$4,  ASSUMPTIONS!$H$26 * $H$9,
IF(BB$15=$I$4,  ASSUMPTIONS!$H$26 * $I$9, 0
)))))</f>
        <v>27.77449312</v>
      </c>
      <c r="BC20" s="153">
        <f>IF(BC$15=$E$4, ASSUMPTIONS!$H$26 * $E$9,
IF(BC$15=$F$4,  ASSUMPTIONS!$H$26 * $F$9,
IF(BC$15=$G$4,  ASSUMPTIONS!$H$26 * $G$9,
IF(BC$15=$H$4,  ASSUMPTIONS!$H$26 * $H$9,
IF(BC$15=$I$4,  ASSUMPTIONS!$H$26 * $I$9, 0
)))))</f>
        <v>27.77449312</v>
      </c>
      <c r="BD20" s="153">
        <f>IF(BD$15=$E$4, ASSUMPTIONS!$H$26 * $E$9,
IF(BD$15=$F$4,  ASSUMPTIONS!$H$26 * $F$9,
IF(BD$15=$G$4,  ASSUMPTIONS!$H$26 * $G$9,
IF(BD$15=$H$4,  ASSUMPTIONS!$H$26 * $H$9,
IF(BD$15=$I$4,  ASSUMPTIONS!$H$26 * $I$9, 0
)))))</f>
        <v>27.77449312</v>
      </c>
      <c r="BE20" s="153">
        <f>IF(BE$15=$E$4, ASSUMPTIONS!$H$26 * $E$9,
IF(BE$15=$F$4,  ASSUMPTIONS!$H$26 * $F$9,
IF(BE$15=$G$4,  ASSUMPTIONS!$H$26 * $G$9,
IF(BE$15=$H$4,  ASSUMPTIONS!$H$26 * $H$9,
IF(BE$15=$I$4,  ASSUMPTIONS!$H$26 * $I$9, 0
)))))</f>
        <v>27.77449312</v>
      </c>
      <c r="BF20" s="153">
        <f>IF(BF$15=$E$4, ASSUMPTIONS!$H$26 * $E$9,
IF(BF$15=$F$4,  ASSUMPTIONS!$H$26 * $F$9,
IF(BF$15=$G$4,  ASSUMPTIONS!$H$26 * $G$9,
IF(BF$15=$H$4,  ASSUMPTIONS!$H$26 * $H$9,
IF(BF$15=$I$4,  ASSUMPTIONS!$H$26 * $I$9, 0
)))))</f>
        <v>27.77449312</v>
      </c>
      <c r="BG20" s="153">
        <f>IF(BG$15=$E$4, ASSUMPTIONS!$H$26 * $E$9,
IF(BG$15=$F$4,  ASSUMPTIONS!$H$26 * $F$9,
IF(BG$15=$G$4,  ASSUMPTIONS!$H$26 * $G$9,
IF(BG$15=$H$4,  ASSUMPTIONS!$H$26 * $H$9,
IF(BG$15=$I$4,  ASSUMPTIONS!$H$26 * $I$9, 0
)))))</f>
        <v>27.77449312</v>
      </c>
      <c r="BH20" s="153">
        <f>IF(BH$15=$E$4, ASSUMPTIONS!$H$26 * $E$9,
IF(BH$15=$F$4,  ASSUMPTIONS!$H$26 * $F$9,
IF(BH$15=$G$4,  ASSUMPTIONS!$H$26 * $G$9,
IF(BH$15=$H$4,  ASSUMPTIONS!$H$26 * $H$9,
IF(BH$15=$I$4,  ASSUMPTIONS!$H$26 * $I$9, 0
)))))</f>
        <v>27.77449312</v>
      </c>
      <c r="BI20" s="153">
        <f>IF(BI$15=$E$4, ASSUMPTIONS!$H$26 * $E$9,
IF(BI$15=$F$4,  ASSUMPTIONS!$H$26 * $F$9,
IF(BI$15=$G$4,  ASSUMPTIONS!$H$26 * $G$9,
IF(BI$15=$H$4,  ASSUMPTIONS!$H$26 * $H$9,
IF(BI$15=$I$4,  ASSUMPTIONS!$H$26 * $I$9, 0
)))))</f>
        <v>27.77449312</v>
      </c>
      <c r="BJ20" s="153">
        <f>IF(BJ$15=$E$4, ASSUMPTIONS!$H$26 * $E$9,
IF(BJ$15=$F$4,  ASSUMPTIONS!$H$26 * $F$9,
IF(BJ$15=$G$4,  ASSUMPTIONS!$H$26 * $G$9,
IF(BJ$15=$H$4,  ASSUMPTIONS!$H$26 * $H$9,
IF(BJ$15=$I$4,  ASSUMPTIONS!$H$26 * $I$9, 0
)))))</f>
        <v>27.77449312</v>
      </c>
      <c r="BK20" s="153">
        <f>IF(BK$15=$E$4, ASSUMPTIONS!$H$26 * $E$9,
IF(BK$15=$F$4,  ASSUMPTIONS!$H$26 * $F$9,
IF(BK$15=$G$4,  ASSUMPTIONS!$H$26 * $G$9,
IF(BK$15=$H$4,  ASSUMPTIONS!$H$26 * $H$9,
IF(BK$15=$I$4,  ASSUMPTIONS!$H$26 * $I$9, 0
)))))</f>
        <v>27.77449312</v>
      </c>
      <c r="BL20" s="153">
        <f>IF(BL$15=$E$4, ASSUMPTIONS!$H$26 * $E$9,
IF(BL$15=$F$4,  ASSUMPTIONS!$H$26 * $F$9,
IF(BL$15=$G$4,  ASSUMPTIONS!$H$26 * $G$9,
IF(BL$15=$H$4,  ASSUMPTIONS!$H$26 * $H$9,
IF(BL$15=$I$4,  ASSUMPTIONS!$H$26 * $I$9, 0
)))))</f>
        <v>27.77449312</v>
      </c>
    </row>
    <row r="21" ht="15.75" customHeight="1">
      <c r="D21" s="57" t="s">
        <v>162</v>
      </c>
      <c r="E21" s="153">
        <f t="shared" ref="E21:BL21" si="4">E19 * E20</f>
        <v>0</v>
      </c>
      <c r="F21" s="153">
        <f t="shared" si="4"/>
        <v>0</v>
      </c>
      <c r="G21" s="153">
        <f t="shared" si="4"/>
        <v>0</v>
      </c>
      <c r="H21" s="153">
        <f t="shared" si="4"/>
        <v>0</v>
      </c>
      <c r="I21" s="153">
        <f t="shared" si="4"/>
        <v>1056000</v>
      </c>
      <c r="J21" s="153">
        <f t="shared" si="4"/>
        <v>2112000</v>
      </c>
      <c r="K21" s="153">
        <f t="shared" si="4"/>
        <v>3168000</v>
      </c>
      <c r="L21" s="153">
        <f t="shared" si="4"/>
        <v>4224000</v>
      </c>
      <c r="M21" s="153">
        <f t="shared" si="4"/>
        <v>5280000</v>
      </c>
      <c r="N21" s="153">
        <f t="shared" si="4"/>
        <v>6336000</v>
      </c>
      <c r="O21" s="153">
        <f t="shared" si="4"/>
        <v>7392000</v>
      </c>
      <c r="P21" s="153">
        <f t="shared" si="4"/>
        <v>8448000</v>
      </c>
      <c r="Q21" s="153">
        <f t="shared" si="4"/>
        <v>10074240</v>
      </c>
      <c r="R21" s="153">
        <f t="shared" si="4"/>
        <v>11193600</v>
      </c>
      <c r="S21" s="153">
        <f t="shared" si="4"/>
        <v>12312960</v>
      </c>
      <c r="T21" s="153">
        <f t="shared" si="4"/>
        <v>13432320</v>
      </c>
      <c r="U21" s="153">
        <f t="shared" si="4"/>
        <v>14551680</v>
      </c>
      <c r="V21" s="153">
        <f t="shared" si="4"/>
        <v>15671040</v>
      </c>
      <c r="W21" s="153">
        <f t="shared" si="4"/>
        <v>16790400</v>
      </c>
      <c r="X21" s="153">
        <f t="shared" si="4"/>
        <v>17909760</v>
      </c>
      <c r="Y21" s="153">
        <f t="shared" si="4"/>
        <v>19029120</v>
      </c>
      <c r="Z21" s="153">
        <f t="shared" si="4"/>
        <v>20148480</v>
      </c>
      <c r="AA21" s="153">
        <f t="shared" si="4"/>
        <v>21267840</v>
      </c>
      <c r="AB21" s="153">
        <f t="shared" si="4"/>
        <v>22387200</v>
      </c>
      <c r="AC21" s="153">
        <f t="shared" si="4"/>
        <v>24916953.6</v>
      </c>
      <c r="AD21" s="153">
        <f t="shared" si="4"/>
        <v>26103475.2</v>
      </c>
      <c r="AE21" s="153">
        <f t="shared" si="4"/>
        <v>27289996.8</v>
      </c>
      <c r="AF21" s="153">
        <f t="shared" si="4"/>
        <v>28476518.4</v>
      </c>
      <c r="AG21" s="153">
        <f t="shared" si="4"/>
        <v>29663040</v>
      </c>
      <c r="AH21" s="153">
        <f t="shared" si="4"/>
        <v>30849561.6</v>
      </c>
      <c r="AI21" s="153">
        <f t="shared" si="4"/>
        <v>32036083.2</v>
      </c>
      <c r="AJ21" s="153">
        <f t="shared" si="4"/>
        <v>33222604.8</v>
      </c>
      <c r="AK21" s="153">
        <f t="shared" si="4"/>
        <v>34409126.4</v>
      </c>
      <c r="AL21" s="153">
        <f t="shared" si="4"/>
        <v>35595648</v>
      </c>
      <c r="AM21" s="153">
        <f t="shared" si="4"/>
        <v>36782169.6</v>
      </c>
      <c r="AN21" s="153">
        <f t="shared" si="4"/>
        <v>37968691.2</v>
      </c>
      <c r="AO21" s="153">
        <f t="shared" si="4"/>
        <v>44019951.36</v>
      </c>
      <c r="AP21" s="153">
        <f t="shared" si="4"/>
        <v>47793090.05</v>
      </c>
      <c r="AQ21" s="153">
        <f t="shared" si="4"/>
        <v>51566228.74</v>
      </c>
      <c r="AR21" s="153">
        <f t="shared" si="4"/>
        <v>55339367.42</v>
      </c>
      <c r="AS21" s="153">
        <f t="shared" si="4"/>
        <v>59112506.11</v>
      </c>
      <c r="AT21" s="153">
        <f t="shared" si="4"/>
        <v>62885644.8</v>
      </c>
      <c r="AU21" s="153">
        <f t="shared" si="4"/>
        <v>66658783.49</v>
      </c>
      <c r="AV21" s="153">
        <f t="shared" si="4"/>
        <v>70431922.18</v>
      </c>
      <c r="AW21" s="153">
        <f t="shared" si="4"/>
        <v>70431922.18</v>
      </c>
      <c r="AX21" s="153">
        <f t="shared" si="4"/>
        <v>70431922.18</v>
      </c>
      <c r="AY21" s="153">
        <f t="shared" si="4"/>
        <v>70431922.18</v>
      </c>
      <c r="AZ21" s="153">
        <f t="shared" si="4"/>
        <v>70431922.18</v>
      </c>
      <c r="BA21" s="153">
        <f t="shared" si="4"/>
        <v>74657837.51</v>
      </c>
      <c r="BB21" s="153">
        <f t="shared" si="4"/>
        <v>74657837.51</v>
      </c>
      <c r="BC21" s="153">
        <f t="shared" si="4"/>
        <v>74657837.51</v>
      </c>
      <c r="BD21" s="153">
        <f t="shared" si="4"/>
        <v>74657837.51</v>
      </c>
      <c r="BE21" s="153">
        <f t="shared" si="4"/>
        <v>74657837.51</v>
      </c>
      <c r="BF21" s="153">
        <f t="shared" si="4"/>
        <v>74657837.51</v>
      </c>
      <c r="BG21" s="153">
        <f t="shared" si="4"/>
        <v>74657837.51</v>
      </c>
      <c r="BH21" s="153">
        <f t="shared" si="4"/>
        <v>74657837.51</v>
      </c>
      <c r="BI21" s="153">
        <f t="shared" si="4"/>
        <v>74657837.51</v>
      </c>
      <c r="BJ21" s="153">
        <f t="shared" si="4"/>
        <v>74657837.51</v>
      </c>
      <c r="BK21" s="153">
        <f t="shared" si="4"/>
        <v>74657837.51</v>
      </c>
      <c r="BL21" s="153">
        <f t="shared" si="4"/>
        <v>74657837.51</v>
      </c>
    </row>
    <row r="22" ht="15.75" customHeight="1">
      <c r="D22" s="57" t="s">
        <v>163</v>
      </c>
      <c r="E22" s="64">
        <f>'MILK FLOW ENGINE'!E11</f>
        <v>0</v>
      </c>
      <c r="F22" s="64">
        <f>'MILK FLOW ENGINE'!F11</f>
        <v>0</v>
      </c>
      <c r="G22" s="64">
        <f>'MILK FLOW ENGINE'!G11</f>
        <v>0</v>
      </c>
      <c r="H22" s="64">
        <f>'MILK FLOW ENGINE'!H11</f>
        <v>0</v>
      </c>
      <c r="I22" s="64">
        <f>'MILK FLOW ENGINE'!I11</f>
        <v>0</v>
      </c>
      <c r="J22" s="64">
        <f>'MILK FLOW ENGINE'!J11</f>
        <v>0</v>
      </c>
      <c r="K22" s="64">
        <f>'MILK FLOW ENGINE'!K11</f>
        <v>150000</v>
      </c>
      <c r="L22" s="64">
        <f>'MILK FLOW ENGINE'!L11</f>
        <v>150000</v>
      </c>
      <c r="M22" s="64">
        <f>'MILK FLOW ENGINE'!M11</f>
        <v>150000</v>
      </c>
      <c r="N22" s="64">
        <f>'MILK FLOW ENGINE'!N11</f>
        <v>150000</v>
      </c>
      <c r="O22" s="64">
        <f>'MILK FLOW ENGINE'!O11</f>
        <v>150000</v>
      </c>
      <c r="P22" s="64">
        <f>'MILK FLOW ENGINE'!P11</f>
        <v>150000</v>
      </c>
      <c r="Q22" s="64">
        <f>'MILK FLOW ENGINE'!Q11</f>
        <v>150000</v>
      </c>
      <c r="R22" s="64">
        <f>'MILK FLOW ENGINE'!R11</f>
        <v>150000</v>
      </c>
      <c r="S22" s="64">
        <f>'MILK FLOW ENGINE'!S11</f>
        <v>150000</v>
      </c>
      <c r="T22" s="64">
        <f>'MILK FLOW ENGINE'!T11</f>
        <v>150000</v>
      </c>
      <c r="U22" s="64">
        <f>'MILK FLOW ENGINE'!U11</f>
        <v>150000</v>
      </c>
      <c r="V22" s="64">
        <f>'MILK FLOW ENGINE'!V11</f>
        <v>150000</v>
      </c>
      <c r="W22" s="64">
        <f>'MILK FLOW ENGINE'!W11</f>
        <v>150000</v>
      </c>
      <c r="X22" s="64">
        <f>'MILK FLOW ENGINE'!X11</f>
        <v>150000</v>
      </c>
      <c r="Y22" s="64">
        <f>'MILK FLOW ENGINE'!Y11</f>
        <v>150000</v>
      </c>
      <c r="Z22" s="64">
        <f>'MILK FLOW ENGINE'!Z11</f>
        <v>150000</v>
      </c>
      <c r="AA22" s="64">
        <f>'MILK FLOW ENGINE'!AA11</f>
        <v>150000</v>
      </c>
      <c r="AB22" s="64">
        <f>'MILK FLOW ENGINE'!AB11</f>
        <v>150000</v>
      </c>
      <c r="AC22" s="64">
        <f>'MILK FLOW ENGINE'!AC11</f>
        <v>300000</v>
      </c>
      <c r="AD22" s="64">
        <f>'MILK FLOW ENGINE'!AD11</f>
        <v>300000</v>
      </c>
      <c r="AE22" s="64">
        <f>'MILK FLOW ENGINE'!AE11</f>
        <v>300000</v>
      </c>
      <c r="AF22" s="64">
        <f>'MILK FLOW ENGINE'!AF11</f>
        <v>300000</v>
      </c>
      <c r="AG22" s="64">
        <f>'MILK FLOW ENGINE'!AG11</f>
        <v>300000</v>
      </c>
      <c r="AH22" s="64">
        <f>'MILK FLOW ENGINE'!AH11</f>
        <v>300000</v>
      </c>
      <c r="AI22" s="64">
        <f>'MILK FLOW ENGINE'!AI11</f>
        <v>300000</v>
      </c>
      <c r="AJ22" s="64">
        <f>'MILK FLOW ENGINE'!AJ11</f>
        <v>300000</v>
      </c>
      <c r="AK22" s="64">
        <f>'MILK FLOW ENGINE'!AK11</f>
        <v>300000</v>
      </c>
      <c r="AL22" s="64">
        <f>'MILK FLOW ENGINE'!AL11</f>
        <v>300000</v>
      </c>
      <c r="AM22" s="64">
        <f>'MILK FLOW ENGINE'!AM11</f>
        <v>300000</v>
      </c>
      <c r="AN22" s="64">
        <f>'MILK FLOW ENGINE'!AN11</f>
        <v>300000</v>
      </c>
      <c r="AO22" s="64">
        <f>'MILK FLOW ENGINE'!AO11</f>
        <v>900000</v>
      </c>
      <c r="AP22" s="64">
        <f>'MILK FLOW ENGINE'!AP11</f>
        <v>900000</v>
      </c>
      <c r="AQ22" s="64">
        <f>'MILK FLOW ENGINE'!AQ11</f>
        <v>900000</v>
      </c>
      <c r="AR22" s="64">
        <f>'MILK FLOW ENGINE'!AR11</f>
        <v>900000</v>
      </c>
      <c r="AS22" s="64">
        <f>'MILK FLOW ENGINE'!AS11</f>
        <v>900000</v>
      </c>
      <c r="AT22" s="64">
        <f>'MILK FLOW ENGINE'!AT11</f>
        <v>900000</v>
      </c>
      <c r="AU22" s="64">
        <f>'MILK FLOW ENGINE'!AU11</f>
        <v>900000</v>
      </c>
      <c r="AV22" s="64">
        <f>'MILK FLOW ENGINE'!AV11</f>
        <v>900000</v>
      </c>
      <c r="AW22" s="64">
        <f>'MILK FLOW ENGINE'!AW11</f>
        <v>900000</v>
      </c>
      <c r="AX22" s="64">
        <f>'MILK FLOW ENGINE'!AX11</f>
        <v>900000</v>
      </c>
      <c r="AY22" s="64">
        <f>'MILK FLOW ENGINE'!AY11</f>
        <v>900000</v>
      </c>
      <c r="AZ22" s="64">
        <f>'MILK FLOW ENGINE'!AZ11</f>
        <v>900000</v>
      </c>
      <c r="BA22" s="64">
        <f>'MILK FLOW ENGINE'!BA11</f>
        <v>900000</v>
      </c>
      <c r="BB22" s="64">
        <f>'MILK FLOW ENGINE'!BB11</f>
        <v>900000</v>
      </c>
      <c r="BC22" s="64">
        <f>'MILK FLOW ENGINE'!BC11</f>
        <v>900000</v>
      </c>
      <c r="BD22" s="64">
        <f>'MILK FLOW ENGINE'!BD11</f>
        <v>900000</v>
      </c>
      <c r="BE22" s="64">
        <f>'MILK FLOW ENGINE'!BE11</f>
        <v>900000</v>
      </c>
      <c r="BF22" s="64">
        <f>'MILK FLOW ENGINE'!BF11</f>
        <v>900000</v>
      </c>
      <c r="BG22" s="64">
        <f>'MILK FLOW ENGINE'!BG11</f>
        <v>900000</v>
      </c>
      <c r="BH22" s="64">
        <f>'MILK FLOW ENGINE'!BH11</f>
        <v>900000</v>
      </c>
      <c r="BI22" s="64">
        <f>'MILK FLOW ENGINE'!BI11</f>
        <v>900000</v>
      </c>
      <c r="BJ22" s="64">
        <f>'MILK FLOW ENGINE'!BJ11</f>
        <v>900000</v>
      </c>
      <c r="BK22" s="64">
        <f>'MILK FLOW ENGINE'!BK11</f>
        <v>900000</v>
      </c>
      <c r="BL22" s="64">
        <f>'MILK FLOW ENGINE'!BL11</f>
        <v>900000</v>
      </c>
    </row>
    <row r="23" ht="15.75" customHeight="1">
      <c r="D23" s="57" t="s">
        <v>164</v>
      </c>
      <c r="E23" s="153">
        <f>IF(E$15=$E$4, ASSUMPTIONS!$H$54 * $E$8,
IF(E$15=$F$4,  ASSUMPTIONS!$H$54 * $F$8,
IF(E$15=$G$4,  ASSUMPTIONS!$H$54 * $G$8,
IF(E$15=$H$4,  ASSUMPTIONS!$H$54 * $H$8,
IF(E$15=$I$4,  ASSUMPTIONS!$H$54 * $I$8, 0
)))))</f>
        <v>50</v>
      </c>
      <c r="F23" s="153">
        <f>IF(F$15=$E$4, ASSUMPTIONS!$H$54 * $E$8,
IF(F$15=$F$4,  ASSUMPTIONS!$H$54 * $F$8,
IF(F$15=$G$4,  ASSUMPTIONS!$H$54 * $G$8,
IF(F$15=$H$4,  ASSUMPTIONS!$H$54 * $H$8,
IF(F$15=$I$4,  ASSUMPTIONS!$H$54 * $I$8, 0
)))))</f>
        <v>50</v>
      </c>
      <c r="G23" s="153">
        <f>IF(G$15=$E$4, ASSUMPTIONS!$H$54 * $E$8,
IF(G$15=$F$4,  ASSUMPTIONS!$H$54 * $F$8,
IF(G$15=$G$4,  ASSUMPTIONS!$H$54 * $G$8,
IF(G$15=$H$4,  ASSUMPTIONS!$H$54 * $H$8,
IF(G$15=$I$4,  ASSUMPTIONS!$H$54 * $I$8, 0
)))))</f>
        <v>50</v>
      </c>
      <c r="H23" s="153">
        <f>IF(H$15=$E$4, ASSUMPTIONS!$H$54 * $E$8,
IF(H$15=$F$4,  ASSUMPTIONS!$H$54 * $F$8,
IF(H$15=$G$4,  ASSUMPTIONS!$H$54 * $G$8,
IF(H$15=$H$4,  ASSUMPTIONS!$H$54 * $H$8,
IF(H$15=$I$4,  ASSUMPTIONS!$H$54 * $I$8, 0
)))))</f>
        <v>50</v>
      </c>
      <c r="I23" s="153">
        <f>IF(I$15=$E$4, ASSUMPTIONS!$H$54 * $E$8,
IF(I$15=$F$4,  ASSUMPTIONS!$H$54 * $F$8,
IF(I$15=$G$4,  ASSUMPTIONS!$H$54 * $G$8,
IF(I$15=$H$4,  ASSUMPTIONS!$H$54 * $H$8,
IF(I$15=$I$4,  ASSUMPTIONS!$H$54 * $I$8, 0
)))))</f>
        <v>50</v>
      </c>
      <c r="J23" s="153">
        <f>IF(J$15=$E$4, ASSUMPTIONS!$H$54 * $E$8,
IF(J$15=$F$4,  ASSUMPTIONS!$H$54 * $F$8,
IF(J$15=$G$4,  ASSUMPTIONS!$H$54 * $G$8,
IF(J$15=$H$4,  ASSUMPTIONS!$H$54 * $H$8,
IF(J$15=$I$4,  ASSUMPTIONS!$H$54 * $I$8, 0
)))))</f>
        <v>50</v>
      </c>
      <c r="K23" s="153">
        <f>IF(K$15=$E$4, ASSUMPTIONS!$H$54 * $E$8,
IF(K$15=$F$4,  ASSUMPTIONS!$H$54 * $F$8,
IF(K$15=$G$4,  ASSUMPTIONS!$H$54 * $G$8,
IF(K$15=$H$4,  ASSUMPTIONS!$H$54 * $H$8,
IF(K$15=$I$4,  ASSUMPTIONS!$H$54 * $I$8, 0
)))))</f>
        <v>50</v>
      </c>
      <c r="L23" s="153">
        <f>IF(L$15=$E$4, ASSUMPTIONS!$H$54 * $E$8,
IF(L$15=$F$4,  ASSUMPTIONS!$H$54 * $F$8,
IF(L$15=$G$4,  ASSUMPTIONS!$H$54 * $G$8,
IF(L$15=$H$4,  ASSUMPTIONS!$H$54 * $H$8,
IF(L$15=$I$4,  ASSUMPTIONS!$H$54 * $I$8, 0
)))))</f>
        <v>50</v>
      </c>
      <c r="M23" s="153">
        <f>IF(M$15=$E$4, ASSUMPTIONS!$H$54 * $E$8,
IF(M$15=$F$4,  ASSUMPTIONS!$H$54 * $F$8,
IF(M$15=$G$4,  ASSUMPTIONS!$H$54 * $G$8,
IF(M$15=$H$4,  ASSUMPTIONS!$H$54 * $H$8,
IF(M$15=$I$4,  ASSUMPTIONS!$H$54 * $I$8, 0
)))))</f>
        <v>50</v>
      </c>
      <c r="N23" s="153">
        <f>IF(N$15=$E$4, ASSUMPTIONS!$H$54 * $E$8,
IF(N$15=$F$4,  ASSUMPTIONS!$H$54 * $F$8,
IF(N$15=$G$4,  ASSUMPTIONS!$H$54 * $G$8,
IF(N$15=$H$4,  ASSUMPTIONS!$H$54 * $H$8,
IF(N$15=$I$4,  ASSUMPTIONS!$H$54 * $I$8, 0
)))))</f>
        <v>50</v>
      </c>
      <c r="O23" s="153">
        <f>IF(O$15=$E$4, ASSUMPTIONS!$H$54 * $E$8,
IF(O$15=$F$4,  ASSUMPTIONS!$H$54 * $F$8,
IF(O$15=$G$4,  ASSUMPTIONS!$H$54 * $G$8,
IF(O$15=$H$4,  ASSUMPTIONS!$H$54 * $H$8,
IF(O$15=$I$4,  ASSUMPTIONS!$H$54 * $I$8, 0
)))))</f>
        <v>50</v>
      </c>
      <c r="P23" s="153">
        <f>IF(P$15=$E$4, ASSUMPTIONS!$H$54 * $E$8,
IF(P$15=$F$4,  ASSUMPTIONS!$H$54 * $F$8,
IF(P$15=$G$4,  ASSUMPTIONS!$H$54 * $G$8,
IF(P$15=$H$4,  ASSUMPTIONS!$H$54 * $H$8,
IF(P$15=$I$4,  ASSUMPTIONS!$H$54 * $I$8, 0
)))))</f>
        <v>50</v>
      </c>
      <c r="Q23" s="153">
        <f>IF(Q$15=$E$4, ASSUMPTIONS!$H$54 * $E$8,
IF(Q$15=$F$4,  ASSUMPTIONS!$H$54 * $F$8,
IF(Q$15=$G$4,  ASSUMPTIONS!$H$54 * $G$8,
IF(Q$15=$H$4,  ASSUMPTIONS!$H$54 * $H$8,
IF(Q$15=$I$4,  ASSUMPTIONS!$H$54 * $I$8, 0
)))))</f>
        <v>52</v>
      </c>
      <c r="R23" s="153">
        <f>IF(R$15=$E$4, ASSUMPTIONS!$H$54 * $E$8,
IF(R$15=$F$4,  ASSUMPTIONS!$H$54 * $F$8,
IF(R$15=$G$4,  ASSUMPTIONS!$H$54 * $G$8,
IF(R$15=$H$4,  ASSUMPTIONS!$H$54 * $H$8,
IF(R$15=$I$4,  ASSUMPTIONS!$H$54 * $I$8, 0
)))))</f>
        <v>52</v>
      </c>
      <c r="S23" s="153">
        <f>IF(S$15=$E$4, ASSUMPTIONS!$H$54 * $E$8,
IF(S$15=$F$4,  ASSUMPTIONS!$H$54 * $F$8,
IF(S$15=$G$4,  ASSUMPTIONS!$H$54 * $G$8,
IF(S$15=$H$4,  ASSUMPTIONS!$H$54 * $H$8,
IF(S$15=$I$4,  ASSUMPTIONS!$H$54 * $I$8, 0
)))))</f>
        <v>52</v>
      </c>
      <c r="T23" s="153">
        <f>IF(T$15=$E$4, ASSUMPTIONS!$H$54 * $E$8,
IF(T$15=$F$4,  ASSUMPTIONS!$H$54 * $F$8,
IF(T$15=$G$4,  ASSUMPTIONS!$H$54 * $G$8,
IF(T$15=$H$4,  ASSUMPTIONS!$H$54 * $H$8,
IF(T$15=$I$4,  ASSUMPTIONS!$H$54 * $I$8, 0
)))))</f>
        <v>52</v>
      </c>
      <c r="U23" s="153">
        <f>IF(U$15=$E$4, ASSUMPTIONS!$H$54 * $E$8,
IF(U$15=$F$4,  ASSUMPTIONS!$H$54 * $F$8,
IF(U$15=$G$4,  ASSUMPTIONS!$H$54 * $G$8,
IF(U$15=$H$4,  ASSUMPTIONS!$H$54 * $H$8,
IF(U$15=$I$4,  ASSUMPTIONS!$H$54 * $I$8, 0
)))))</f>
        <v>52</v>
      </c>
      <c r="V23" s="153">
        <f>IF(V$15=$E$4, ASSUMPTIONS!$H$54 * $E$8,
IF(V$15=$F$4,  ASSUMPTIONS!$H$54 * $F$8,
IF(V$15=$G$4,  ASSUMPTIONS!$H$54 * $G$8,
IF(V$15=$H$4,  ASSUMPTIONS!$H$54 * $H$8,
IF(V$15=$I$4,  ASSUMPTIONS!$H$54 * $I$8, 0
)))))</f>
        <v>52</v>
      </c>
      <c r="W23" s="153">
        <f>IF(W$15=$E$4, ASSUMPTIONS!$H$54 * $E$8,
IF(W$15=$F$4,  ASSUMPTIONS!$H$54 * $F$8,
IF(W$15=$G$4,  ASSUMPTIONS!$H$54 * $G$8,
IF(W$15=$H$4,  ASSUMPTIONS!$H$54 * $H$8,
IF(W$15=$I$4,  ASSUMPTIONS!$H$54 * $I$8, 0
)))))</f>
        <v>52</v>
      </c>
      <c r="X23" s="153">
        <f>IF(X$15=$E$4, ASSUMPTIONS!$H$54 * $E$8,
IF(X$15=$F$4,  ASSUMPTIONS!$H$54 * $F$8,
IF(X$15=$G$4,  ASSUMPTIONS!$H$54 * $G$8,
IF(X$15=$H$4,  ASSUMPTIONS!$H$54 * $H$8,
IF(X$15=$I$4,  ASSUMPTIONS!$H$54 * $I$8, 0
)))))</f>
        <v>52</v>
      </c>
      <c r="Y23" s="153">
        <f>IF(Y$15=$E$4, ASSUMPTIONS!$H$54 * $E$8,
IF(Y$15=$F$4,  ASSUMPTIONS!$H$54 * $F$8,
IF(Y$15=$G$4,  ASSUMPTIONS!$H$54 * $G$8,
IF(Y$15=$H$4,  ASSUMPTIONS!$H$54 * $H$8,
IF(Y$15=$I$4,  ASSUMPTIONS!$H$54 * $I$8, 0
)))))</f>
        <v>52</v>
      </c>
      <c r="Z23" s="153">
        <f>IF(Z$15=$E$4, ASSUMPTIONS!$H$54 * $E$8,
IF(Z$15=$F$4,  ASSUMPTIONS!$H$54 * $F$8,
IF(Z$15=$G$4,  ASSUMPTIONS!$H$54 * $G$8,
IF(Z$15=$H$4,  ASSUMPTIONS!$H$54 * $H$8,
IF(Z$15=$I$4,  ASSUMPTIONS!$H$54 * $I$8, 0
)))))</f>
        <v>52</v>
      </c>
      <c r="AA23" s="153">
        <f>IF(AA$15=$E$4, ASSUMPTIONS!$H$54 * $E$8,
IF(AA$15=$F$4,  ASSUMPTIONS!$H$54 * $F$8,
IF(AA$15=$G$4,  ASSUMPTIONS!$H$54 * $G$8,
IF(AA$15=$H$4,  ASSUMPTIONS!$H$54 * $H$8,
IF(AA$15=$I$4,  ASSUMPTIONS!$H$54 * $I$8, 0
)))))</f>
        <v>52</v>
      </c>
      <c r="AB23" s="153">
        <f>IF(AB$15=$E$4, ASSUMPTIONS!$H$54 * $E$8,
IF(AB$15=$F$4,  ASSUMPTIONS!$H$54 * $F$8,
IF(AB$15=$G$4,  ASSUMPTIONS!$H$54 * $G$8,
IF(AB$15=$H$4,  ASSUMPTIONS!$H$54 * $H$8,
IF(AB$15=$I$4,  ASSUMPTIONS!$H$54 * $I$8, 0
)))))</f>
        <v>52</v>
      </c>
      <c r="AC23" s="153">
        <f>IF(AC$15=$E$4, ASSUMPTIONS!$H$54 * $E$8,
IF(AC$15=$F$4,  ASSUMPTIONS!$H$54 * $F$8,
IF(AC$15=$G$4,  ASSUMPTIONS!$H$54 * $G$8,
IF(AC$15=$H$4,  ASSUMPTIONS!$H$54 * $H$8,
IF(AC$15=$I$4,  ASSUMPTIONS!$H$54 * $I$8, 0
)))))</f>
        <v>54.08</v>
      </c>
      <c r="AD23" s="153">
        <f>IF(AD$15=$E$4, ASSUMPTIONS!$H$54 * $E$8,
IF(AD$15=$F$4,  ASSUMPTIONS!$H$54 * $F$8,
IF(AD$15=$G$4,  ASSUMPTIONS!$H$54 * $G$8,
IF(AD$15=$H$4,  ASSUMPTIONS!$H$54 * $H$8,
IF(AD$15=$I$4,  ASSUMPTIONS!$H$54 * $I$8, 0
)))))</f>
        <v>54.08</v>
      </c>
      <c r="AE23" s="153">
        <f>IF(AE$15=$E$4, ASSUMPTIONS!$H$54 * $E$8,
IF(AE$15=$F$4,  ASSUMPTIONS!$H$54 * $F$8,
IF(AE$15=$G$4,  ASSUMPTIONS!$H$54 * $G$8,
IF(AE$15=$H$4,  ASSUMPTIONS!$H$54 * $H$8,
IF(AE$15=$I$4,  ASSUMPTIONS!$H$54 * $I$8, 0
)))))</f>
        <v>54.08</v>
      </c>
      <c r="AF23" s="153">
        <f>IF(AF$15=$E$4, ASSUMPTIONS!$H$54 * $E$8,
IF(AF$15=$F$4,  ASSUMPTIONS!$H$54 * $F$8,
IF(AF$15=$G$4,  ASSUMPTIONS!$H$54 * $G$8,
IF(AF$15=$H$4,  ASSUMPTIONS!$H$54 * $H$8,
IF(AF$15=$I$4,  ASSUMPTIONS!$H$54 * $I$8, 0
)))))</f>
        <v>54.08</v>
      </c>
      <c r="AG23" s="153">
        <f>IF(AG$15=$E$4, ASSUMPTIONS!$H$54 * $E$8,
IF(AG$15=$F$4,  ASSUMPTIONS!$H$54 * $F$8,
IF(AG$15=$G$4,  ASSUMPTIONS!$H$54 * $G$8,
IF(AG$15=$H$4,  ASSUMPTIONS!$H$54 * $H$8,
IF(AG$15=$I$4,  ASSUMPTIONS!$H$54 * $I$8, 0
)))))</f>
        <v>54.08</v>
      </c>
      <c r="AH23" s="153">
        <f>IF(AH$15=$E$4, ASSUMPTIONS!$H$54 * $E$8,
IF(AH$15=$F$4,  ASSUMPTIONS!$H$54 * $F$8,
IF(AH$15=$G$4,  ASSUMPTIONS!$H$54 * $G$8,
IF(AH$15=$H$4,  ASSUMPTIONS!$H$54 * $H$8,
IF(AH$15=$I$4,  ASSUMPTIONS!$H$54 * $I$8, 0
)))))</f>
        <v>54.08</v>
      </c>
      <c r="AI23" s="153">
        <f>IF(AI$15=$E$4, ASSUMPTIONS!$H$54 * $E$8,
IF(AI$15=$F$4,  ASSUMPTIONS!$H$54 * $F$8,
IF(AI$15=$G$4,  ASSUMPTIONS!$H$54 * $G$8,
IF(AI$15=$H$4,  ASSUMPTIONS!$H$54 * $H$8,
IF(AI$15=$I$4,  ASSUMPTIONS!$H$54 * $I$8, 0
)))))</f>
        <v>54.08</v>
      </c>
      <c r="AJ23" s="153">
        <f>IF(AJ$15=$E$4, ASSUMPTIONS!$H$54 * $E$8,
IF(AJ$15=$F$4,  ASSUMPTIONS!$H$54 * $F$8,
IF(AJ$15=$G$4,  ASSUMPTIONS!$H$54 * $G$8,
IF(AJ$15=$H$4,  ASSUMPTIONS!$H$54 * $H$8,
IF(AJ$15=$I$4,  ASSUMPTIONS!$H$54 * $I$8, 0
)))))</f>
        <v>54.08</v>
      </c>
      <c r="AK23" s="153">
        <f>IF(AK$15=$E$4, ASSUMPTIONS!$H$54 * $E$8,
IF(AK$15=$F$4,  ASSUMPTIONS!$H$54 * $F$8,
IF(AK$15=$G$4,  ASSUMPTIONS!$H$54 * $G$8,
IF(AK$15=$H$4,  ASSUMPTIONS!$H$54 * $H$8,
IF(AK$15=$I$4,  ASSUMPTIONS!$H$54 * $I$8, 0
)))))</f>
        <v>54.08</v>
      </c>
      <c r="AL23" s="153">
        <f>IF(AL$15=$E$4, ASSUMPTIONS!$H$54 * $E$8,
IF(AL$15=$F$4,  ASSUMPTIONS!$H$54 * $F$8,
IF(AL$15=$G$4,  ASSUMPTIONS!$H$54 * $G$8,
IF(AL$15=$H$4,  ASSUMPTIONS!$H$54 * $H$8,
IF(AL$15=$I$4,  ASSUMPTIONS!$H$54 * $I$8, 0
)))))</f>
        <v>54.08</v>
      </c>
      <c r="AM23" s="153">
        <f>IF(AM$15=$E$4, ASSUMPTIONS!$H$54 * $E$8,
IF(AM$15=$F$4,  ASSUMPTIONS!$H$54 * $F$8,
IF(AM$15=$G$4,  ASSUMPTIONS!$H$54 * $G$8,
IF(AM$15=$H$4,  ASSUMPTIONS!$H$54 * $H$8,
IF(AM$15=$I$4,  ASSUMPTIONS!$H$54 * $I$8, 0
)))))</f>
        <v>54.08</v>
      </c>
      <c r="AN23" s="153">
        <f>IF(AN$15=$E$4, ASSUMPTIONS!$H$54 * $E$8,
IF(AN$15=$F$4,  ASSUMPTIONS!$H$54 * $F$8,
IF(AN$15=$G$4,  ASSUMPTIONS!$H$54 * $G$8,
IF(AN$15=$H$4,  ASSUMPTIONS!$H$54 * $H$8,
IF(AN$15=$I$4,  ASSUMPTIONS!$H$54 * $I$8, 0
)))))</f>
        <v>54.08</v>
      </c>
      <c r="AO23" s="153">
        <f>IF(AO$15=$E$4, ASSUMPTIONS!$H$54 * $E$8,
IF(AO$15=$F$4,  ASSUMPTIONS!$H$54 * $F$8,
IF(AO$15=$G$4,  ASSUMPTIONS!$H$54 * $G$8,
IF(AO$15=$H$4,  ASSUMPTIONS!$H$54 * $H$8,
IF(AO$15=$I$4,  ASSUMPTIONS!$H$54 * $I$8, 0
)))))</f>
        <v>56.2432</v>
      </c>
      <c r="AP23" s="153">
        <f>IF(AP$15=$E$4, ASSUMPTIONS!$H$54 * $E$8,
IF(AP$15=$F$4,  ASSUMPTIONS!$H$54 * $F$8,
IF(AP$15=$G$4,  ASSUMPTIONS!$H$54 * $G$8,
IF(AP$15=$H$4,  ASSUMPTIONS!$H$54 * $H$8,
IF(AP$15=$I$4,  ASSUMPTIONS!$H$54 * $I$8, 0
)))))</f>
        <v>56.2432</v>
      </c>
      <c r="AQ23" s="153">
        <f>IF(AQ$15=$E$4, ASSUMPTIONS!$H$54 * $E$8,
IF(AQ$15=$F$4,  ASSUMPTIONS!$H$54 * $F$8,
IF(AQ$15=$G$4,  ASSUMPTIONS!$H$54 * $G$8,
IF(AQ$15=$H$4,  ASSUMPTIONS!$H$54 * $H$8,
IF(AQ$15=$I$4,  ASSUMPTIONS!$H$54 * $I$8, 0
)))))</f>
        <v>56.2432</v>
      </c>
      <c r="AR23" s="153">
        <f>IF(AR$15=$E$4, ASSUMPTIONS!$H$54 * $E$8,
IF(AR$15=$F$4,  ASSUMPTIONS!$H$54 * $F$8,
IF(AR$15=$G$4,  ASSUMPTIONS!$H$54 * $G$8,
IF(AR$15=$H$4,  ASSUMPTIONS!$H$54 * $H$8,
IF(AR$15=$I$4,  ASSUMPTIONS!$H$54 * $I$8, 0
)))))</f>
        <v>56.2432</v>
      </c>
      <c r="AS23" s="153">
        <f>IF(AS$15=$E$4, ASSUMPTIONS!$H$54 * $E$8,
IF(AS$15=$F$4,  ASSUMPTIONS!$H$54 * $F$8,
IF(AS$15=$G$4,  ASSUMPTIONS!$H$54 * $G$8,
IF(AS$15=$H$4,  ASSUMPTIONS!$H$54 * $H$8,
IF(AS$15=$I$4,  ASSUMPTIONS!$H$54 * $I$8, 0
)))))</f>
        <v>56.2432</v>
      </c>
      <c r="AT23" s="153">
        <f>IF(AT$15=$E$4, ASSUMPTIONS!$H$54 * $E$8,
IF(AT$15=$F$4,  ASSUMPTIONS!$H$54 * $F$8,
IF(AT$15=$G$4,  ASSUMPTIONS!$H$54 * $G$8,
IF(AT$15=$H$4,  ASSUMPTIONS!$H$54 * $H$8,
IF(AT$15=$I$4,  ASSUMPTIONS!$H$54 * $I$8, 0
)))))</f>
        <v>56.2432</v>
      </c>
      <c r="AU23" s="153">
        <f>IF(AU$15=$E$4, ASSUMPTIONS!$H$54 * $E$8,
IF(AU$15=$F$4,  ASSUMPTIONS!$H$54 * $F$8,
IF(AU$15=$G$4,  ASSUMPTIONS!$H$54 * $G$8,
IF(AU$15=$H$4,  ASSUMPTIONS!$H$54 * $H$8,
IF(AU$15=$I$4,  ASSUMPTIONS!$H$54 * $I$8, 0
)))))</f>
        <v>56.2432</v>
      </c>
      <c r="AV23" s="153">
        <f>IF(AV$15=$E$4, ASSUMPTIONS!$H$54 * $E$8,
IF(AV$15=$F$4,  ASSUMPTIONS!$H$54 * $F$8,
IF(AV$15=$G$4,  ASSUMPTIONS!$H$54 * $G$8,
IF(AV$15=$H$4,  ASSUMPTIONS!$H$54 * $H$8,
IF(AV$15=$I$4,  ASSUMPTIONS!$H$54 * $I$8, 0
)))))</f>
        <v>56.2432</v>
      </c>
      <c r="AW23" s="153">
        <f>IF(AW$15=$E$4, ASSUMPTIONS!$H$54 * $E$8,
IF(AW$15=$F$4,  ASSUMPTIONS!$H$54 * $F$8,
IF(AW$15=$G$4,  ASSUMPTIONS!$H$54 * $G$8,
IF(AW$15=$H$4,  ASSUMPTIONS!$H$54 * $H$8,
IF(AW$15=$I$4,  ASSUMPTIONS!$H$54 * $I$8, 0
)))))</f>
        <v>56.2432</v>
      </c>
      <c r="AX23" s="153">
        <f>IF(AX$15=$E$4, ASSUMPTIONS!$H$54 * $E$8,
IF(AX$15=$F$4,  ASSUMPTIONS!$H$54 * $F$8,
IF(AX$15=$G$4,  ASSUMPTIONS!$H$54 * $G$8,
IF(AX$15=$H$4,  ASSUMPTIONS!$H$54 * $H$8,
IF(AX$15=$I$4,  ASSUMPTIONS!$H$54 * $I$8, 0
)))))</f>
        <v>56.2432</v>
      </c>
      <c r="AY23" s="153">
        <f>IF(AY$15=$E$4, ASSUMPTIONS!$H$54 * $E$8,
IF(AY$15=$F$4,  ASSUMPTIONS!$H$54 * $F$8,
IF(AY$15=$G$4,  ASSUMPTIONS!$H$54 * $G$8,
IF(AY$15=$H$4,  ASSUMPTIONS!$H$54 * $H$8,
IF(AY$15=$I$4,  ASSUMPTIONS!$H$54 * $I$8, 0
)))))</f>
        <v>56.2432</v>
      </c>
      <c r="AZ23" s="153">
        <f>IF(AZ$15=$E$4, ASSUMPTIONS!$H$54 * $E$8,
IF(AZ$15=$F$4,  ASSUMPTIONS!$H$54 * $F$8,
IF(AZ$15=$G$4,  ASSUMPTIONS!$H$54 * $G$8,
IF(AZ$15=$H$4,  ASSUMPTIONS!$H$54 * $H$8,
IF(AZ$15=$I$4,  ASSUMPTIONS!$H$54 * $I$8, 0
)))))</f>
        <v>56.2432</v>
      </c>
      <c r="BA23" s="153">
        <f>IF(BA$15=$E$4, ASSUMPTIONS!$H$54 * $E$8,
IF(BA$15=$F$4,  ASSUMPTIONS!$H$54 * $F$8,
IF(BA$15=$G$4,  ASSUMPTIONS!$H$54 * $G$8,
IF(BA$15=$H$4,  ASSUMPTIONS!$H$54 * $H$8,
IF(BA$15=$I$4,  ASSUMPTIONS!$H$54 * $I$8, 0
)))))</f>
        <v>58.492928</v>
      </c>
      <c r="BB23" s="153">
        <f>IF(BB$15=$E$4, ASSUMPTIONS!$H$54 * $E$8,
IF(BB$15=$F$4,  ASSUMPTIONS!$H$54 * $F$8,
IF(BB$15=$G$4,  ASSUMPTIONS!$H$54 * $G$8,
IF(BB$15=$H$4,  ASSUMPTIONS!$H$54 * $H$8,
IF(BB$15=$I$4,  ASSUMPTIONS!$H$54 * $I$8, 0
)))))</f>
        <v>58.492928</v>
      </c>
      <c r="BC23" s="153">
        <f>IF(BC$15=$E$4, ASSUMPTIONS!$H$54 * $E$8,
IF(BC$15=$F$4,  ASSUMPTIONS!$H$54 * $F$8,
IF(BC$15=$G$4,  ASSUMPTIONS!$H$54 * $G$8,
IF(BC$15=$H$4,  ASSUMPTIONS!$H$54 * $H$8,
IF(BC$15=$I$4,  ASSUMPTIONS!$H$54 * $I$8, 0
)))))</f>
        <v>58.492928</v>
      </c>
      <c r="BD23" s="153">
        <f>IF(BD$15=$E$4, ASSUMPTIONS!$H$54 * $E$8,
IF(BD$15=$F$4,  ASSUMPTIONS!$H$54 * $F$8,
IF(BD$15=$G$4,  ASSUMPTIONS!$H$54 * $G$8,
IF(BD$15=$H$4,  ASSUMPTIONS!$H$54 * $H$8,
IF(BD$15=$I$4,  ASSUMPTIONS!$H$54 * $I$8, 0
)))))</f>
        <v>58.492928</v>
      </c>
      <c r="BE23" s="153">
        <f>IF(BE$15=$E$4, ASSUMPTIONS!$H$54 * $E$8,
IF(BE$15=$F$4,  ASSUMPTIONS!$H$54 * $F$8,
IF(BE$15=$G$4,  ASSUMPTIONS!$H$54 * $G$8,
IF(BE$15=$H$4,  ASSUMPTIONS!$H$54 * $H$8,
IF(BE$15=$I$4,  ASSUMPTIONS!$H$54 * $I$8, 0
)))))</f>
        <v>58.492928</v>
      </c>
      <c r="BF23" s="153">
        <f>IF(BF$15=$E$4, ASSUMPTIONS!$H$54 * $E$8,
IF(BF$15=$F$4,  ASSUMPTIONS!$H$54 * $F$8,
IF(BF$15=$G$4,  ASSUMPTIONS!$H$54 * $G$8,
IF(BF$15=$H$4,  ASSUMPTIONS!$H$54 * $H$8,
IF(BF$15=$I$4,  ASSUMPTIONS!$H$54 * $I$8, 0
)))))</f>
        <v>58.492928</v>
      </c>
      <c r="BG23" s="153">
        <f>IF(BG$15=$E$4, ASSUMPTIONS!$H$54 * $E$8,
IF(BG$15=$F$4,  ASSUMPTIONS!$H$54 * $F$8,
IF(BG$15=$G$4,  ASSUMPTIONS!$H$54 * $G$8,
IF(BG$15=$H$4,  ASSUMPTIONS!$H$54 * $H$8,
IF(BG$15=$I$4,  ASSUMPTIONS!$H$54 * $I$8, 0
)))))</f>
        <v>58.492928</v>
      </c>
      <c r="BH23" s="153">
        <f>IF(BH$15=$E$4, ASSUMPTIONS!$H$54 * $E$8,
IF(BH$15=$F$4,  ASSUMPTIONS!$H$54 * $F$8,
IF(BH$15=$G$4,  ASSUMPTIONS!$H$54 * $G$8,
IF(BH$15=$H$4,  ASSUMPTIONS!$H$54 * $H$8,
IF(BH$15=$I$4,  ASSUMPTIONS!$H$54 * $I$8, 0
)))))</f>
        <v>58.492928</v>
      </c>
      <c r="BI23" s="153">
        <f>IF(BI$15=$E$4, ASSUMPTIONS!$H$54 * $E$8,
IF(BI$15=$F$4,  ASSUMPTIONS!$H$54 * $F$8,
IF(BI$15=$G$4,  ASSUMPTIONS!$H$54 * $G$8,
IF(BI$15=$H$4,  ASSUMPTIONS!$H$54 * $H$8,
IF(BI$15=$I$4,  ASSUMPTIONS!$H$54 * $I$8, 0
)))))</f>
        <v>58.492928</v>
      </c>
      <c r="BJ23" s="153">
        <f>IF(BJ$15=$E$4, ASSUMPTIONS!$H$54 * $E$8,
IF(BJ$15=$F$4,  ASSUMPTIONS!$H$54 * $F$8,
IF(BJ$15=$G$4,  ASSUMPTIONS!$H$54 * $G$8,
IF(BJ$15=$H$4,  ASSUMPTIONS!$H$54 * $H$8,
IF(BJ$15=$I$4,  ASSUMPTIONS!$H$54 * $I$8, 0
)))))</f>
        <v>58.492928</v>
      </c>
      <c r="BK23" s="153">
        <f>IF(BK$15=$E$4, ASSUMPTIONS!$H$54 * $E$8,
IF(BK$15=$F$4,  ASSUMPTIONS!$H$54 * $F$8,
IF(BK$15=$G$4,  ASSUMPTIONS!$H$54 * $G$8,
IF(BK$15=$H$4,  ASSUMPTIONS!$H$54 * $H$8,
IF(BK$15=$I$4,  ASSUMPTIONS!$H$54 * $I$8, 0
)))))</f>
        <v>58.492928</v>
      </c>
      <c r="BL23" s="153">
        <f>IF(BL$15=$E$4, ASSUMPTIONS!$H$54 * $E$8,
IF(BL$15=$F$4,  ASSUMPTIONS!$H$54 * $F$8,
IF(BL$15=$G$4,  ASSUMPTIONS!$H$54 * $G$8,
IF(BL$15=$H$4,  ASSUMPTIONS!$H$54 * $H$8,
IF(BL$15=$I$4,  ASSUMPTIONS!$H$54 * $I$8, 0
)))))</f>
        <v>58.492928</v>
      </c>
    </row>
    <row r="24" ht="15.75" customHeight="1">
      <c r="D24" s="57" t="s">
        <v>165</v>
      </c>
      <c r="E24" s="153">
        <f t="shared" ref="E24:BL24" si="5">E22 * E23</f>
        <v>0</v>
      </c>
      <c r="F24" s="153">
        <f t="shared" si="5"/>
        <v>0</v>
      </c>
      <c r="G24" s="153">
        <f t="shared" si="5"/>
        <v>0</v>
      </c>
      <c r="H24" s="153">
        <f t="shared" si="5"/>
        <v>0</v>
      </c>
      <c r="I24" s="153">
        <f t="shared" si="5"/>
        <v>0</v>
      </c>
      <c r="J24" s="153">
        <f t="shared" si="5"/>
        <v>0</v>
      </c>
      <c r="K24" s="153">
        <f t="shared" si="5"/>
        <v>7500000</v>
      </c>
      <c r="L24" s="153">
        <f t="shared" si="5"/>
        <v>7500000</v>
      </c>
      <c r="M24" s="153">
        <f t="shared" si="5"/>
        <v>7500000</v>
      </c>
      <c r="N24" s="153">
        <f t="shared" si="5"/>
        <v>7500000</v>
      </c>
      <c r="O24" s="153">
        <f t="shared" si="5"/>
        <v>7500000</v>
      </c>
      <c r="P24" s="153">
        <f t="shared" si="5"/>
        <v>7500000</v>
      </c>
      <c r="Q24" s="153">
        <f t="shared" si="5"/>
        <v>7800000</v>
      </c>
      <c r="R24" s="153">
        <f t="shared" si="5"/>
        <v>7800000</v>
      </c>
      <c r="S24" s="153">
        <f t="shared" si="5"/>
        <v>7800000</v>
      </c>
      <c r="T24" s="153">
        <f t="shared" si="5"/>
        <v>7800000</v>
      </c>
      <c r="U24" s="153">
        <f t="shared" si="5"/>
        <v>7800000</v>
      </c>
      <c r="V24" s="153">
        <f t="shared" si="5"/>
        <v>7800000</v>
      </c>
      <c r="W24" s="153">
        <f t="shared" si="5"/>
        <v>7800000</v>
      </c>
      <c r="X24" s="153">
        <f t="shared" si="5"/>
        <v>7800000</v>
      </c>
      <c r="Y24" s="153">
        <f t="shared" si="5"/>
        <v>7800000</v>
      </c>
      <c r="Z24" s="153">
        <f t="shared" si="5"/>
        <v>7800000</v>
      </c>
      <c r="AA24" s="153">
        <f t="shared" si="5"/>
        <v>7800000</v>
      </c>
      <c r="AB24" s="153">
        <f t="shared" si="5"/>
        <v>7800000</v>
      </c>
      <c r="AC24" s="153">
        <f t="shared" si="5"/>
        <v>16224000</v>
      </c>
      <c r="AD24" s="153">
        <f t="shared" si="5"/>
        <v>16224000</v>
      </c>
      <c r="AE24" s="153">
        <f t="shared" si="5"/>
        <v>16224000</v>
      </c>
      <c r="AF24" s="153">
        <f t="shared" si="5"/>
        <v>16224000</v>
      </c>
      <c r="AG24" s="153">
        <f t="shared" si="5"/>
        <v>16224000</v>
      </c>
      <c r="AH24" s="153">
        <f t="shared" si="5"/>
        <v>16224000</v>
      </c>
      <c r="AI24" s="153">
        <f t="shared" si="5"/>
        <v>16224000</v>
      </c>
      <c r="AJ24" s="153">
        <f t="shared" si="5"/>
        <v>16224000</v>
      </c>
      <c r="AK24" s="153">
        <f t="shared" si="5"/>
        <v>16224000</v>
      </c>
      <c r="AL24" s="153">
        <f t="shared" si="5"/>
        <v>16224000</v>
      </c>
      <c r="AM24" s="153">
        <f t="shared" si="5"/>
        <v>16224000</v>
      </c>
      <c r="AN24" s="153">
        <f t="shared" si="5"/>
        <v>16224000</v>
      </c>
      <c r="AO24" s="153">
        <f t="shared" si="5"/>
        <v>50618880</v>
      </c>
      <c r="AP24" s="153">
        <f t="shared" si="5"/>
        <v>50618880</v>
      </c>
      <c r="AQ24" s="153">
        <f t="shared" si="5"/>
        <v>50618880</v>
      </c>
      <c r="AR24" s="153">
        <f t="shared" si="5"/>
        <v>50618880</v>
      </c>
      <c r="AS24" s="153">
        <f t="shared" si="5"/>
        <v>50618880</v>
      </c>
      <c r="AT24" s="153">
        <f t="shared" si="5"/>
        <v>50618880</v>
      </c>
      <c r="AU24" s="153">
        <f t="shared" si="5"/>
        <v>50618880</v>
      </c>
      <c r="AV24" s="153">
        <f t="shared" si="5"/>
        <v>50618880</v>
      </c>
      <c r="AW24" s="153">
        <f t="shared" si="5"/>
        <v>50618880</v>
      </c>
      <c r="AX24" s="153">
        <f t="shared" si="5"/>
        <v>50618880</v>
      </c>
      <c r="AY24" s="153">
        <f t="shared" si="5"/>
        <v>50618880</v>
      </c>
      <c r="AZ24" s="153">
        <f t="shared" si="5"/>
        <v>50618880</v>
      </c>
      <c r="BA24" s="153">
        <f t="shared" si="5"/>
        <v>52643635.2</v>
      </c>
      <c r="BB24" s="153">
        <f t="shared" si="5"/>
        <v>52643635.2</v>
      </c>
      <c r="BC24" s="153">
        <f t="shared" si="5"/>
        <v>52643635.2</v>
      </c>
      <c r="BD24" s="153">
        <f t="shared" si="5"/>
        <v>52643635.2</v>
      </c>
      <c r="BE24" s="153">
        <f t="shared" si="5"/>
        <v>52643635.2</v>
      </c>
      <c r="BF24" s="153">
        <f t="shared" si="5"/>
        <v>52643635.2</v>
      </c>
      <c r="BG24" s="153">
        <f t="shared" si="5"/>
        <v>52643635.2</v>
      </c>
      <c r="BH24" s="153">
        <f t="shared" si="5"/>
        <v>52643635.2</v>
      </c>
      <c r="BI24" s="153">
        <f t="shared" si="5"/>
        <v>52643635.2</v>
      </c>
      <c r="BJ24" s="153">
        <f t="shared" si="5"/>
        <v>52643635.2</v>
      </c>
      <c r="BK24" s="153">
        <f t="shared" si="5"/>
        <v>52643635.2</v>
      </c>
      <c r="BL24" s="140">
        <f t="shared" si="5"/>
        <v>52643635.2</v>
      </c>
    </row>
    <row r="25" ht="15.75" customHeight="1">
      <c r="D25" s="29" t="s">
        <v>166</v>
      </c>
      <c r="BL25" s="31"/>
    </row>
    <row r="26" ht="15.75" customHeight="1">
      <c r="D26" s="35" t="s">
        <v>140</v>
      </c>
      <c r="E26" s="153">
        <f>'PRODUCT PRICING &amp; REVENUE ENGIN'!E49 * ASSUMPTIONS!$L$17</f>
        <v>0</v>
      </c>
      <c r="F26" s="153">
        <f>'PRODUCT PRICING &amp; REVENUE ENGIN'!F49 * ASSUMPTIONS!$L$17</f>
        <v>0</v>
      </c>
      <c r="G26" s="153">
        <f>'PRODUCT PRICING &amp; REVENUE ENGIN'!G49 * ASSUMPTIONS!$L$17</f>
        <v>0</v>
      </c>
      <c r="H26" s="153">
        <f>'PRODUCT PRICING &amp; REVENUE ENGIN'!H49 * ASSUMPTIONS!$L$17</f>
        <v>0</v>
      </c>
      <c r="I26" s="153">
        <f>'PRODUCT PRICING &amp; REVENUE ENGIN'!I49 * ASSUMPTIONS!$L$17</f>
        <v>95480.9856</v>
      </c>
      <c r="J26" s="153">
        <f>'PRODUCT PRICING &amp; REVENUE ENGIN'!J49 * ASSUMPTIONS!$L$17</f>
        <v>190961.9712</v>
      </c>
      <c r="K26" s="153">
        <f>'PRODUCT PRICING &amp; REVENUE ENGIN'!K49 * ASSUMPTIONS!$L$17</f>
        <v>286442.9568</v>
      </c>
      <c r="L26" s="153">
        <f>'PRODUCT PRICING &amp; REVENUE ENGIN'!L49 * ASSUMPTIONS!$L$17</f>
        <v>381923.9424</v>
      </c>
      <c r="M26" s="153">
        <f>'PRODUCT PRICING &amp; REVENUE ENGIN'!M49 * ASSUMPTIONS!$L$17</f>
        <v>477404.928</v>
      </c>
      <c r="N26" s="153">
        <f>'PRODUCT PRICING &amp; REVENUE ENGIN'!N49 * ASSUMPTIONS!$L$17</f>
        <v>572885.9136</v>
      </c>
      <c r="O26" s="153">
        <f>'PRODUCT PRICING &amp; REVENUE ENGIN'!O49 * ASSUMPTIONS!$L$17</f>
        <v>668366.8992</v>
      </c>
      <c r="P26" s="153">
        <f>'PRODUCT PRICING &amp; REVENUE ENGIN'!P49 * ASSUMPTIONS!$L$17</f>
        <v>763847.8848</v>
      </c>
      <c r="Q26" s="153">
        <f>'PRODUCT PRICING &amp; REVENUE ENGIN'!Q49 * ASSUMPTIONS!$L$17</f>
        <v>898119.6517</v>
      </c>
      <c r="R26" s="153">
        <f>'PRODUCT PRICING &amp; REVENUE ENGIN'!R49 * ASSUMPTIONS!$L$17</f>
        <v>997910.7241</v>
      </c>
      <c r="S26" s="153">
        <f>'PRODUCT PRICING &amp; REVENUE ENGIN'!S49 * ASSUMPTIONS!$L$17</f>
        <v>1097701.797</v>
      </c>
      <c r="T26" s="153">
        <f>'PRODUCT PRICING &amp; REVENUE ENGIN'!T49 * ASSUMPTIONS!$L$17</f>
        <v>1197492.869</v>
      </c>
      <c r="U26" s="153">
        <f>'PRODUCT PRICING &amp; REVENUE ENGIN'!U49 * ASSUMPTIONS!$L$17</f>
        <v>1297283.941</v>
      </c>
      <c r="V26" s="153">
        <f>'PRODUCT PRICING &amp; REVENUE ENGIN'!V49 * ASSUMPTIONS!$L$17</f>
        <v>1397075.014</v>
      </c>
      <c r="W26" s="153">
        <f>'PRODUCT PRICING &amp; REVENUE ENGIN'!W49 * ASSUMPTIONS!$L$17</f>
        <v>1496866.086</v>
      </c>
      <c r="X26" s="153">
        <f>'PRODUCT PRICING &amp; REVENUE ENGIN'!X49 * ASSUMPTIONS!$L$17</f>
        <v>1596657.159</v>
      </c>
      <c r="Y26" s="153">
        <f>'PRODUCT PRICING &amp; REVENUE ENGIN'!Y49 * ASSUMPTIONS!$L$17</f>
        <v>1696448.231</v>
      </c>
      <c r="Z26" s="153">
        <f>'PRODUCT PRICING &amp; REVENUE ENGIN'!Z49 * ASSUMPTIONS!$L$17</f>
        <v>1796239.303</v>
      </c>
      <c r="AA26" s="153">
        <f>'PRODUCT PRICING &amp; REVENUE ENGIN'!AA49 * ASSUMPTIONS!$L$17</f>
        <v>1896030.376</v>
      </c>
      <c r="AB26" s="153">
        <f>'PRODUCT PRICING &amp; REVENUE ENGIN'!AB49 * ASSUMPTIONS!$L$17</f>
        <v>1995821.448</v>
      </c>
      <c r="AC26" s="153">
        <f>'PRODUCT PRICING &amp; REVENUE ENGIN'!AC49 * ASSUMPTIONS!$L$17</f>
        <v>2221020.028</v>
      </c>
      <c r="AD26" s="153">
        <f>'PRODUCT PRICING &amp; REVENUE ENGIN'!AD49 * ASSUMPTIONS!$L$17</f>
        <v>2326782.887</v>
      </c>
      <c r="AE26" s="153">
        <f>'PRODUCT PRICING &amp; REVENUE ENGIN'!AE49 * ASSUMPTIONS!$L$17</f>
        <v>2432545.745</v>
      </c>
      <c r="AF26" s="153">
        <f>'PRODUCT PRICING &amp; REVENUE ENGIN'!AF49 * ASSUMPTIONS!$L$17</f>
        <v>2538308.604</v>
      </c>
      <c r="AG26" s="153">
        <f>'PRODUCT PRICING &amp; REVENUE ENGIN'!AG49 * ASSUMPTIONS!$L$17</f>
        <v>2644071.462</v>
      </c>
      <c r="AH26" s="153">
        <f>'PRODUCT PRICING &amp; REVENUE ENGIN'!AH49 * ASSUMPTIONS!$L$17</f>
        <v>2749834.321</v>
      </c>
      <c r="AI26" s="153">
        <f>'PRODUCT PRICING &amp; REVENUE ENGIN'!AI49 * ASSUMPTIONS!$L$17</f>
        <v>2855597.179</v>
      </c>
      <c r="AJ26" s="153">
        <f>'PRODUCT PRICING &amp; REVENUE ENGIN'!AJ49 * ASSUMPTIONS!$L$17</f>
        <v>2961360.038</v>
      </c>
      <c r="AK26" s="153">
        <f>'PRODUCT PRICING &amp; REVENUE ENGIN'!AK49 * ASSUMPTIONS!$L$17</f>
        <v>3067122.896</v>
      </c>
      <c r="AL26" s="153">
        <f>'PRODUCT PRICING &amp; REVENUE ENGIN'!AL49 * ASSUMPTIONS!$L$17</f>
        <v>3172885.755</v>
      </c>
      <c r="AM26" s="153">
        <f>'PRODUCT PRICING &amp; REVENUE ENGIN'!AM49 * ASSUMPTIONS!$L$17</f>
        <v>3278648.613</v>
      </c>
      <c r="AN26" s="153">
        <f>'PRODUCT PRICING &amp; REVENUE ENGIN'!AN49 * ASSUMPTIONS!$L$17</f>
        <v>3384411.472</v>
      </c>
      <c r="AO26" s="153">
        <f>'PRODUCT PRICING &amp; REVENUE ENGIN'!AO49 * ASSUMPTIONS!$L$17</f>
        <v>3920109.893</v>
      </c>
      <c r="AP26" s="153">
        <f>'PRODUCT PRICING &amp; REVENUE ENGIN'!AP49 * ASSUMPTIONS!$L$17</f>
        <v>4256119.312</v>
      </c>
      <c r="AQ26" s="153">
        <f>'PRODUCT PRICING &amp; REVENUE ENGIN'!AQ49 * ASSUMPTIONS!$L$17</f>
        <v>4592128.731</v>
      </c>
      <c r="AR26" s="153">
        <f>'PRODUCT PRICING &amp; REVENUE ENGIN'!AR49 * ASSUMPTIONS!$L$17</f>
        <v>4928138.151</v>
      </c>
      <c r="AS26" s="153">
        <f>'PRODUCT PRICING &amp; REVENUE ENGIN'!AS49 * ASSUMPTIONS!$L$17</f>
        <v>5264147.57</v>
      </c>
      <c r="AT26" s="153">
        <f>'PRODUCT PRICING &amp; REVENUE ENGIN'!AT49 * ASSUMPTIONS!$L$17</f>
        <v>5600156.989</v>
      </c>
      <c r="AU26" s="153">
        <f>'PRODUCT PRICING &amp; REVENUE ENGIN'!AU49 * ASSUMPTIONS!$L$17</f>
        <v>5936166.409</v>
      </c>
      <c r="AV26" s="153">
        <f>'PRODUCT PRICING &amp; REVENUE ENGIN'!AV49 * ASSUMPTIONS!$L$17</f>
        <v>6272175.828</v>
      </c>
      <c r="AW26" s="153">
        <f>'PRODUCT PRICING &amp; REVENUE ENGIN'!AW49 * ASSUMPTIONS!$L$17</f>
        <v>6272175.828</v>
      </c>
      <c r="AX26" s="153">
        <f>'PRODUCT PRICING &amp; REVENUE ENGIN'!AX49 * ASSUMPTIONS!$L$17</f>
        <v>6272175.828</v>
      </c>
      <c r="AY26" s="153">
        <f>'PRODUCT PRICING &amp; REVENUE ENGIN'!AY49 * ASSUMPTIONS!$L$17</f>
        <v>6272175.828</v>
      </c>
      <c r="AZ26" s="153">
        <f>'PRODUCT PRICING &amp; REVENUE ENGIN'!AZ49 * ASSUMPTIONS!$L$17</f>
        <v>6272175.828</v>
      </c>
      <c r="BA26" s="153">
        <f>'PRODUCT PRICING &amp; REVENUE ENGIN'!BA49 * ASSUMPTIONS!$L$17</f>
        <v>6902659.539</v>
      </c>
      <c r="BB26" s="153">
        <f>'PRODUCT PRICING &amp; REVENUE ENGIN'!BB49 * ASSUMPTIONS!$L$17</f>
        <v>6902659.539</v>
      </c>
      <c r="BC26" s="153">
        <f>'PRODUCT PRICING &amp; REVENUE ENGIN'!BC49 * ASSUMPTIONS!$L$17</f>
        <v>6902659.539</v>
      </c>
      <c r="BD26" s="153">
        <f>'PRODUCT PRICING &amp; REVENUE ENGIN'!BD49 * ASSUMPTIONS!$L$17</f>
        <v>6902659.539</v>
      </c>
      <c r="BE26" s="153">
        <f>'PRODUCT PRICING &amp; REVENUE ENGIN'!BE49 * ASSUMPTIONS!$L$17</f>
        <v>6902659.539</v>
      </c>
      <c r="BF26" s="153">
        <f>'PRODUCT PRICING &amp; REVENUE ENGIN'!BF49 * ASSUMPTIONS!$L$17</f>
        <v>6902659.539</v>
      </c>
      <c r="BG26" s="153">
        <f>'PRODUCT PRICING &amp; REVENUE ENGIN'!BG49 * ASSUMPTIONS!$L$17</f>
        <v>6902659.539</v>
      </c>
      <c r="BH26" s="153">
        <f>'PRODUCT PRICING &amp; REVENUE ENGIN'!BH49 * ASSUMPTIONS!$L$17</f>
        <v>6902659.539</v>
      </c>
      <c r="BI26" s="153">
        <f>'PRODUCT PRICING &amp; REVENUE ENGIN'!BI49 * ASSUMPTIONS!$L$17</f>
        <v>6902659.539</v>
      </c>
      <c r="BJ26" s="153">
        <f>'PRODUCT PRICING &amp; REVENUE ENGIN'!BJ49 * ASSUMPTIONS!$L$17</f>
        <v>6902659.539</v>
      </c>
      <c r="BK26" s="153">
        <f>'PRODUCT PRICING &amp; REVENUE ENGIN'!BK49 * ASSUMPTIONS!$L$17</f>
        <v>6902659.539</v>
      </c>
      <c r="BL26" s="140">
        <f>'PRODUCT PRICING &amp; REVENUE ENGIN'!BL49 * ASSUMPTIONS!$L$17</f>
        <v>6902659.539</v>
      </c>
    </row>
    <row r="27" ht="15.75" customHeight="1">
      <c r="D27" s="35" t="s">
        <v>19</v>
      </c>
      <c r="E27" s="153">
        <f>'PRODUCT PRICING &amp; REVENUE ENGIN'!E50 * ASSUMPTIONS!$L$19</f>
        <v>0</v>
      </c>
      <c r="F27" s="153">
        <f>'PRODUCT PRICING &amp; REVENUE ENGIN'!F50 * ASSUMPTIONS!$L$19</f>
        <v>0</v>
      </c>
      <c r="G27" s="153">
        <f>'PRODUCT PRICING &amp; REVENUE ENGIN'!G50 * ASSUMPTIONS!$L$19</f>
        <v>0</v>
      </c>
      <c r="H27" s="153">
        <f>'PRODUCT PRICING &amp; REVENUE ENGIN'!H50 * ASSUMPTIONS!$L$19</f>
        <v>0</v>
      </c>
      <c r="I27" s="153">
        <f>'PRODUCT PRICING &amp; REVENUE ENGIN'!I50 * ASSUMPTIONS!$L$19</f>
        <v>0</v>
      </c>
      <c r="J27" s="153">
        <f>'PRODUCT PRICING &amp; REVENUE ENGIN'!J50 * ASSUMPTIONS!$L$19</f>
        <v>0</v>
      </c>
      <c r="K27" s="153">
        <f>'PRODUCT PRICING &amp; REVENUE ENGIN'!K50 * ASSUMPTIONS!$L$19</f>
        <v>87713.28</v>
      </c>
      <c r="L27" s="153">
        <f>'PRODUCT PRICING &amp; REVENUE ENGIN'!L50 * ASSUMPTIONS!$L$19</f>
        <v>87713.28</v>
      </c>
      <c r="M27" s="153">
        <f>'PRODUCT PRICING &amp; REVENUE ENGIN'!M50 * ASSUMPTIONS!$L$19</f>
        <v>87713.28</v>
      </c>
      <c r="N27" s="153">
        <f>'PRODUCT PRICING &amp; REVENUE ENGIN'!N50 * ASSUMPTIONS!$L$19</f>
        <v>87713.28</v>
      </c>
      <c r="O27" s="153">
        <f>'PRODUCT PRICING &amp; REVENUE ENGIN'!O50 * ASSUMPTIONS!$L$19</f>
        <v>87713.28</v>
      </c>
      <c r="P27" s="153">
        <f>'PRODUCT PRICING &amp; REVENUE ENGIN'!P50 * ASSUMPTIONS!$L$19</f>
        <v>87713.28</v>
      </c>
      <c r="Q27" s="153">
        <f>'PRODUCT PRICING &amp; REVENUE ENGIN'!Q50 * ASSUMPTIONS!$L$19</f>
        <v>93889.7568</v>
      </c>
      <c r="R27" s="153">
        <f>'PRODUCT PRICING &amp; REVENUE ENGIN'!R50 * ASSUMPTIONS!$L$19</f>
        <v>93889.7568</v>
      </c>
      <c r="S27" s="153">
        <f>'PRODUCT PRICING &amp; REVENUE ENGIN'!S50 * ASSUMPTIONS!$L$19</f>
        <v>93889.7568</v>
      </c>
      <c r="T27" s="153">
        <f>'PRODUCT PRICING &amp; REVENUE ENGIN'!T50 * ASSUMPTIONS!$L$19</f>
        <v>93889.7568</v>
      </c>
      <c r="U27" s="153">
        <f>'PRODUCT PRICING &amp; REVENUE ENGIN'!U50 * ASSUMPTIONS!$L$19</f>
        <v>93889.7568</v>
      </c>
      <c r="V27" s="153">
        <f>'PRODUCT PRICING &amp; REVENUE ENGIN'!V50 * ASSUMPTIONS!$L$19</f>
        <v>93889.7568</v>
      </c>
      <c r="W27" s="153">
        <f>'PRODUCT PRICING &amp; REVENUE ENGIN'!W50 * ASSUMPTIONS!$L$19</f>
        <v>93889.7568</v>
      </c>
      <c r="X27" s="153">
        <f>'PRODUCT PRICING &amp; REVENUE ENGIN'!X50 * ASSUMPTIONS!$L$19</f>
        <v>93889.7568</v>
      </c>
      <c r="Y27" s="153">
        <f>'PRODUCT PRICING &amp; REVENUE ENGIN'!Y50 * ASSUMPTIONS!$L$19</f>
        <v>93889.7568</v>
      </c>
      <c r="Z27" s="153">
        <f>'PRODUCT PRICING &amp; REVENUE ENGIN'!Z50 * ASSUMPTIONS!$L$19</f>
        <v>93889.7568</v>
      </c>
      <c r="AA27" s="153">
        <f>'PRODUCT PRICING &amp; REVENUE ENGIN'!AA50 * ASSUMPTIONS!$L$19</f>
        <v>93889.7568</v>
      </c>
      <c r="AB27" s="153">
        <f>'PRODUCT PRICING &amp; REVENUE ENGIN'!AB50 * ASSUMPTIONS!$L$19</f>
        <v>93889.7568</v>
      </c>
      <c r="AC27" s="153">
        <f>'PRODUCT PRICING &amp; REVENUE ENGIN'!AC50 * ASSUMPTIONS!$L$19</f>
        <v>204689.903</v>
      </c>
      <c r="AD27" s="153">
        <f>'PRODUCT PRICING &amp; REVENUE ENGIN'!AD50 * ASSUMPTIONS!$L$19</f>
        <v>204689.903</v>
      </c>
      <c r="AE27" s="153">
        <f>'PRODUCT PRICING &amp; REVENUE ENGIN'!AE50 * ASSUMPTIONS!$L$19</f>
        <v>204689.903</v>
      </c>
      <c r="AF27" s="153">
        <f>'PRODUCT PRICING &amp; REVENUE ENGIN'!AF50 * ASSUMPTIONS!$L$19</f>
        <v>204689.903</v>
      </c>
      <c r="AG27" s="153">
        <f>'PRODUCT PRICING &amp; REVENUE ENGIN'!AG50 * ASSUMPTIONS!$L$19</f>
        <v>204689.903</v>
      </c>
      <c r="AH27" s="153">
        <f>'PRODUCT PRICING &amp; REVENUE ENGIN'!AH50 * ASSUMPTIONS!$L$19</f>
        <v>204689.903</v>
      </c>
      <c r="AI27" s="153">
        <f>'PRODUCT PRICING &amp; REVENUE ENGIN'!AI50 * ASSUMPTIONS!$L$19</f>
        <v>204689.903</v>
      </c>
      <c r="AJ27" s="153">
        <f>'PRODUCT PRICING &amp; REVENUE ENGIN'!AJ50 * ASSUMPTIONS!$L$19</f>
        <v>204689.903</v>
      </c>
      <c r="AK27" s="153">
        <f>'PRODUCT PRICING &amp; REVENUE ENGIN'!AK50 * ASSUMPTIONS!$L$19</f>
        <v>204689.903</v>
      </c>
      <c r="AL27" s="153">
        <f>'PRODUCT PRICING &amp; REVENUE ENGIN'!AL50 * ASSUMPTIONS!$L$19</f>
        <v>204689.903</v>
      </c>
      <c r="AM27" s="153">
        <f>'PRODUCT PRICING &amp; REVENUE ENGIN'!AM50 * ASSUMPTIONS!$L$19</f>
        <v>204689.903</v>
      </c>
      <c r="AN27" s="153">
        <f>'PRODUCT PRICING &amp; REVENUE ENGIN'!AN50 * ASSUMPTIONS!$L$19</f>
        <v>204689.903</v>
      </c>
      <c r="AO27" s="153">
        <f>'PRODUCT PRICING &amp; REVENUE ENGIN'!AO50 * ASSUMPTIONS!$L$19</f>
        <v>668465.6479</v>
      </c>
      <c r="AP27" s="153">
        <f>'PRODUCT PRICING &amp; REVENUE ENGIN'!AP50 * ASSUMPTIONS!$L$19</f>
        <v>668465.6479</v>
      </c>
      <c r="AQ27" s="153">
        <f>'PRODUCT PRICING &amp; REVENUE ENGIN'!AQ50 * ASSUMPTIONS!$L$19</f>
        <v>668465.6479</v>
      </c>
      <c r="AR27" s="153">
        <f>'PRODUCT PRICING &amp; REVENUE ENGIN'!AR50 * ASSUMPTIONS!$L$19</f>
        <v>668465.6479</v>
      </c>
      <c r="AS27" s="153">
        <f>'PRODUCT PRICING &amp; REVENUE ENGIN'!AS50 * ASSUMPTIONS!$L$19</f>
        <v>668465.6479</v>
      </c>
      <c r="AT27" s="153">
        <f>'PRODUCT PRICING &amp; REVENUE ENGIN'!AT50 * ASSUMPTIONS!$L$19</f>
        <v>668465.6479</v>
      </c>
      <c r="AU27" s="153">
        <f>'PRODUCT PRICING &amp; REVENUE ENGIN'!AU50 * ASSUMPTIONS!$L$19</f>
        <v>668465.6479</v>
      </c>
      <c r="AV27" s="153">
        <f>'PRODUCT PRICING &amp; REVENUE ENGIN'!AV50 * ASSUMPTIONS!$L$19</f>
        <v>668465.6479</v>
      </c>
      <c r="AW27" s="153">
        <f>'PRODUCT PRICING &amp; REVENUE ENGIN'!AW50 * ASSUMPTIONS!$L$19</f>
        <v>668465.6479</v>
      </c>
      <c r="AX27" s="153">
        <f>'PRODUCT PRICING &amp; REVENUE ENGIN'!AX50 * ASSUMPTIONS!$L$19</f>
        <v>668465.6479</v>
      </c>
      <c r="AY27" s="153">
        <f>'PRODUCT PRICING &amp; REVENUE ENGIN'!AY50 * ASSUMPTIONS!$L$19</f>
        <v>668465.6479</v>
      </c>
      <c r="AZ27" s="153">
        <f>'PRODUCT PRICING &amp; REVENUE ENGIN'!AZ50 * ASSUMPTIONS!$L$19</f>
        <v>668465.6479</v>
      </c>
      <c r="BA27" s="153">
        <f>'PRODUCT PRICING &amp; REVENUE ENGIN'!BA50 * ASSUMPTIONS!$L$19</f>
        <v>764081.6203</v>
      </c>
      <c r="BB27" s="153">
        <f>'PRODUCT PRICING &amp; REVENUE ENGIN'!BB50 * ASSUMPTIONS!$L$19</f>
        <v>764081.6203</v>
      </c>
      <c r="BC27" s="153">
        <f>'PRODUCT PRICING &amp; REVENUE ENGIN'!BC50 * ASSUMPTIONS!$L$19</f>
        <v>764081.6203</v>
      </c>
      <c r="BD27" s="153">
        <f>'PRODUCT PRICING &amp; REVENUE ENGIN'!BD50 * ASSUMPTIONS!$L$19</f>
        <v>764081.6203</v>
      </c>
      <c r="BE27" s="153">
        <f>'PRODUCT PRICING &amp; REVENUE ENGIN'!BE50 * ASSUMPTIONS!$L$19</f>
        <v>764081.6203</v>
      </c>
      <c r="BF27" s="153">
        <f>'PRODUCT PRICING &amp; REVENUE ENGIN'!BF50 * ASSUMPTIONS!$L$19</f>
        <v>764081.6203</v>
      </c>
      <c r="BG27" s="153">
        <f>'PRODUCT PRICING &amp; REVENUE ENGIN'!BG50 * ASSUMPTIONS!$L$19</f>
        <v>764081.6203</v>
      </c>
      <c r="BH27" s="153">
        <f>'PRODUCT PRICING &amp; REVENUE ENGIN'!BH50 * ASSUMPTIONS!$L$19</f>
        <v>764081.6203</v>
      </c>
      <c r="BI27" s="153">
        <f>'PRODUCT PRICING &amp; REVENUE ENGIN'!BI50 * ASSUMPTIONS!$L$19</f>
        <v>764081.6203</v>
      </c>
      <c r="BJ27" s="153">
        <f>'PRODUCT PRICING &amp; REVENUE ENGIN'!BJ50 * ASSUMPTIONS!$L$19</f>
        <v>764081.6203</v>
      </c>
      <c r="BK27" s="153">
        <f>'PRODUCT PRICING &amp; REVENUE ENGIN'!BK50 * ASSUMPTIONS!$L$19</f>
        <v>764081.6203</v>
      </c>
      <c r="BL27" s="140">
        <f>'PRODUCT PRICING &amp; REVENUE ENGIN'!BL50 * ASSUMPTIONS!$L$19</f>
        <v>764081.6203</v>
      </c>
    </row>
    <row r="28" ht="15.75" customHeight="1">
      <c r="D28" s="35" t="s">
        <v>22</v>
      </c>
      <c r="E28" s="153">
        <f>'PRODUCT PRICING &amp; REVENUE ENGIN'!E51 * ASSUMPTIONS!$L$20</f>
        <v>0</v>
      </c>
      <c r="F28" s="153">
        <f>'PRODUCT PRICING &amp; REVENUE ENGIN'!F51 * ASSUMPTIONS!$L$20</f>
        <v>0</v>
      </c>
      <c r="G28" s="153">
        <f>'PRODUCT PRICING &amp; REVENUE ENGIN'!G51 * ASSUMPTIONS!$L$20</f>
        <v>0</v>
      </c>
      <c r="H28" s="153">
        <f>'PRODUCT PRICING &amp; REVENUE ENGIN'!H51 * ASSUMPTIONS!$L$20</f>
        <v>0</v>
      </c>
      <c r="I28" s="153">
        <f>'PRODUCT PRICING &amp; REVENUE ENGIN'!I51 * ASSUMPTIONS!$L$20</f>
        <v>0</v>
      </c>
      <c r="J28" s="153">
        <f>'PRODUCT PRICING &amp; REVENUE ENGIN'!J51 * ASSUMPTIONS!$L$20</f>
        <v>0</v>
      </c>
      <c r="K28" s="153">
        <f>'PRODUCT PRICING &amp; REVENUE ENGIN'!K51 * ASSUMPTIONS!$L$20</f>
        <v>233902.08</v>
      </c>
      <c r="L28" s="153">
        <f>'PRODUCT PRICING &amp; REVENUE ENGIN'!L51 * ASSUMPTIONS!$L$20</f>
        <v>233902.08</v>
      </c>
      <c r="M28" s="153">
        <f>'PRODUCT PRICING &amp; REVENUE ENGIN'!M51 * ASSUMPTIONS!$L$20</f>
        <v>233902.08</v>
      </c>
      <c r="N28" s="153">
        <f>'PRODUCT PRICING &amp; REVENUE ENGIN'!N51 * ASSUMPTIONS!$L$20</f>
        <v>233902.08</v>
      </c>
      <c r="O28" s="153">
        <f>'PRODUCT PRICING &amp; REVENUE ENGIN'!O51 * ASSUMPTIONS!$L$20</f>
        <v>233902.08</v>
      </c>
      <c r="P28" s="153">
        <f>'PRODUCT PRICING &amp; REVENUE ENGIN'!P51 * ASSUMPTIONS!$L$20</f>
        <v>233902.08</v>
      </c>
      <c r="Q28" s="153">
        <f>'PRODUCT PRICING &amp; REVENUE ENGIN'!Q51 * ASSUMPTIONS!$L$20</f>
        <v>250372.6848</v>
      </c>
      <c r="R28" s="153">
        <f>'PRODUCT PRICING &amp; REVENUE ENGIN'!R51 * ASSUMPTIONS!$L$20</f>
        <v>250372.6848</v>
      </c>
      <c r="S28" s="153">
        <f>'PRODUCT PRICING &amp; REVENUE ENGIN'!S51 * ASSUMPTIONS!$L$20</f>
        <v>250372.6848</v>
      </c>
      <c r="T28" s="153">
        <f>'PRODUCT PRICING &amp; REVENUE ENGIN'!T51 * ASSUMPTIONS!$L$20</f>
        <v>250372.6848</v>
      </c>
      <c r="U28" s="153">
        <f>'PRODUCT PRICING &amp; REVENUE ENGIN'!U51 * ASSUMPTIONS!$L$20</f>
        <v>250372.6848</v>
      </c>
      <c r="V28" s="153">
        <f>'PRODUCT PRICING &amp; REVENUE ENGIN'!V51 * ASSUMPTIONS!$L$20</f>
        <v>250372.6848</v>
      </c>
      <c r="W28" s="153">
        <f>'PRODUCT PRICING &amp; REVENUE ENGIN'!W51 * ASSUMPTIONS!$L$20</f>
        <v>250372.6848</v>
      </c>
      <c r="X28" s="153">
        <f>'PRODUCT PRICING &amp; REVENUE ENGIN'!X51 * ASSUMPTIONS!$L$20</f>
        <v>250372.6848</v>
      </c>
      <c r="Y28" s="153">
        <f>'PRODUCT PRICING &amp; REVENUE ENGIN'!Y51 * ASSUMPTIONS!$L$20</f>
        <v>250372.6848</v>
      </c>
      <c r="Z28" s="153">
        <f>'PRODUCT PRICING &amp; REVENUE ENGIN'!Z51 * ASSUMPTIONS!$L$20</f>
        <v>250372.6848</v>
      </c>
      <c r="AA28" s="153">
        <f>'PRODUCT PRICING &amp; REVENUE ENGIN'!AA51 * ASSUMPTIONS!$L$20</f>
        <v>250372.6848</v>
      </c>
      <c r="AB28" s="153">
        <f>'PRODUCT PRICING &amp; REVENUE ENGIN'!AB51 * ASSUMPTIONS!$L$20</f>
        <v>250372.6848</v>
      </c>
      <c r="AC28" s="153">
        <f>'PRODUCT PRICING &amp; REVENUE ENGIN'!AC51 * ASSUMPTIONS!$L$20</f>
        <v>545839.7414</v>
      </c>
      <c r="AD28" s="153">
        <f>'PRODUCT PRICING &amp; REVENUE ENGIN'!AD51 * ASSUMPTIONS!$L$20</f>
        <v>545839.7414</v>
      </c>
      <c r="AE28" s="153">
        <f>'PRODUCT PRICING &amp; REVENUE ENGIN'!AE51 * ASSUMPTIONS!$L$20</f>
        <v>545839.7414</v>
      </c>
      <c r="AF28" s="153">
        <f>'PRODUCT PRICING &amp; REVENUE ENGIN'!AF51 * ASSUMPTIONS!$L$20</f>
        <v>545839.7414</v>
      </c>
      <c r="AG28" s="153">
        <f>'PRODUCT PRICING &amp; REVENUE ENGIN'!AG51 * ASSUMPTIONS!$L$20</f>
        <v>545839.7414</v>
      </c>
      <c r="AH28" s="153">
        <f>'PRODUCT PRICING &amp; REVENUE ENGIN'!AH51 * ASSUMPTIONS!$L$20</f>
        <v>545839.7414</v>
      </c>
      <c r="AI28" s="153">
        <f>'PRODUCT PRICING &amp; REVENUE ENGIN'!AI51 * ASSUMPTIONS!$L$20</f>
        <v>545839.7414</v>
      </c>
      <c r="AJ28" s="153">
        <f>'PRODUCT PRICING &amp; REVENUE ENGIN'!AJ51 * ASSUMPTIONS!$L$20</f>
        <v>545839.7414</v>
      </c>
      <c r="AK28" s="153">
        <f>'PRODUCT PRICING &amp; REVENUE ENGIN'!AK51 * ASSUMPTIONS!$L$20</f>
        <v>545839.7414</v>
      </c>
      <c r="AL28" s="153">
        <f>'PRODUCT PRICING &amp; REVENUE ENGIN'!AL51 * ASSUMPTIONS!$L$20</f>
        <v>545839.7414</v>
      </c>
      <c r="AM28" s="153">
        <f>'PRODUCT PRICING &amp; REVENUE ENGIN'!AM51 * ASSUMPTIONS!$L$20</f>
        <v>545839.7414</v>
      </c>
      <c r="AN28" s="153">
        <f>'PRODUCT PRICING &amp; REVENUE ENGIN'!AN51 * ASSUMPTIONS!$L$20</f>
        <v>545839.7414</v>
      </c>
      <c r="AO28" s="153">
        <f>'PRODUCT PRICING &amp; REVENUE ENGIN'!AO51 * ASSUMPTIONS!$L$20</f>
        <v>1782575.061</v>
      </c>
      <c r="AP28" s="153">
        <f>'PRODUCT PRICING &amp; REVENUE ENGIN'!AP51 * ASSUMPTIONS!$L$20</f>
        <v>1782575.061</v>
      </c>
      <c r="AQ28" s="153">
        <f>'PRODUCT PRICING &amp; REVENUE ENGIN'!AQ51 * ASSUMPTIONS!$L$20</f>
        <v>1782575.061</v>
      </c>
      <c r="AR28" s="153">
        <f>'PRODUCT PRICING &amp; REVENUE ENGIN'!AR51 * ASSUMPTIONS!$L$20</f>
        <v>1782575.061</v>
      </c>
      <c r="AS28" s="153">
        <f>'PRODUCT PRICING &amp; REVENUE ENGIN'!AS51 * ASSUMPTIONS!$L$20</f>
        <v>1782575.061</v>
      </c>
      <c r="AT28" s="153">
        <f>'PRODUCT PRICING &amp; REVENUE ENGIN'!AT51 * ASSUMPTIONS!$L$20</f>
        <v>1782575.061</v>
      </c>
      <c r="AU28" s="153">
        <f>'PRODUCT PRICING &amp; REVENUE ENGIN'!AU51 * ASSUMPTIONS!$L$20</f>
        <v>1782575.061</v>
      </c>
      <c r="AV28" s="153">
        <f>'PRODUCT PRICING &amp; REVENUE ENGIN'!AV51 * ASSUMPTIONS!$L$20</f>
        <v>1782575.061</v>
      </c>
      <c r="AW28" s="153">
        <f>'PRODUCT PRICING &amp; REVENUE ENGIN'!AW51 * ASSUMPTIONS!$L$20</f>
        <v>1782575.061</v>
      </c>
      <c r="AX28" s="153">
        <f>'PRODUCT PRICING &amp; REVENUE ENGIN'!AX51 * ASSUMPTIONS!$L$20</f>
        <v>1782575.061</v>
      </c>
      <c r="AY28" s="153">
        <f>'PRODUCT PRICING &amp; REVENUE ENGIN'!AY51 * ASSUMPTIONS!$L$20</f>
        <v>1782575.061</v>
      </c>
      <c r="AZ28" s="153">
        <f>'PRODUCT PRICING &amp; REVENUE ENGIN'!AZ51 * ASSUMPTIONS!$L$20</f>
        <v>1782575.061</v>
      </c>
      <c r="BA28" s="153">
        <f>'PRODUCT PRICING &amp; REVENUE ENGIN'!BA51 * ASSUMPTIONS!$L$20</f>
        <v>2037550.988</v>
      </c>
      <c r="BB28" s="153">
        <f>'PRODUCT PRICING &amp; REVENUE ENGIN'!BB51 * ASSUMPTIONS!$L$20</f>
        <v>2037550.988</v>
      </c>
      <c r="BC28" s="153">
        <f>'PRODUCT PRICING &amp; REVENUE ENGIN'!BC51 * ASSUMPTIONS!$L$20</f>
        <v>2037550.988</v>
      </c>
      <c r="BD28" s="153">
        <f>'PRODUCT PRICING &amp; REVENUE ENGIN'!BD51 * ASSUMPTIONS!$L$20</f>
        <v>2037550.988</v>
      </c>
      <c r="BE28" s="153">
        <f>'PRODUCT PRICING &amp; REVENUE ENGIN'!BE51 * ASSUMPTIONS!$L$20</f>
        <v>2037550.988</v>
      </c>
      <c r="BF28" s="153">
        <f>'PRODUCT PRICING &amp; REVENUE ENGIN'!BF51 * ASSUMPTIONS!$L$20</f>
        <v>2037550.988</v>
      </c>
      <c r="BG28" s="153">
        <f>'PRODUCT PRICING &amp; REVENUE ENGIN'!BG51 * ASSUMPTIONS!$L$20</f>
        <v>2037550.988</v>
      </c>
      <c r="BH28" s="153">
        <f>'PRODUCT PRICING &amp; REVENUE ENGIN'!BH51 * ASSUMPTIONS!$L$20</f>
        <v>2037550.988</v>
      </c>
      <c r="BI28" s="153">
        <f>'PRODUCT PRICING &amp; REVENUE ENGIN'!BI51 * ASSUMPTIONS!$L$20</f>
        <v>2037550.988</v>
      </c>
      <c r="BJ28" s="153">
        <f>'PRODUCT PRICING &amp; REVENUE ENGIN'!BJ51 * ASSUMPTIONS!$L$20</f>
        <v>2037550.988</v>
      </c>
      <c r="BK28" s="153">
        <f>'PRODUCT PRICING &amp; REVENUE ENGIN'!BK51 * ASSUMPTIONS!$L$20</f>
        <v>2037550.988</v>
      </c>
      <c r="BL28" s="140">
        <f>'PRODUCT PRICING &amp; REVENUE ENGIN'!BL51 * ASSUMPTIONS!$L$20</f>
        <v>2037550.988</v>
      </c>
    </row>
    <row r="29" ht="15.75" customHeight="1">
      <c r="B29" s="30" t="s">
        <v>167</v>
      </c>
      <c r="D29" s="35" t="s">
        <v>40</v>
      </c>
      <c r="E29" s="153">
        <f>'PRODUCT PRICING &amp; REVENUE ENGIN'!E52 * ASSUMPTIONS!$L$21</f>
        <v>0</v>
      </c>
      <c r="F29" s="153">
        <f>'PRODUCT PRICING &amp; REVENUE ENGIN'!F52 * ASSUMPTIONS!$L$21</f>
        <v>0</v>
      </c>
      <c r="G29" s="153">
        <f>'PRODUCT PRICING &amp; REVENUE ENGIN'!G52 * ASSUMPTIONS!$L$21</f>
        <v>0</v>
      </c>
      <c r="H29" s="153">
        <f>'PRODUCT PRICING &amp; REVENUE ENGIN'!H52 * ASSUMPTIONS!$L$21</f>
        <v>0</v>
      </c>
      <c r="I29" s="153">
        <f>'PRODUCT PRICING &amp; REVENUE ENGIN'!I52 * ASSUMPTIONS!$L$21</f>
        <v>0</v>
      </c>
      <c r="J29" s="153">
        <f>'PRODUCT PRICING &amp; REVENUE ENGIN'!J52 * ASSUMPTIONS!$L$21</f>
        <v>0</v>
      </c>
      <c r="K29" s="153">
        <f>'PRODUCT PRICING &amp; REVENUE ENGIN'!K52 * ASSUMPTIONS!$L$21</f>
        <v>14466.6</v>
      </c>
      <c r="L29" s="153">
        <f>'PRODUCT PRICING &amp; REVENUE ENGIN'!L52 * ASSUMPTIONS!$L$21</f>
        <v>14466.6</v>
      </c>
      <c r="M29" s="153">
        <f>'PRODUCT PRICING &amp; REVENUE ENGIN'!M52 * ASSUMPTIONS!$L$21</f>
        <v>14466.6</v>
      </c>
      <c r="N29" s="153">
        <f>'PRODUCT PRICING &amp; REVENUE ENGIN'!N52 * ASSUMPTIONS!$L$21</f>
        <v>14466.6</v>
      </c>
      <c r="O29" s="153">
        <f>'PRODUCT PRICING &amp; REVENUE ENGIN'!O52 * ASSUMPTIONS!$L$21</f>
        <v>14466.6</v>
      </c>
      <c r="P29" s="153">
        <f>'PRODUCT PRICING &amp; REVENUE ENGIN'!P52 * ASSUMPTIONS!$L$21</f>
        <v>14466.6</v>
      </c>
      <c r="Q29" s="153">
        <f>'PRODUCT PRICING &amp; REVENUE ENGIN'!Q52 * ASSUMPTIONS!$L$21</f>
        <v>15464.6262</v>
      </c>
      <c r="R29" s="153">
        <f>'PRODUCT PRICING &amp; REVENUE ENGIN'!R52 * ASSUMPTIONS!$L$21</f>
        <v>15464.6262</v>
      </c>
      <c r="S29" s="153">
        <f>'PRODUCT PRICING &amp; REVENUE ENGIN'!S52 * ASSUMPTIONS!$L$21</f>
        <v>15464.6262</v>
      </c>
      <c r="T29" s="153">
        <f>'PRODUCT PRICING &amp; REVENUE ENGIN'!T52 * ASSUMPTIONS!$L$21</f>
        <v>15464.6262</v>
      </c>
      <c r="U29" s="153">
        <f>'PRODUCT PRICING &amp; REVENUE ENGIN'!U52 * ASSUMPTIONS!$L$21</f>
        <v>15464.6262</v>
      </c>
      <c r="V29" s="153">
        <f>'PRODUCT PRICING &amp; REVENUE ENGIN'!V52 * ASSUMPTIONS!$L$21</f>
        <v>15464.6262</v>
      </c>
      <c r="W29" s="153">
        <f>'PRODUCT PRICING &amp; REVENUE ENGIN'!W52 * ASSUMPTIONS!$L$21</f>
        <v>15464.6262</v>
      </c>
      <c r="X29" s="153">
        <f>'PRODUCT PRICING &amp; REVENUE ENGIN'!X52 * ASSUMPTIONS!$L$21</f>
        <v>15464.6262</v>
      </c>
      <c r="Y29" s="153">
        <f>'PRODUCT PRICING &amp; REVENUE ENGIN'!Y52 * ASSUMPTIONS!$L$21</f>
        <v>15464.6262</v>
      </c>
      <c r="Z29" s="153">
        <f>'PRODUCT PRICING &amp; REVENUE ENGIN'!Z52 * ASSUMPTIONS!$L$21</f>
        <v>15464.6262</v>
      </c>
      <c r="AA29" s="153">
        <f>'PRODUCT PRICING &amp; REVENUE ENGIN'!AA52 * ASSUMPTIONS!$L$21</f>
        <v>15464.6262</v>
      </c>
      <c r="AB29" s="153">
        <f>'PRODUCT PRICING &amp; REVENUE ENGIN'!AB52 * ASSUMPTIONS!$L$21</f>
        <v>15464.6262</v>
      </c>
      <c r="AC29" s="153">
        <f>'PRODUCT PRICING &amp; REVENUE ENGIN'!AC52 * ASSUMPTIONS!$L$21</f>
        <v>33336.33559</v>
      </c>
      <c r="AD29" s="153">
        <f>'PRODUCT PRICING &amp; REVENUE ENGIN'!AD52 * ASSUMPTIONS!$L$21</f>
        <v>33336.33559</v>
      </c>
      <c r="AE29" s="153">
        <f>'PRODUCT PRICING &amp; REVENUE ENGIN'!AE52 * ASSUMPTIONS!$L$21</f>
        <v>33336.33559</v>
      </c>
      <c r="AF29" s="153">
        <f>'PRODUCT PRICING &amp; REVENUE ENGIN'!AF52 * ASSUMPTIONS!$L$21</f>
        <v>33336.33559</v>
      </c>
      <c r="AG29" s="153">
        <f>'PRODUCT PRICING &amp; REVENUE ENGIN'!AG52 * ASSUMPTIONS!$L$21</f>
        <v>33336.33559</v>
      </c>
      <c r="AH29" s="153">
        <f>'PRODUCT PRICING &amp; REVENUE ENGIN'!AH52 * ASSUMPTIONS!$L$21</f>
        <v>33336.33559</v>
      </c>
      <c r="AI29" s="153">
        <f>'PRODUCT PRICING &amp; REVENUE ENGIN'!AI52 * ASSUMPTIONS!$L$21</f>
        <v>33336.33559</v>
      </c>
      <c r="AJ29" s="153">
        <f>'PRODUCT PRICING &amp; REVENUE ENGIN'!AJ52 * ASSUMPTIONS!$L$21</f>
        <v>33336.33559</v>
      </c>
      <c r="AK29" s="153">
        <f>'PRODUCT PRICING &amp; REVENUE ENGIN'!AK52 * ASSUMPTIONS!$L$21</f>
        <v>33336.33559</v>
      </c>
      <c r="AL29" s="153">
        <f>'PRODUCT PRICING &amp; REVENUE ENGIN'!AL52 * ASSUMPTIONS!$L$21</f>
        <v>33336.33559</v>
      </c>
      <c r="AM29" s="153">
        <f>'PRODUCT PRICING &amp; REVENUE ENGIN'!AM52 * ASSUMPTIONS!$L$21</f>
        <v>33336.33559</v>
      </c>
      <c r="AN29" s="153">
        <f>'PRODUCT PRICING &amp; REVENUE ENGIN'!AN52 * ASSUMPTIONS!$L$21</f>
        <v>33336.33559</v>
      </c>
      <c r="AO29" s="153">
        <f>'PRODUCT PRICING &amp; REVENUE ENGIN'!AO52 * ASSUMPTIONS!$L$21</f>
        <v>107762.7704</v>
      </c>
      <c r="AP29" s="153">
        <f>'PRODUCT PRICING &amp; REVENUE ENGIN'!AP52 * ASSUMPTIONS!$L$21</f>
        <v>107762.7704</v>
      </c>
      <c r="AQ29" s="153">
        <f>'PRODUCT PRICING &amp; REVENUE ENGIN'!AQ52 * ASSUMPTIONS!$L$21</f>
        <v>107762.7704</v>
      </c>
      <c r="AR29" s="153">
        <f>'PRODUCT PRICING &amp; REVENUE ENGIN'!AR52 * ASSUMPTIONS!$L$21</f>
        <v>107762.7704</v>
      </c>
      <c r="AS29" s="153">
        <f>'PRODUCT PRICING &amp; REVENUE ENGIN'!AS52 * ASSUMPTIONS!$L$21</f>
        <v>107762.7704</v>
      </c>
      <c r="AT29" s="153">
        <f>'PRODUCT PRICING &amp; REVENUE ENGIN'!AT52 * ASSUMPTIONS!$L$21</f>
        <v>107762.7704</v>
      </c>
      <c r="AU29" s="153">
        <f>'PRODUCT PRICING &amp; REVENUE ENGIN'!AU52 * ASSUMPTIONS!$L$21</f>
        <v>107762.7704</v>
      </c>
      <c r="AV29" s="153">
        <f>'PRODUCT PRICING &amp; REVENUE ENGIN'!AV52 * ASSUMPTIONS!$L$21</f>
        <v>107762.7704</v>
      </c>
      <c r="AW29" s="153">
        <f>'PRODUCT PRICING &amp; REVENUE ENGIN'!AW52 * ASSUMPTIONS!$L$21</f>
        <v>107762.7704</v>
      </c>
      <c r="AX29" s="153">
        <f>'PRODUCT PRICING &amp; REVENUE ENGIN'!AX52 * ASSUMPTIONS!$L$21</f>
        <v>107762.7704</v>
      </c>
      <c r="AY29" s="153">
        <f>'PRODUCT PRICING &amp; REVENUE ENGIN'!AY52 * ASSUMPTIONS!$L$21</f>
        <v>107762.7704</v>
      </c>
      <c r="AZ29" s="153">
        <f>'PRODUCT PRICING &amp; REVENUE ENGIN'!AZ52 * ASSUMPTIONS!$L$21</f>
        <v>107762.7704</v>
      </c>
      <c r="BA29" s="153">
        <f>'PRODUCT PRICING &amp; REVENUE ENGIN'!BA52 * ASSUMPTIONS!$L$21</f>
        <v>118874.5781</v>
      </c>
      <c r="BB29" s="153">
        <f>'PRODUCT PRICING &amp; REVENUE ENGIN'!BB52 * ASSUMPTIONS!$L$21</f>
        <v>118874.5781</v>
      </c>
      <c r="BC29" s="153">
        <f>'PRODUCT PRICING &amp; REVENUE ENGIN'!BC52 * ASSUMPTIONS!$L$21</f>
        <v>118874.5781</v>
      </c>
      <c r="BD29" s="153">
        <f>'PRODUCT PRICING &amp; REVENUE ENGIN'!BD52 * ASSUMPTIONS!$L$21</f>
        <v>118874.5781</v>
      </c>
      <c r="BE29" s="153">
        <f>'PRODUCT PRICING &amp; REVENUE ENGIN'!BE52 * ASSUMPTIONS!$L$21</f>
        <v>118874.5781</v>
      </c>
      <c r="BF29" s="153">
        <f>'PRODUCT PRICING &amp; REVENUE ENGIN'!BF52 * ASSUMPTIONS!$L$21</f>
        <v>118874.5781</v>
      </c>
      <c r="BG29" s="153">
        <f>'PRODUCT PRICING &amp; REVENUE ENGIN'!BG52 * ASSUMPTIONS!$L$21</f>
        <v>118874.5781</v>
      </c>
      <c r="BH29" s="153">
        <f>'PRODUCT PRICING &amp; REVENUE ENGIN'!BH52 * ASSUMPTIONS!$L$21</f>
        <v>118874.5781</v>
      </c>
      <c r="BI29" s="153">
        <f>'PRODUCT PRICING &amp; REVENUE ENGIN'!BI52 * ASSUMPTIONS!$L$21</f>
        <v>118874.5781</v>
      </c>
      <c r="BJ29" s="153">
        <f>'PRODUCT PRICING &amp; REVENUE ENGIN'!BJ52 * ASSUMPTIONS!$L$21</f>
        <v>118874.5781</v>
      </c>
      <c r="BK29" s="153">
        <f>'PRODUCT PRICING &amp; REVENUE ENGIN'!BK52 * ASSUMPTIONS!$L$21</f>
        <v>118874.5781</v>
      </c>
      <c r="BL29" s="140">
        <f>'PRODUCT PRICING &amp; REVENUE ENGIN'!BL52 * ASSUMPTIONS!$L$21</f>
        <v>118874.5781</v>
      </c>
    </row>
    <row r="30" ht="15.75" customHeight="1">
      <c r="D30" s="35" t="s">
        <v>42</v>
      </c>
      <c r="E30" s="153">
        <f>'PRODUCT PRICING &amp; REVENUE ENGIN'!E53 * ASSUMPTIONS!$L$22</f>
        <v>0</v>
      </c>
      <c r="F30" s="153">
        <f>'PRODUCT PRICING &amp; REVENUE ENGIN'!F53 * ASSUMPTIONS!$L$22</f>
        <v>0</v>
      </c>
      <c r="G30" s="153">
        <f>'PRODUCT PRICING &amp; REVENUE ENGIN'!G53 * ASSUMPTIONS!$L$22</f>
        <v>0</v>
      </c>
      <c r="H30" s="153">
        <f>'PRODUCT PRICING &amp; REVENUE ENGIN'!H53 * ASSUMPTIONS!$L$22</f>
        <v>0</v>
      </c>
      <c r="I30" s="153">
        <f>'PRODUCT PRICING &amp; REVENUE ENGIN'!I53 * ASSUMPTIONS!$L$22</f>
        <v>0</v>
      </c>
      <c r="J30" s="153">
        <f>'PRODUCT PRICING &amp; REVENUE ENGIN'!J53 * ASSUMPTIONS!$L$22</f>
        <v>0</v>
      </c>
      <c r="K30" s="153">
        <f>'PRODUCT PRICING &amp; REVENUE ENGIN'!K53 * ASSUMPTIONS!$L$22</f>
        <v>16413.7536</v>
      </c>
      <c r="L30" s="153">
        <f>'PRODUCT PRICING &amp; REVENUE ENGIN'!L53 * ASSUMPTIONS!$L$22</f>
        <v>16413.7536</v>
      </c>
      <c r="M30" s="153">
        <f>'PRODUCT PRICING &amp; REVENUE ENGIN'!M53 * ASSUMPTIONS!$L$22</f>
        <v>16413.7536</v>
      </c>
      <c r="N30" s="153">
        <f>'PRODUCT PRICING &amp; REVENUE ENGIN'!N53 * ASSUMPTIONS!$L$22</f>
        <v>16413.7536</v>
      </c>
      <c r="O30" s="153">
        <f>'PRODUCT PRICING &amp; REVENUE ENGIN'!O53 * ASSUMPTIONS!$L$22</f>
        <v>16413.7536</v>
      </c>
      <c r="P30" s="153">
        <f>'PRODUCT PRICING &amp; REVENUE ENGIN'!P53 * ASSUMPTIONS!$L$22</f>
        <v>16413.7536</v>
      </c>
      <c r="Q30" s="153">
        <f>'PRODUCT PRICING &amp; REVENUE ENGIN'!Q53 * ASSUMPTIONS!$L$22</f>
        <v>17438.67922</v>
      </c>
      <c r="R30" s="153">
        <f>'PRODUCT PRICING &amp; REVENUE ENGIN'!R53 * ASSUMPTIONS!$L$22</f>
        <v>17438.67922</v>
      </c>
      <c r="S30" s="153">
        <f>'PRODUCT PRICING &amp; REVENUE ENGIN'!S53 * ASSUMPTIONS!$L$22</f>
        <v>17438.67922</v>
      </c>
      <c r="T30" s="153">
        <f>'PRODUCT PRICING &amp; REVENUE ENGIN'!T53 * ASSUMPTIONS!$L$22</f>
        <v>17438.67922</v>
      </c>
      <c r="U30" s="153">
        <f>'PRODUCT PRICING &amp; REVENUE ENGIN'!U53 * ASSUMPTIONS!$L$22</f>
        <v>17438.67922</v>
      </c>
      <c r="V30" s="153">
        <f>'PRODUCT PRICING &amp; REVENUE ENGIN'!V53 * ASSUMPTIONS!$L$22</f>
        <v>17438.67922</v>
      </c>
      <c r="W30" s="153">
        <f>'PRODUCT PRICING &amp; REVENUE ENGIN'!W53 * ASSUMPTIONS!$L$22</f>
        <v>17438.67922</v>
      </c>
      <c r="X30" s="153">
        <f>'PRODUCT PRICING &amp; REVENUE ENGIN'!X53 * ASSUMPTIONS!$L$22</f>
        <v>17438.67922</v>
      </c>
      <c r="Y30" s="153">
        <f>'PRODUCT PRICING &amp; REVENUE ENGIN'!Y53 * ASSUMPTIONS!$L$22</f>
        <v>17438.67922</v>
      </c>
      <c r="Z30" s="153">
        <f>'PRODUCT PRICING &amp; REVENUE ENGIN'!Z53 * ASSUMPTIONS!$L$22</f>
        <v>17438.67922</v>
      </c>
      <c r="AA30" s="153">
        <f>'PRODUCT PRICING &amp; REVENUE ENGIN'!AA53 * ASSUMPTIONS!$L$22</f>
        <v>17438.67922</v>
      </c>
      <c r="AB30" s="153">
        <f>'PRODUCT PRICING &amp; REVENUE ENGIN'!AB53 * ASSUMPTIONS!$L$22</f>
        <v>17438.67922</v>
      </c>
      <c r="AC30" s="153">
        <f>'PRODUCT PRICING &amp; REVENUE ENGIN'!AC53 * ASSUMPTIONS!$L$22</f>
        <v>37479.02568</v>
      </c>
      <c r="AD30" s="153">
        <f>'PRODUCT PRICING &amp; REVENUE ENGIN'!AD53 * ASSUMPTIONS!$L$22</f>
        <v>37479.02568</v>
      </c>
      <c r="AE30" s="153">
        <f>'PRODUCT PRICING &amp; REVENUE ENGIN'!AE53 * ASSUMPTIONS!$L$22</f>
        <v>37479.02568</v>
      </c>
      <c r="AF30" s="153">
        <f>'PRODUCT PRICING &amp; REVENUE ENGIN'!AF53 * ASSUMPTIONS!$L$22</f>
        <v>37479.02568</v>
      </c>
      <c r="AG30" s="153">
        <f>'PRODUCT PRICING &amp; REVENUE ENGIN'!AG53 * ASSUMPTIONS!$L$22</f>
        <v>37479.02568</v>
      </c>
      <c r="AH30" s="153">
        <f>'PRODUCT PRICING &amp; REVENUE ENGIN'!AH53 * ASSUMPTIONS!$L$22</f>
        <v>37479.02568</v>
      </c>
      <c r="AI30" s="153">
        <f>'PRODUCT PRICING &amp; REVENUE ENGIN'!AI53 * ASSUMPTIONS!$L$22</f>
        <v>37479.02568</v>
      </c>
      <c r="AJ30" s="153">
        <f>'PRODUCT PRICING &amp; REVENUE ENGIN'!AJ53 * ASSUMPTIONS!$L$22</f>
        <v>37479.02568</v>
      </c>
      <c r="AK30" s="153">
        <f>'PRODUCT PRICING &amp; REVENUE ENGIN'!AK53 * ASSUMPTIONS!$L$22</f>
        <v>37479.02568</v>
      </c>
      <c r="AL30" s="153">
        <f>'PRODUCT PRICING &amp; REVENUE ENGIN'!AL53 * ASSUMPTIONS!$L$22</f>
        <v>37479.02568</v>
      </c>
      <c r="AM30" s="153">
        <f>'PRODUCT PRICING &amp; REVENUE ENGIN'!AM53 * ASSUMPTIONS!$L$22</f>
        <v>37479.02568</v>
      </c>
      <c r="AN30" s="153">
        <f>'PRODUCT PRICING &amp; REVENUE ENGIN'!AN53 * ASSUMPTIONS!$L$22</f>
        <v>37479.02568</v>
      </c>
      <c r="AO30" s="153">
        <f>'PRODUCT PRICING &amp; REVENUE ENGIN'!AO53 * ASSUMPTIONS!$L$22</f>
        <v>120760.9988</v>
      </c>
      <c r="AP30" s="153">
        <f>'PRODUCT PRICING &amp; REVENUE ENGIN'!AP53 * ASSUMPTIONS!$L$22</f>
        <v>120760.9988</v>
      </c>
      <c r="AQ30" s="153">
        <f>'PRODUCT PRICING &amp; REVENUE ENGIN'!AQ53 * ASSUMPTIONS!$L$22</f>
        <v>120760.9988</v>
      </c>
      <c r="AR30" s="153">
        <f>'PRODUCT PRICING &amp; REVENUE ENGIN'!AR53 * ASSUMPTIONS!$L$22</f>
        <v>120760.9988</v>
      </c>
      <c r="AS30" s="153">
        <f>'PRODUCT PRICING &amp; REVENUE ENGIN'!AS53 * ASSUMPTIONS!$L$22</f>
        <v>120760.9988</v>
      </c>
      <c r="AT30" s="153">
        <f>'PRODUCT PRICING &amp; REVENUE ENGIN'!AT53 * ASSUMPTIONS!$L$22</f>
        <v>120760.9988</v>
      </c>
      <c r="AU30" s="153">
        <f>'PRODUCT PRICING &amp; REVENUE ENGIN'!AU53 * ASSUMPTIONS!$L$22</f>
        <v>120760.9988</v>
      </c>
      <c r="AV30" s="153">
        <f>'PRODUCT PRICING &amp; REVENUE ENGIN'!AV53 * ASSUMPTIONS!$L$22</f>
        <v>120760.9988</v>
      </c>
      <c r="AW30" s="153">
        <f>'PRODUCT PRICING &amp; REVENUE ENGIN'!AW53 * ASSUMPTIONS!$L$22</f>
        <v>120760.9988</v>
      </c>
      <c r="AX30" s="153">
        <f>'PRODUCT PRICING &amp; REVENUE ENGIN'!AX53 * ASSUMPTIONS!$L$22</f>
        <v>120760.9988</v>
      </c>
      <c r="AY30" s="153">
        <f>'PRODUCT PRICING &amp; REVENUE ENGIN'!AY53 * ASSUMPTIONS!$L$22</f>
        <v>120760.9988</v>
      </c>
      <c r="AZ30" s="153">
        <f>'PRODUCT PRICING &amp; REVENUE ENGIN'!AZ53 * ASSUMPTIONS!$L$22</f>
        <v>120760.9988</v>
      </c>
      <c r="BA30" s="153">
        <f>'PRODUCT PRICING &amp; REVENUE ENGIN'!BA53 * ASSUMPTIONS!$L$22</f>
        <v>133891.977</v>
      </c>
      <c r="BB30" s="153">
        <f>'PRODUCT PRICING &amp; REVENUE ENGIN'!BB53 * ASSUMPTIONS!$L$22</f>
        <v>133891.977</v>
      </c>
      <c r="BC30" s="153">
        <f>'PRODUCT PRICING &amp; REVENUE ENGIN'!BC53 * ASSUMPTIONS!$L$22</f>
        <v>133891.977</v>
      </c>
      <c r="BD30" s="153">
        <f>'PRODUCT PRICING &amp; REVENUE ENGIN'!BD53 * ASSUMPTIONS!$L$22</f>
        <v>133891.977</v>
      </c>
      <c r="BE30" s="153">
        <f>'PRODUCT PRICING &amp; REVENUE ENGIN'!BE53 * ASSUMPTIONS!$L$22</f>
        <v>133891.977</v>
      </c>
      <c r="BF30" s="153">
        <f>'PRODUCT PRICING &amp; REVENUE ENGIN'!BF53 * ASSUMPTIONS!$L$22</f>
        <v>133891.977</v>
      </c>
      <c r="BG30" s="153">
        <f>'PRODUCT PRICING &amp; REVENUE ENGIN'!BG53 * ASSUMPTIONS!$L$22</f>
        <v>133891.977</v>
      </c>
      <c r="BH30" s="153">
        <f>'PRODUCT PRICING &amp; REVENUE ENGIN'!BH53 * ASSUMPTIONS!$L$22</f>
        <v>133891.977</v>
      </c>
      <c r="BI30" s="153">
        <f>'PRODUCT PRICING &amp; REVENUE ENGIN'!BI53 * ASSUMPTIONS!$L$22</f>
        <v>133891.977</v>
      </c>
      <c r="BJ30" s="153">
        <f>'PRODUCT PRICING &amp; REVENUE ENGIN'!BJ53 * ASSUMPTIONS!$L$22</f>
        <v>133891.977</v>
      </c>
      <c r="BK30" s="153">
        <f>'PRODUCT PRICING &amp; REVENUE ENGIN'!BK53 * ASSUMPTIONS!$L$22</f>
        <v>133891.977</v>
      </c>
      <c r="BL30" s="140">
        <f>'PRODUCT PRICING &amp; REVENUE ENGIN'!BL53 * ASSUMPTIONS!$L$22</f>
        <v>133891.977</v>
      </c>
    </row>
    <row r="31" ht="15.75" customHeight="1">
      <c r="D31" s="35" t="s">
        <v>44</v>
      </c>
      <c r="E31" s="153">
        <f>'PRODUCT PRICING &amp; REVENUE ENGIN'!E54 * ASSUMPTIONS!$L$23</f>
        <v>0</v>
      </c>
      <c r="F31" s="153">
        <f>'PRODUCT PRICING &amp; REVENUE ENGIN'!F54 * ASSUMPTIONS!$L$23</f>
        <v>0</v>
      </c>
      <c r="G31" s="153">
        <f>'PRODUCT PRICING &amp; REVENUE ENGIN'!G54 * ASSUMPTIONS!$L$23</f>
        <v>0</v>
      </c>
      <c r="H31" s="153">
        <f>'PRODUCT PRICING &amp; REVENUE ENGIN'!H54 * ASSUMPTIONS!$L$23</f>
        <v>0</v>
      </c>
      <c r="I31" s="153">
        <f>'PRODUCT PRICING &amp; REVENUE ENGIN'!I54 * ASSUMPTIONS!$L$23</f>
        <v>0</v>
      </c>
      <c r="J31" s="153">
        <f>'PRODUCT PRICING &amp; REVENUE ENGIN'!J54 * ASSUMPTIONS!$L$23</f>
        <v>0</v>
      </c>
      <c r="K31" s="153">
        <f>'PRODUCT PRICING &amp; REVENUE ENGIN'!K54 * ASSUMPTIONS!$L$23</f>
        <v>105306.696</v>
      </c>
      <c r="L31" s="153">
        <f>'PRODUCT PRICING &amp; REVENUE ENGIN'!L54 * ASSUMPTIONS!$L$23</f>
        <v>105306.696</v>
      </c>
      <c r="M31" s="153">
        <f>'PRODUCT PRICING &amp; REVENUE ENGIN'!M54 * ASSUMPTIONS!$L$23</f>
        <v>105306.696</v>
      </c>
      <c r="N31" s="153">
        <f>'PRODUCT PRICING &amp; REVENUE ENGIN'!N54 * ASSUMPTIONS!$L$23</f>
        <v>105306.696</v>
      </c>
      <c r="O31" s="153">
        <f>'PRODUCT PRICING &amp; REVENUE ENGIN'!O54 * ASSUMPTIONS!$L$23</f>
        <v>105306.696</v>
      </c>
      <c r="P31" s="153">
        <f>'PRODUCT PRICING &amp; REVENUE ENGIN'!P54 * ASSUMPTIONS!$L$23</f>
        <v>105306.696</v>
      </c>
      <c r="Q31" s="153">
        <f>'PRODUCT PRICING &amp; REVENUE ENGIN'!Q54 * ASSUMPTIONS!$L$23</f>
        <v>113442.1129</v>
      </c>
      <c r="R31" s="153">
        <f>'PRODUCT PRICING &amp; REVENUE ENGIN'!R54 * ASSUMPTIONS!$L$23</f>
        <v>113442.1129</v>
      </c>
      <c r="S31" s="153">
        <f>'PRODUCT PRICING &amp; REVENUE ENGIN'!S54 * ASSUMPTIONS!$L$23</f>
        <v>113442.1129</v>
      </c>
      <c r="T31" s="153">
        <f>'PRODUCT PRICING &amp; REVENUE ENGIN'!T54 * ASSUMPTIONS!$L$23</f>
        <v>113442.1129</v>
      </c>
      <c r="U31" s="153">
        <f>'PRODUCT PRICING &amp; REVENUE ENGIN'!U54 * ASSUMPTIONS!$L$23</f>
        <v>113442.1129</v>
      </c>
      <c r="V31" s="153">
        <f>'PRODUCT PRICING &amp; REVENUE ENGIN'!V54 * ASSUMPTIONS!$L$23</f>
        <v>113442.1129</v>
      </c>
      <c r="W31" s="153">
        <f>'PRODUCT PRICING &amp; REVENUE ENGIN'!W54 * ASSUMPTIONS!$L$23</f>
        <v>113442.1129</v>
      </c>
      <c r="X31" s="153">
        <f>'PRODUCT PRICING &amp; REVENUE ENGIN'!X54 * ASSUMPTIONS!$L$23</f>
        <v>113442.1129</v>
      </c>
      <c r="Y31" s="153">
        <f>'PRODUCT PRICING &amp; REVENUE ENGIN'!Y54 * ASSUMPTIONS!$L$23</f>
        <v>113442.1129</v>
      </c>
      <c r="Z31" s="153">
        <f>'PRODUCT PRICING &amp; REVENUE ENGIN'!Z54 * ASSUMPTIONS!$L$23</f>
        <v>113442.1129</v>
      </c>
      <c r="AA31" s="153">
        <f>'PRODUCT PRICING &amp; REVENUE ENGIN'!AA54 * ASSUMPTIONS!$L$23</f>
        <v>113442.1129</v>
      </c>
      <c r="AB31" s="153">
        <f>'PRODUCT PRICING &amp; REVENUE ENGIN'!AB54 * ASSUMPTIONS!$L$23</f>
        <v>113442.1129</v>
      </c>
      <c r="AC31" s="153">
        <f>'PRODUCT PRICING &amp; REVENUE ENGIN'!AC54 * ASSUMPTIONS!$L$23</f>
        <v>248201.4234</v>
      </c>
      <c r="AD31" s="153">
        <f>'PRODUCT PRICING &amp; REVENUE ENGIN'!AD54 * ASSUMPTIONS!$L$23</f>
        <v>248201.4234</v>
      </c>
      <c r="AE31" s="153">
        <f>'PRODUCT PRICING &amp; REVENUE ENGIN'!AE54 * ASSUMPTIONS!$L$23</f>
        <v>248201.4234</v>
      </c>
      <c r="AF31" s="153">
        <f>'PRODUCT PRICING &amp; REVENUE ENGIN'!AF54 * ASSUMPTIONS!$L$23</f>
        <v>248201.4234</v>
      </c>
      <c r="AG31" s="153">
        <f>'PRODUCT PRICING &amp; REVENUE ENGIN'!AG54 * ASSUMPTIONS!$L$23</f>
        <v>248201.4234</v>
      </c>
      <c r="AH31" s="153">
        <f>'PRODUCT PRICING &amp; REVENUE ENGIN'!AH54 * ASSUMPTIONS!$L$23</f>
        <v>248201.4234</v>
      </c>
      <c r="AI31" s="153">
        <f>'PRODUCT PRICING &amp; REVENUE ENGIN'!AI54 * ASSUMPTIONS!$L$23</f>
        <v>248201.4234</v>
      </c>
      <c r="AJ31" s="153">
        <f>'PRODUCT PRICING &amp; REVENUE ENGIN'!AJ54 * ASSUMPTIONS!$L$23</f>
        <v>248201.4234</v>
      </c>
      <c r="AK31" s="153">
        <f>'PRODUCT PRICING &amp; REVENUE ENGIN'!AK54 * ASSUMPTIONS!$L$23</f>
        <v>248201.4234</v>
      </c>
      <c r="AL31" s="153">
        <f>'PRODUCT PRICING &amp; REVENUE ENGIN'!AL54 * ASSUMPTIONS!$L$23</f>
        <v>248201.4234</v>
      </c>
      <c r="AM31" s="153">
        <f>'PRODUCT PRICING &amp; REVENUE ENGIN'!AM54 * ASSUMPTIONS!$L$23</f>
        <v>248201.4234</v>
      </c>
      <c r="AN31" s="153">
        <f>'PRODUCT PRICING &amp; REVENUE ENGIN'!AN54 * ASSUMPTIONS!$L$23</f>
        <v>248201.4234</v>
      </c>
      <c r="AO31" s="153">
        <f>'PRODUCT PRICING &amp; REVENUE ENGIN'!AO54 * ASSUMPTIONS!$L$23</f>
        <v>813779.7045</v>
      </c>
      <c r="AP31" s="153">
        <f>'PRODUCT PRICING &amp; REVENUE ENGIN'!AP54 * ASSUMPTIONS!$L$23</f>
        <v>813779.7045</v>
      </c>
      <c r="AQ31" s="153">
        <f>'PRODUCT PRICING &amp; REVENUE ENGIN'!AQ54 * ASSUMPTIONS!$L$23</f>
        <v>813779.7045</v>
      </c>
      <c r="AR31" s="153">
        <f>'PRODUCT PRICING &amp; REVENUE ENGIN'!AR54 * ASSUMPTIONS!$L$23</f>
        <v>813779.7045</v>
      </c>
      <c r="AS31" s="153">
        <f>'PRODUCT PRICING &amp; REVENUE ENGIN'!AS54 * ASSUMPTIONS!$L$23</f>
        <v>813779.7045</v>
      </c>
      <c r="AT31" s="153">
        <f>'PRODUCT PRICING &amp; REVENUE ENGIN'!AT54 * ASSUMPTIONS!$L$23</f>
        <v>813779.7045</v>
      </c>
      <c r="AU31" s="153">
        <f>'PRODUCT PRICING &amp; REVENUE ENGIN'!AU54 * ASSUMPTIONS!$L$23</f>
        <v>813779.7045</v>
      </c>
      <c r="AV31" s="153">
        <f>'PRODUCT PRICING &amp; REVENUE ENGIN'!AV54 * ASSUMPTIONS!$L$23</f>
        <v>813779.7045</v>
      </c>
      <c r="AW31" s="153">
        <f>'PRODUCT PRICING &amp; REVENUE ENGIN'!AW54 * ASSUMPTIONS!$L$23</f>
        <v>813779.7045</v>
      </c>
      <c r="AX31" s="153">
        <f>'PRODUCT PRICING &amp; REVENUE ENGIN'!AX54 * ASSUMPTIONS!$L$23</f>
        <v>813779.7045</v>
      </c>
      <c r="AY31" s="153">
        <f>'PRODUCT PRICING &amp; REVENUE ENGIN'!AY54 * ASSUMPTIONS!$L$23</f>
        <v>813779.7045</v>
      </c>
      <c r="AZ31" s="153">
        <f>'PRODUCT PRICING &amp; REVENUE ENGIN'!AZ54 * ASSUMPTIONS!$L$23</f>
        <v>813779.7045</v>
      </c>
      <c r="BA31" s="153">
        <f>'PRODUCT PRICING &amp; REVENUE ENGIN'!BA54 * ASSUMPTIONS!$L$23</f>
        <v>927529.3088</v>
      </c>
      <c r="BB31" s="153">
        <f>'PRODUCT PRICING &amp; REVENUE ENGIN'!BB54 * ASSUMPTIONS!$L$23</f>
        <v>927529.3088</v>
      </c>
      <c r="BC31" s="153">
        <f>'PRODUCT PRICING &amp; REVENUE ENGIN'!BC54 * ASSUMPTIONS!$L$23</f>
        <v>927529.3088</v>
      </c>
      <c r="BD31" s="153">
        <f>'PRODUCT PRICING &amp; REVENUE ENGIN'!BD54 * ASSUMPTIONS!$L$23</f>
        <v>927529.3088</v>
      </c>
      <c r="BE31" s="153">
        <f>'PRODUCT PRICING &amp; REVENUE ENGIN'!BE54 * ASSUMPTIONS!$L$23</f>
        <v>927529.3088</v>
      </c>
      <c r="BF31" s="153">
        <f>'PRODUCT PRICING &amp; REVENUE ENGIN'!BF54 * ASSUMPTIONS!$L$23</f>
        <v>927529.3088</v>
      </c>
      <c r="BG31" s="153">
        <f>'PRODUCT PRICING &amp; REVENUE ENGIN'!BG54 * ASSUMPTIONS!$L$23</f>
        <v>927529.3088</v>
      </c>
      <c r="BH31" s="153">
        <f>'PRODUCT PRICING &amp; REVENUE ENGIN'!BH54 * ASSUMPTIONS!$L$23</f>
        <v>927529.3088</v>
      </c>
      <c r="BI31" s="153">
        <f>'PRODUCT PRICING &amp; REVENUE ENGIN'!BI54 * ASSUMPTIONS!$L$23</f>
        <v>927529.3088</v>
      </c>
      <c r="BJ31" s="153">
        <f>'PRODUCT PRICING &amp; REVENUE ENGIN'!BJ54 * ASSUMPTIONS!$L$23</f>
        <v>927529.3088</v>
      </c>
      <c r="BK31" s="153">
        <f>'PRODUCT PRICING &amp; REVENUE ENGIN'!BK54 * ASSUMPTIONS!$L$23</f>
        <v>927529.3088</v>
      </c>
      <c r="BL31" s="140">
        <f>'PRODUCT PRICING &amp; REVENUE ENGIN'!BL54 * ASSUMPTIONS!$L$23</f>
        <v>927529.3088</v>
      </c>
    </row>
    <row r="32" ht="15.75" customHeight="1">
      <c r="D32" s="35" t="s">
        <v>46</v>
      </c>
      <c r="E32" s="153">
        <f>'PRODUCT PRICING &amp; REVENUE ENGIN'!E55 * ASSUMPTIONS!$L$24</f>
        <v>0</v>
      </c>
      <c r="F32" s="153">
        <f>'PRODUCT PRICING &amp; REVENUE ENGIN'!F55 * ASSUMPTIONS!$L$24</f>
        <v>0</v>
      </c>
      <c r="G32" s="153">
        <f>'PRODUCT PRICING &amp; REVENUE ENGIN'!G55 * ASSUMPTIONS!$L$24</f>
        <v>0</v>
      </c>
      <c r="H32" s="153">
        <f>'PRODUCT PRICING &amp; REVENUE ENGIN'!H55 * ASSUMPTIONS!$L$24</f>
        <v>0</v>
      </c>
      <c r="I32" s="153">
        <f>'PRODUCT PRICING &amp; REVENUE ENGIN'!I55 * ASSUMPTIONS!$L$24</f>
        <v>0</v>
      </c>
      <c r="J32" s="153">
        <f>'PRODUCT PRICING &amp; REVENUE ENGIN'!J55 * ASSUMPTIONS!$L$24</f>
        <v>0</v>
      </c>
      <c r="K32" s="153">
        <f>'PRODUCT PRICING &amp; REVENUE ENGIN'!K55 * ASSUMPTIONS!$L$24</f>
        <v>38293.344</v>
      </c>
      <c r="L32" s="153">
        <f>'PRODUCT PRICING &amp; REVENUE ENGIN'!L55 * ASSUMPTIONS!$L$24</f>
        <v>38293.344</v>
      </c>
      <c r="M32" s="153">
        <f>'PRODUCT PRICING &amp; REVENUE ENGIN'!M55 * ASSUMPTIONS!$L$24</f>
        <v>38293.344</v>
      </c>
      <c r="N32" s="153">
        <f>'PRODUCT PRICING &amp; REVENUE ENGIN'!N55 * ASSUMPTIONS!$L$24</f>
        <v>38293.344</v>
      </c>
      <c r="O32" s="153">
        <f>'PRODUCT PRICING &amp; REVENUE ENGIN'!O55 * ASSUMPTIONS!$L$24</f>
        <v>38293.344</v>
      </c>
      <c r="P32" s="153">
        <f>'PRODUCT PRICING &amp; REVENUE ENGIN'!P55 * ASSUMPTIONS!$L$24</f>
        <v>38293.344</v>
      </c>
      <c r="Q32" s="153">
        <f>'PRODUCT PRICING &amp; REVENUE ENGIN'!Q55 * ASSUMPTIONS!$L$24</f>
        <v>40862.51064</v>
      </c>
      <c r="R32" s="153">
        <f>'PRODUCT PRICING &amp; REVENUE ENGIN'!R55 * ASSUMPTIONS!$L$24</f>
        <v>40862.51064</v>
      </c>
      <c r="S32" s="153">
        <f>'PRODUCT PRICING &amp; REVENUE ENGIN'!S55 * ASSUMPTIONS!$L$24</f>
        <v>40862.51064</v>
      </c>
      <c r="T32" s="153">
        <f>'PRODUCT PRICING &amp; REVENUE ENGIN'!T55 * ASSUMPTIONS!$L$24</f>
        <v>40862.51064</v>
      </c>
      <c r="U32" s="153">
        <f>'PRODUCT PRICING &amp; REVENUE ENGIN'!U55 * ASSUMPTIONS!$L$24</f>
        <v>40862.51064</v>
      </c>
      <c r="V32" s="153">
        <f>'PRODUCT PRICING &amp; REVENUE ENGIN'!V55 * ASSUMPTIONS!$L$24</f>
        <v>40862.51064</v>
      </c>
      <c r="W32" s="153">
        <f>'PRODUCT PRICING &amp; REVENUE ENGIN'!W55 * ASSUMPTIONS!$L$24</f>
        <v>40862.51064</v>
      </c>
      <c r="X32" s="153">
        <f>'PRODUCT PRICING &amp; REVENUE ENGIN'!X55 * ASSUMPTIONS!$L$24</f>
        <v>40862.51064</v>
      </c>
      <c r="Y32" s="153">
        <f>'PRODUCT PRICING &amp; REVENUE ENGIN'!Y55 * ASSUMPTIONS!$L$24</f>
        <v>40862.51064</v>
      </c>
      <c r="Z32" s="153">
        <f>'PRODUCT PRICING &amp; REVENUE ENGIN'!Z55 * ASSUMPTIONS!$L$24</f>
        <v>40862.51064</v>
      </c>
      <c r="AA32" s="153">
        <f>'PRODUCT PRICING &amp; REVENUE ENGIN'!AA55 * ASSUMPTIONS!$L$24</f>
        <v>40862.51064</v>
      </c>
      <c r="AB32" s="153">
        <f>'PRODUCT PRICING &amp; REVENUE ENGIN'!AB55 * ASSUMPTIONS!$L$24</f>
        <v>40862.51064</v>
      </c>
      <c r="AC32" s="153">
        <f>'PRODUCT PRICING &amp; REVENUE ENGIN'!AC55 * ASSUMPTIONS!$L$24</f>
        <v>88560.16999</v>
      </c>
      <c r="AD32" s="153">
        <f>'PRODUCT PRICING &amp; REVENUE ENGIN'!AD55 * ASSUMPTIONS!$L$24</f>
        <v>88560.16999</v>
      </c>
      <c r="AE32" s="153">
        <f>'PRODUCT PRICING &amp; REVENUE ENGIN'!AE55 * ASSUMPTIONS!$L$24</f>
        <v>88560.16999</v>
      </c>
      <c r="AF32" s="153">
        <f>'PRODUCT PRICING &amp; REVENUE ENGIN'!AF55 * ASSUMPTIONS!$L$24</f>
        <v>88560.16999</v>
      </c>
      <c r="AG32" s="153">
        <f>'PRODUCT PRICING &amp; REVENUE ENGIN'!AG55 * ASSUMPTIONS!$L$24</f>
        <v>88560.16999</v>
      </c>
      <c r="AH32" s="153">
        <f>'PRODUCT PRICING &amp; REVENUE ENGIN'!AH55 * ASSUMPTIONS!$L$24</f>
        <v>88560.16999</v>
      </c>
      <c r="AI32" s="153">
        <f>'PRODUCT PRICING &amp; REVENUE ENGIN'!AI55 * ASSUMPTIONS!$L$24</f>
        <v>88560.16999</v>
      </c>
      <c r="AJ32" s="153">
        <f>'PRODUCT PRICING &amp; REVENUE ENGIN'!AJ55 * ASSUMPTIONS!$L$24</f>
        <v>88560.16999</v>
      </c>
      <c r="AK32" s="153">
        <f>'PRODUCT PRICING &amp; REVENUE ENGIN'!AK55 * ASSUMPTIONS!$L$24</f>
        <v>88560.16999</v>
      </c>
      <c r="AL32" s="153">
        <f>'PRODUCT PRICING &amp; REVENUE ENGIN'!AL55 * ASSUMPTIONS!$L$24</f>
        <v>88560.16999</v>
      </c>
      <c r="AM32" s="153">
        <f>'PRODUCT PRICING &amp; REVENUE ENGIN'!AM55 * ASSUMPTIONS!$L$24</f>
        <v>88560.16999</v>
      </c>
      <c r="AN32" s="153">
        <f>'PRODUCT PRICING &amp; REVENUE ENGIN'!AN55 * ASSUMPTIONS!$L$24</f>
        <v>88560.16999</v>
      </c>
      <c r="AO32" s="153">
        <f>'PRODUCT PRICING &amp; REVENUE ENGIN'!AO55 * ASSUMPTIONS!$L$24</f>
        <v>287623.5631</v>
      </c>
      <c r="AP32" s="153">
        <f>'PRODUCT PRICING &amp; REVENUE ENGIN'!AP55 * ASSUMPTIONS!$L$24</f>
        <v>287623.5631</v>
      </c>
      <c r="AQ32" s="153">
        <f>'PRODUCT PRICING &amp; REVENUE ENGIN'!AQ55 * ASSUMPTIONS!$L$24</f>
        <v>287623.5631</v>
      </c>
      <c r="AR32" s="153">
        <f>'PRODUCT PRICING &amp; REVENUE ENGIN'!AR55 * ASSUMPTIONS!$L$24</f>
        <v>287623.5631</v>
      </c>
      <c r="AS32" s="153">
        <f>'PRODUCT PRICING &amp; REVENUE ENGIN'!AS55 * ASSUMPTIONS!$L$24</f>
        <v>287623.5631</v>
      </c>
      <c r="AT32" s="153">
        <f>'PRODUCT PRICING &amp; REVENUE ENGIN'!AT55 * ASSUMPTIONS!$L$24</f>
        <v>287623.5631</v>
      </c>
      <c r="AU32" s="153">
        <f>'PRODUCT PRICING &amp; REVENUE ENGIN'!AU55 * ASSUMPTIONS!$L$24</f>
        <v>287623.5631</v>
      </c>
      <c r="AV32" s="153">
        <f>'PRODUCT PRICING &amp; REVENUE ENGIN'!AV55 * ASSUMPTIONS!$L$24</f>
        <v>287623.5631</v>
      </c>
      <c r="AW32" s="153">
        <f>'PRODUCT PRICING &amp; REVENUE ENGIN'!AW55 * ASSUMPTIONS!$L$24</f>
        <v>287623.5631</v>
      </c>
      <c r="AX32" s="153">
        <f>'PRODUCT PRICING &amp; REVENUE ENGIN'!AX55 * ASSUMPTIONS!$L$24</f>
        <v>287623.5631</v>
      </c>
      <c r="AY32" s="153">
        <f>'PRODUCT PRICING &amp; REVENUE ENGIN'!AY55 * ASSUMPTIONS!$L$24</f>
        <v>287623.5631</v>
      </c>
      <c r="AZ32" s="153">
        <f>'PRODUCT PRICING &amp; REVENUE ENGIN'!AZ55 * ASSUMPTIONS!$L$24</f>
        <v>287623.5631</v>
      </c>
      <c r="BA32" s="153">
        <f>'PRODUCT PRICING &amp; REVENUE ENGIN'!BA55 * ASSUMPTIONS!$L$24</f>
        <v>324734.6886</v>
      </c>
      <c r="BB32" s="153">
        <f>'PRODUCT PRICING &amp; REVENUE ENGIN'!BB55 * ASSUMPTIONS!$L$24</f>
        <v>324734.6886</v>
      </c>
      <c r="BC32" s="153">
        <f>'PRODUCT PRICING &amp; REVENUE ENGIN'!BC55 * ASSUMPTIONS!$L$24</f>
        <v>324734.6886</v>
      </c>
      <c r="BD32" s="153">
        <f>'PRODUCT PRICING &amp; REVENUE ENGIN'!BD55 * ASSUMPTIONS!$L$24</f>
        <v>324734.6886</v>
      </c>
      <c r="BE32" s="153">
        <f>'PRODUCT PRICING &amp; REVENUE ENGIN'!BE55 * ASSUMPTIONS!$L$24</f>
        <v>324734.6886</v>
      </c>
      <c r="BF32" s="153">
        <f>'PRODUCT PRICING &amp; REVENUE ENGIN'!BF55 * ASSUMPTIONS!$L$24</f>
        <v>324734.6886</v>
      </c>
      <c r="BG32" s="153">
        <f>'PRODUCT PRICING &amp; REVENUE ENGIN'!BG55 * ASSUMPTIONS!$L$24</f>
        <v>324734.6886</v>
      </c>
      <c r="BH32" s="153">
        <f>'PRODUCT PRICING &amp; REVENUE ENGIN'!BH55 * ASSUMPTIONS!$L$24</f>
        <v>324734.6886</v>
      </c>
      <c r="BI32" s="153">
        <f>'PRODUCT PRICING &amp; REVENUE ENGIN'!BI55 * ASSUMPTIONS!$L$24</f>
        <v>324734.6886</v>
      </c>
      <c r="BJ32" s="153">
        <f>'PRODUCT PRICING &amp; REVENUE ENGIN'!BJ55 * ASSUMPTIONS!$L$24</f>
        <v>324734.6886</v>
      </c>
      <c r="BK32" s="153">
        <f>'PRODUCT PRICING &amp; REVENUE ENGIN'!BK55 * ASSUMPTIONS!$L$24</f>
        <v>324734.6886</v>
      </c>
      <c r="BL32" s="140">
        <f>'PRODUCT PRICING &amp; REVENUE ENGIN'!BL55 * ASSUMPTIONS!$L$24</f>
        <v>324734.6886</v>
      </c>
    </row>
    <row r="33" ht="15.75" customHeight="1">
      <c r="D33" s="35" t="s">
        <v>28</v>
      </c>
      <c r="E33" s="153">
        <f>'PRODUCT PRICING &amp; REVENUE ENGIN'!E56 * ASSUMPTIONS!$L$25</f>
        <v>0</v>
      </c>
      <c r="F33" s="153">
        <f>'PRODUCT PRICING &amp; REVENUE ENGIN'!F56 * ASSUMPTIONS!$L$25</f>
        <v>0</v>
      </c>
      <c r="G33" s="153">
        <f>'PRODUCT PRICING &amp; REVENUE ENGIN'!G56 * ASSUMPTIONS!$L$25</f>
        <v>0</v>
      </c>
      <c r="H33" s="153">
        <f>'PRODUCT PRICING &amp; REVENUE ENGIN'!H56 * ASSUMPTIONS!$L$25</f>
        <v>0</v>
      </c>
      <c r="I33" s="153">
        <f>'PRODUCT PRICING &amp; REVENUE ENGIN'!I56 * ASSUMPTIONS!$L$25</f>
        <v>0</v>
      </c>
      <c r="J33" s="153">
        <f>'PRODUCT PRICING &amp; REVENUE ENGIN'!J56 * ASSUMPTIONS!$L$25</f>
        <v>0</v>
      </c>
      <c r="K33" s="153">
        <f>'PRODUCT PRICING &amp; REVENUE ENGIN'!K56 * ASSUMPTIONS!$L$25</f>
        <v>102115.584</v>
      </c>
      <c r="L33" s="153">
        <f>'PRODUCT PRICING &amp; REVENUE ENGIN'!L56 * ASSUMPTIONS!$L$25</f>
        <v>102115.584</v>
      </c>
      <c r="M33" s="153">
        <f>'PRODUCT PRICING &amp; REVENUE ENGIN'!M56 * ASSUMPTIONS!$L$25</f>
        <v>102115.584</v>
      </c>
      <c r="N33" s="153">
        <f>'PRODUCT PRICING &amp; REVENUE ENGIN'!N56 * ASSUMPTIONS!$L$25</f>
        <v>102115.584</v>
      </c>
      <c r="O33" s="153">
        <f>'PRODUCT PRICING &amp; REVENUE ENGIN'!O56 * ASSUMPTIONS!$L$25</f>
        <v>102115.584</v>
      </c>
      <c r="P33" s="153">
        <f>'PRODUCT PRICING &amp; REVENUE ENGIN'!P56 * ASSUMPTIONS!$L$25</f>
        <v>102115.584</v>
      </c>
      <c r="Q33" s="153">
        <f>'PRODUCT PRICING &amp; REVENUE ENGIN'!Q56 * ASSUMPTIONS!$L$25</f>
        <v>108966.695</v>
      </c>
      <c r="R33" s="153">
        <f>'PRODUCT PRICING &amp; REVENUE ENGIN'!R56 * ASSUMPTIONS!$L$25</f>
        <v>108966.695</v>
      </c>
      <c r="S33" s="153">
        <f>'PRODUCT PRICING &amp; REVENUE ENGIN'!S56 * ASSUMPTIONS!$L$25</f>
        <v>108966.695</v>
      </c>
      <c r="T33" s="153">
        <f>'PRODUCT PRICING &amp; REVENUE ENGIN'!T56 * ASSUMPTIONS!$L$25</f>
        <v>108966.695</v>
      </c>
      <c r="U33" s="153">
        <f>'PRODUCT PRICING &amp; REVENUE ENGIN'!U56 * ASSUMPTIONS!$L$25</f>
        <v>108966.695</v>
      </c>
      <c r="V33" s="153">
        <f>'PRODUCT PRICING &amp; REVENUE ENGIN'!V56 * ASSUMPTIONS!$L$25</f>
        <v>108966.695</v>
      </c>
      <c r="W33" s="153">
        <f>'PRODUCT PRICING &amp; REVENUE ENGIN'!W56 * ASSUMPTIONS!$L$25</f>
        <v>108966.695</v>
      </c>
      <c r="X33" s="153">
        <f>'PRODUCT PRICING &amp; REVENUE ENGIN'!X56 * ASSUMPTIONS!$L$25</f>
        <v>108966.695</v>
      </c>
      <c r="Y33" s="153">
        <f>'PRODUCT PRICING &amp; REVENUE ENGIN'!Y56 * ASSUMPTIONS!$L$25</f>
        <v>108966.695</v>
      </c>
      <c r="Z33" s="153">
        <f>'PRODUCT PRICING &amp; REVENUE ENGIN'!Z56 * ASSUMPTIONS!$L$25</f>
        <v>108966.695</v>
      </c>
      <c r="AA33" s="153">
        <f>'PRODUCT PRICING &amp; REVENUE ENGIN'!AA56 * ASSUMPTIONS!$L$25</f>
        <v>108966.695</v>
      </c>
      <c r="AB33" s="153">
        <f>'PRODUCT PRICING &amp; REVENUE ENGIN'!AB56 * ASSUMPTIONS!$L$25</f>
        <v>108966.695</v>
      </c>
      <c r="AC33" s="153">
        <f>'PRODUCT PRICING &amp; REVENUE ENGIN'!AC56 * ASSUMPTIONS!$L$25</f>
        <v>236160.4533</v>
      </c>
      <c r="AD33" s="153">
        <f>'PRODUCT PRICING &amp; REVENUE ENGIN'!AD56 * ASSUMPTIONS!$L$25</f>
        <v>236160.4533</v>
      </c>
      <c r="AE33" s="153">
        <f>'PRODUCT PRICING &amp; REVENUE ENGIN'!AE56 * ASSUMPTIONS!$L$25</f>
        <v>236160.4533</v>
      </c>
      <c r="AF33" s="153">
        <f>'PRODUCT PRICING &amp; REVENUE ENGIN'!AF56 * ASSUMPTIONS!$L$25</f>
        <v>236160.4533</v>
      </c>
      <c r="AG33" s="153">
        <f>'PRODUCT PRICING &amp; REVENUE ENGIN'!AG56 * ASSUMPTIONS!$L$25</f>
        <v>236160.4533</v>
      </c>
      <c r="AH33" s="153">
        <f>'PRODUCT PRICING &amp; REVENUE ENGIN'!AH56 * ASSUMPTIONS!$L$25</f>
        <v>236160.4533</v>
      </c>
      <c r="AI33" s="153">
        <f>'PRODUCT PRICING &amp; REVENUE ENGIN'!AI56 * ASSUMPTIONS!$L$25</f>
        <v>236160.4533</v>
      </c>
      <c r="AJ33" s="153">
        <f>'PRODUCT PRICING &amp; REVENUE ENGIN'!AJ56 * ASSUMPTIONS!$L$25</f>
        <v>236160.4533</v>
      </c>
      <c r="AK33" s="153">
        <f>'PRODUCT PRICING &amp; REVENUE ENGIN'!AK56 * ASSUMPTIONS!$L$25</f>
        <v>236160.4533</v>
      </c>
      <c r="AL33" s="153">
        <f>'PRODUCT PRICING &amp; REVENUE ENGIN'!AL56 * ASSUMPTIONS!$L$25</f>
        <v>236160.4533</v>
      </c>
      <c r="AM33" s="153">
        <f>'PRODUCT PRICING &amp; REVENUE ENGIN'!AM56 * ASSUMPTIONS!$L$25</f>
        <v>236160.4533</v>
      </c>
      <c r="AN33" s="153">
        <f>'PRODUCT PRICING &amp; REVENUE ENGIN'!AN56 * ASSUMPTIONS!$L$25</f>
        <v>236160.4533</v>
      </c>
      <c r="AO33" s="153">
        <f>'PRODUCT PRICING &amp; REVENUE ENGIN'!AO56 * ASSUMPTIONS!$L$25</f>
        <v>766996.1682</v>
      </c>
      <c r="AP33" s="153">
        <f>'PRODUCT PRICING &amp; REVENUE ENGIN'!AP56 * ASSUMPTIONS!$L$25</f>
        <v>766996.1682</v>
      </c>
      <c r="AQ33" s="153">
        <f>'PRODUCT PRICING &amp; REVENUE ENGIN'!AQ56 * ASSUMPTIONS!$L$25</f>
        <v>766996.1682</v>
      </c>
      <c r="AR33" s="153">
        <f>'PRODUCT PRICING &amp; REVENUE ENGIN'!AR56 * ASSUMPTIONS!$L$25</f>
        <v>766996.1682</v>
      </c>
      <c r="AS33" s="153">
        <f>'PRODUCT PRICING &amp; REVENUE ENGIN'!AS56 * ASSUMPTIONS!$L$25</f>
        <v>766996.1682</v>
      </c>
      <c r="AT33" s="153">
        <f>'PRODUCT PRICING &amp; REVENUE ENGIN'!AT56 * ASSUMPTIONS!$L$25</f>
        <v>766996.1682</v>
      </c>
      <c r="AU33" s="153">
        <f>'PRODUCT PRICING &amp; REVENUE ENGIN'!AU56 * ASSUMPTIONS!$L$25</f>
        <v>766996.1682</v>
      </c>
      <c r="AV33" s="153">
        <f>'PRODUCT PRICING &amp; REVENUE ENGIN'!AV56 * ASSUMPTIONS!$L$25</f>
        <v>766996.1682</v>
      </c>
      <c r="AW33" s="153">
        <f>'PRODUCT PRICING &amp; REVENUE ENGIN'!AW56 * ASSUMPTIONS!$L$25</f>
        <v>766996.1682</v>
      </c>
      <c r="AX33" s="153">
        <f>'PRODUCT PRICING &amp; REVENUE ENGIN'!AX56 * ASSUMPTIONS!$L$25</f>
        <v>766996.1682</v>
      </c>
      <c r="AY33" s="153">
        <f>'PRODUCT PRICING &amp; REVENUE ENGIN'!AY56 * ASSUMPTIONS!$L$25</f>
        <v>766996.1682</v>
      </c>
      <c r="AZ33" s="153">
        <f>'PRODUCT PRICING &amp; REVENUE ENGIN'!AZ56 * ASSUMPTIONS!$L$25</f>
        <v>766996.1682</v>
      </c>
      <c r="BA33" s="153">
        <f>'PRODUCT PRICING &amp; REVENUE ENGIN'!BA56 * ASSUMPTIONS!$L$25</f>
        <v>865959.1697</v>
      </c>
      <c r="BB33" s="153">
        <f>'PRODUCT PRICING &amp; REVENUE ENGIN'!BB56 * ASSUMPTIONS!$L$25</f>
        <v>865959.1697</v>
      </c>
      <c r="BC33" s="153">
        <f>'PRODUCT PRICING &amp; REVENUE ENGIN'!BC56 * ASSUMPTIONS!$L$25</f>
        <v>865959.1697</v>
      </c>
      <c r="BD33" s="153">
        <f>'PRODUCT PRICING &amp; REVENUE ENGIN'!BD56 * ASSUMPTIONS!$L$25</f>
        <v>865959.1697</v>
      </c>
      <c r="BE33" s="153">
        <f>'PRODUCT PRICING &amp; REVENUE ENGIN'!BE56 * ASSUMPTIONS!$L$25</f>
        <v>865959.1697</v>
      </c>
      <c r="BF33" s="153">
        <f>'PRODUCT PRICING &amp; REVENUE ENGIN'!BF56 * ASSUMPTIONS!$L$25</f>
        <v>865959.1697</v>
      </c>
      <c r="BG33" s="153">
        <f>'PRODUCT PRICING &amp; REVENUE ENGIN'!BG56 * ASSUMPTIONS!$L$25</f>
        <v>865959.1697</v>
      </c>
      <c r="BH33" s="153">
        <f>'PRODUCT PRICING &amp; REVENUE ENGIN'!BH56 * ASSUMPTIONS!$L$25</f>
        <v>865959.1697</v>
      </c>
      <c r="BI33" s="153">
        <f>'PRODUCT PRICING &amp; REVENUE ENGIN'!BI56 * ASSUMPTIONS!$L$25</f>
        <v>865959.1697</v>
      </c>
      <c r="BJ33" s="153">
        <f>'PRODUCT PRICING &amp; REVENUE ENGIN'!BJ56 * ASSUMPTIONS!$L$25</f>
        <v>865959.1697</v>
      </c>
      <c r="BK33" s="153">
        <f>'PRODUCT PRICING &amp; REVENUE ENGIN'!BK56 * ASSUMPTIONS!$L$25</f>
        <v>865959.1697</v>
      </c>
      <c r="BL33" s="140">
        <f>'PRODUCT PRICING &amp; REVENUE ENGIN'!BL56 * ASSUMPTIONS!$L$25</f>
        <v>865959.1697</v>
      </c>
    </row>
    <row r="34" ht="15.75" customHeight="1">
      <c r="D34" s="35" t="s">
        <v>30</v>
      </c>
      <c r="E34" s="153">
        <f>'PRODUCT PRICING &amp; REVENUE ENGIN'!E57 * ASSUMPTIONS!$L$26</f>
        <v>0</v>
      </c>
      <c r="F34" s="153">
        <f>'PRODUCT PRICING &amp; REVENUE ENGIN'!F57 * ASSUMPTIONS!$L$26</f>
        <v>0</v>
      </c>
      <c r="G34" s="153">
        <f>'PRODUCT PRICING &amp; REVENUE ENGIN'!G57 * ASSUMPTIONS!$L$26</f>
        <v>0</v>
      </c>
      <c r="H34" s="153">
        <f>'PRODUCT PRICING &amp; REVENUE ENGIN'!H57 * ASSUMPTIONS!$L$26</f>
        <v>0</v>
      </c>
      <c r="I34" s="153">
        <f>'PRODUCT PRICING &amp; REVENUE ENGIN'!I57 * ASSUMPTIONS!$L$26</f>
        <v>0</v>
      </c>
      <c r="J34" s="153">
        <f>'PRODUCT PRICING &amp; REVENUE ENGIN'!J57 * ASSUMPTIONS!$L$26</f>
        <v>0</v>
      </c>
      <c r="K34" s="153">
        <f>'PRODUCT PRICING &amp; REVENUE ENGIN'!K57 * ASSUMPTIONS!$L$26</f>
        <v>153498.24</v>
      </c>
      <c r="L34" s="153">
        <f>'PRODUCT PRICING &amp; REVENUE ENGIN'!L57 * ASSUMPTIONS!$L$26</f>
        <v>153498.24</v>
      </c>
      <c r="M34" s="153">
        <f>'PRODUCT PRICING &amp; REVENUE ENGIN'!M57 * ASSUMPTIONS!$L$26</f>
        <v>153498.24</v>
      </c>
      <c r="N34" s="153">
        <f>'PRODUCT PRICING &amp; REVENUE ENGIN'!N57 * ASSUMPTIONS!$L$26</f>
        <v>153498.24</v>
      </c>
      <c r="O34" s="153">
        <f>'PRODUCT PRICING &amp; REVENUE ENGIN'!O57 * ASSUMPTIONS!$L$26</f>
        <v>153498.24</v>
      </c>
      <c r="P34" s="153">
        <f>'PRODUCT PRICING &amp; REVENUE ENGIN'!P57 * ASSUMPTIONS!$L$26</f>
        <v>153498.24</v>
      </c>
      <c r="Q34" s="153">
        <f>'PRODUCT PRICING &amp; REVENUE ENGIN'!Q57 * ASSUMPTIONS!$L$26</f>
        <v>165871.9037</v>
      </c>
      <c r="R34" s="153">
        <f>'PRODUCT PRICING &amp; REVENUE ENGIN'!R57 * ASSUMPTIONS!$L$26</f>
        <v>165871.9037</v>
      </c>
      <c r="S34" s="153">
        <f>'PRODUCT PRICING &amp; REVENUE ENGIN'!S57 * ASSUMPTIONS!$L$26</f>
        <v>165871.9037</v>
      </c>
      <c r="T34" s="153">
        <f>'PRODUCT PRICING &amp; REVENUE ENGIN'!T57 * ASSUMPTIONS!$L$26</f>
        <v>165871.9037</v>
      </c>
      <c r="U34" s="153">
        <f>'PRODUCT PRICING &amp; REVENUE ENGIN'!U57 * ASSUMPTIONS!$L$26</f>
        <v>165871.9037</v>
      </c>
      <c r="V34" s="153">
        <f>'PRODUCT PRICING &amp; REVENUE ENGIN'!V57 * ASSUMPTIONS!$L$26</f>
        <v>165871.9037</v>
      </c>
      <c r="W34" s="153">
        <f>'PRODUCT PRICING &amp; REVENUE ENGIN'!W57 * ASSUMPTIONS!$L$26</f>
        <v>165871.9037</v>
      </c>
      <c r="X34" s="153">
        <f>'PRODUCT PRICING &amp; REVENUE ENGIN'!X57 * ASSUMPTIONS!$L$26</f>
        <v>165871.9037</v>
      </c>
      <c r="Y34" s="153">
        <f>'PRODUCT PRICING &amp; REVENUE ENGIN'!Y57 * ASSUMPTIONS!$L$26</f>
        <v>165871.9037</v>
      </c>
      <c r="Z34" s="153">
        <f>'PRODUCT PRICING &amp; REVENUE ENGIN'!Z57 * ASSUMPTIONS!$L$26</f>
        <v>165871.9037</v>
      </c>
      <c r="AA34" s="153">
        <f>'PRODUCT PRICING &amp; REVENUE ENGIN'!AA57 * ASSUMPTIONS!$L$26</f>
        <v>165871.9037</v>
      </c>
      <c r="AB34" s="153">
        <f>'PRODUCT PRICING &amp; REVENUE ENGIN'!AB57 * ASSUMPTIONS!$L$26</f>
        <v>165871.9037</v>
      </c>
      <c r="AC34" s="153">
        <f>'PRODUCT PRICING &amp; REVENUE ENGIN'!AC57 * ASSUMPTIONS!$L$26</f>
        <v>365062.8175</v>
      </c>
      <c r="AD34" s="153">
        <f>'PRODUCT PRICING &amp; REVENUE ENGIN'!AD57 * ASSUMPTIONS!$L$26</f>
        <v>365062.8175</v>
      </c>
      <c r="AE34" s="153">
        <f>'PRODUCT PRICING &amp; REVENUE ENGIN'!AE57 * ASSUMPTIONS!$L$26</f>
        <v>365062.8175</v>
      </c>
      <c r="AF34" s="153">
        <f>'PRODUCT PRICING &amp; REVENUE ENGIN'!AF57 * ASSUMPTIONS!$L$26</f>
        <v>365062.8175</v>
      </c>
      <c r="AG34" s="153">
        <f>'PRODUCT PRICING &amp; REVENUE ENGIN'!AG57 * ASSUMPTIONS!$L$26</f>
        <v>365062.8175</v>
      </c>
      <c r="AH34" s="153">
        <f>'PRODUCT PRICING &amp; REVENUE ENGIN'!AH57 * ASSUMPTIONS!$L$26</f>
        <v>365062.8175</v>
      </c>
      <c r="AI34" s="153">
        <f>'PRODUCT PRICING &amp; REVENUE ENGIN'!AI57 * ASSUMPTIONS!$L$26</f>
        <v>365062.8175</v>
      </c>
      <c r="AJ34" s="153">
        <f>'PRODUCT PRICING &amp; REVENUE ENGIN'!AJ57 * ASSUMPTIONS!$L$26</f>
        <v>365062.8175</v>
      </c>
      <c r="AK34" s="153">
        <f>'PRODUCT PRICING &amp; REVENUE ENGIN'!AK57 * ASSUMPTIONS!$L$26</f>
        <v>365062.8175</v>
      </c>
      <c r="AL34" s="153">
        <f>'PRODUCT PRICING &amp; REVENUE ENGIN'!AL57 * ASSUMPTIONS!$L$26</f>
        <v>365062.8175</v>
      </c>
      <c r="AM34" s="153">
        <f>'PRODUCT PRICING &amp; REVENUE ENGIN'!AM57 * ASSUMPTIONS!$L$26</f>
        <v>365062.8175</v>
      </c>
      <c r="AN34" s="153">
        <f>'PRODUCT PRICING &amp; REVENUE ENGIN'!AN57 * ASSUMPTIONS!$L$26</f>
        <v>365062.8175</v>
      </c>
      <c r="AO34" s="153">
        <f>'PRODUCT PRICING &amp; REVENUE ENGIN'!AO57 * ASSUMPTIONS!$L$26</f>
        <v>1203557.494</v>
      </c>
      <c r="AP34" s="153">
        <f>'PRODUCT PRICING &amp; REVENUE ENGIN'!AP57 * ASSUMPTIONS!$L$26</f>
        <v>1203557.494</v>
      </c>
      <c r="AQ34" s="153">
        <f>'PRODUCT PRICING &amp; REVENUE ENGIN'!AQ57 * ASSUMPTIONS!$L$26</f>
        <v>1203557.494</v>
      </c>
      <c r="AR34" s="153">
        <f>'PRODUCT PRICING &amp; REVENUE ENGIN'!AR57 * ASSUMPTIONS!$L$26</f>
        <v>1203557.494</v>
      </c>
      <c r="AS34" s="153">
        <f>'PRODUCT PRICING &amp; REVENUE ENGIN'!AS57 * ASSUMPTIONS!$L$26</f>
        <v>1203557.494</v>
      </c>
      <c r="AT34" s="153">
        <f>'PRODUCT PRICING &amp; REVENUE ENGIN'!AT57 * ASSUMPTIONS!$L$26</f>
        <v>1203557.494</v>
      </c>
      <c r="AU34" s="153">
        <f>'PRODUCT PRICING &amp; REVENUE ENGIN'!AU57 * ASSUMPTIONS!$L$26</f>
        <v>1203557.494</v>
      </c>
      <c r="AV34" s="153">
        <f>'PRODUCT PRICING &amp; REVENUE ENGIN'!AV57 * ASSUMPTIONS!$L$26</f>
        <v>1203557.494</v>
      </c>
      <c r="AW34" s="153">
        <f>'PRODUCT PRICING &amp; REVENUE ENGIN'!AW57 * ASSUMPTIONS!$L$26</f>
        <v>1203557.494</v>
      </c>
      <c r="AX34" s="153">
        <f>'PRODUCT PRICING &amp; REVENUE ENGIN'!AX57 * ASSUMPTIONS!$L$26</f>
        <v>1203557.494</v>
      </c>
      <c r="AY34" s="153">
        <f>'PRODUCT PRICING &amp; REVENUE ENGIN'!AY57 * ASSUMPTIONS!$L$26</f>
        <v>1203557.494</v>
      </c>
      <c r="AZ34" s="153">
        <f>'PRODUCT PRICING &amp; REVENUE ENGIN'!AZ57 * ASSUMPTIONS!$L$26</f>
        <v>1203557.494</v>
      </c>
      <c r="BA34" s="153">
        <f>'PRODUCT PRICING &amp; REVENUE ENGIN'!BA57 * ASSUMPTIONS!$L$26</f>
        <v>1388813.938</v>
      </c>
      <c r="BB34" s="153">
        <f>'PRODUCT PRICING &amp; REVENUE ENGIN'!BB57 * ASSUMPTIONS!$L$26</f>
        <v>1388813.938</v>
      </c>
      <c r="BC34" s="153">
        <f>'PRODUCT PRICING &amp; REVENUE ENGIN'!BC57 * ASSUMPTIONS!$L$26</f>
        <v>1388813.938</v>
      </c>
      <c r="BD34" s="153">
        <f>'PRODUCT PRICING &amp; REVENUE ENGIN'!BD57 * ASSUMPTIONS!$L$26</f>
        <v>1388813.938</v>
      </c>
      <c r="BE34" s="153">
        <f>'PRODUCT PRICING &amp; REVENUE ENGIN'!BE57 * ASSUMPTIONS!$L$26</f>
        <v>1388813.938</v>
      </c>
      <c r="BF34" s="153">
        <f>'PRODUCT PRICING &amp; REVENUE ENGIN'!BF57 * ASSUMPTIONS!$L$26</f>
        <v>1388813.938</v>
      </c>
      <c r="BG34" s="153">
        <f>'PRODUCT PRICING &amp; REVENUE ENGIN'!BG57 * ASSUMPTIONS!$L$26</f>
        <v>1388813.938</v>
      </c>
      <c r="BH34" s="153">
        <f>'PRODUCT PRICING &amp; REVENUE ENGIN'!BH57 * ASSUMPTIONS!$L$26</f>
        <v>1388813.938</v>
      </c>
      <c r="BI34" s="153">
        <f>'PRODUCT PRICING &amp; REVENUE ENGIN'!BI57 * ASSUMPTIONS!$L$26</f>
        <v>1388813.938</v>
      </c>
      <c r="BJ34" s="153">
        <f>'PRODUCT PRICING &amp; REVENUE ENGIN'!BJ57 * ASSUMPTIONS!$L$26</f>
        <v>1388813.938</v>
      </c>
      <c r="BK34" s="153">
        <f>'PRODUCT PRICING &amp; REVENUE ENGIN'!BK57 * ASSUMPTIONS!$L$26</f>
        <v>1388813.938</v>
      </c>
      <c r="BL34" s="140">
        <f>'PRODUCT PRICING &amp; REVENUE ENGIN'!BL57 * ASSUMPTIONS!$L$26</f>
        <v>1388813.938</v>
      </c>
    </row>
    <row r="35" ht="15.75" customHeight="1">
      <c r="D35" s="57" t="s">
        <v>168</v>
      </c>
      <c r="E35" s="153">
        <f>IF(E$15=$E$4, E18 * ASSUMPTIONS!$H$27 * $E$9,
IF(E$15=$F$4, E18 * ASSUMPTIONS!$H$27 * $F$9,
IF(E$15=$G$4, E18 * ASSUMPTIONS!$H$27 * $G$9,
IF(E$15=$H$4, E18 * ASSUMPTIONS!$H$27 * $H$9,
IF(E$15=$I$4, E18 * ASSUMPTIONS!$H$27 * $I$9, 0
)))))</f>
        <v>0</v>
      </c>
      <c r="F35" s="153">
        <f>IF(F$15=$E$4, F18 * ASSUMPTIONS!$H$27 * $E$9,
IF(F$15=$F$4, F18 * ASSUMPTIONS!$H$27 * $F$9,
IF(F$15=$G$4, F18 * ASSUMPTIONS!$H$27 * $G$9,
IF(F$15=$H$4, F18 * ASSUMPTIONS!$H$27 * $H$9,
IF(F$15=$I$4, F18 * ASSUMPTIONS!$H$27 * $I$9, 0
)))))</f>
        <v>0</v>
      </c>
      <c r="G35" s="153">
        <f>IF(G$15=$E$4, G18 * ASSUMPTIONS!$H$27 * $E$9,
IF(G$15=$F$4, G18 * ASSUMPTIONS!$H$27 * $F$9,
IF(G$15=$G$4, G18 * ASSUMPTIONS!$H$27 * $G$9,
IF(G$15=$H$4, G18 * ASSUMPTIONS!$H$27 * $H$9,
IF(G$15=$I$4, G18 * ASSUMPTIONS!$H$27 * $I$9, 0
)))))</f>
        <v>0</v>
      </c>
      <c r="H35" s="153">
        <f>IF(H$15=$E$4, H18 * ASSUMPTIONS!$H$27 * $E$9,
IF(H$15=$F$4, H18 * ASSUMPTIONS!$H$27 * $F$9,
IF(H$15=$G$4, H18 * ASSUMPTIONS!$H$27 * $G$9,
IF(H$15=$H$4, H18 * ASSUMPTIONS!$H$27 * $H$9,
IF(H$15=$I$4, H18 * ASSUMPTIONS!$H$27 * $I$9, 0
)))))</f>
        <v>0</v>
      </c>
      <c r="I35" s="153">
        <f>IF(I$15=$E$4, I18 * ASSUMPTIONS!$H$27 * $E$9,
IF(I$15=$F$4, I18 * ASSUMPTIONS!$H$27 * $F$9,
IF(I$15=$G$4, I18 * ASSUMPTIONS!$H$27 * $G$9,
IF(I$15=$H$4, I18 * ASSUMPTIONS!$H$27 * $H$9,
IF(I$15=$I$4, I18 * ASSUMPTIONS!$H$27 * $I$9, 0
)))))</f>
        <v>550000</v>
      </c>
      <c r="J35" s="153">
        <f>IF(J$15=$E$4, J18 * ASSUMPTIONS!$H$27 * $E$9,
IF(J$15=$F$4, J18 * ASSUMPTIONS!$H$27 * $F$9,
IF(J$15=$G$4, J18 * ASSUMPTIONS!$H$27 * $G$9,
IF(J$15=$H$4, J18 * ASSUMPTIONS!$H$27 * $H$9,
IF(J$15=$I$4, J18 * ASSUMPTIONS!$H$27 * $I$9, 0
)))))</f>
        <v>1100000</v>
      </c>
      <c r="K35" s="153">
        <f>IF(K$15=$E$4, K18 * ASSUMPTIONS!$H$27 * $E$9,
IF(K$15=$F$4, K18 * ASSUMPTIONS!$H$27 * $F$9,
IF(K$15=$G$4, K18 * ASSUMPTIONS!$H$27 * $G$9,
IF(K$15=$H$4, K18 * ASSUMPTIONS!$H$27 * $H$9,
IF(K$15=$I$4, K18 * ASSUMPTIONS!$H$27 * $I$9, 0
)))))</f>
        <v>1650000</v>
      </c>
      <c r="L35" s="153">
        <f>IF(L$15=$E$4, L18 * ASSUMPTIONS!$H$27 * $E$9,
IF(L$15=$F$4, L18 * ASSUMPTIONS!$H$27 * $F$9,
IF(L$15=$G$4, L18 * ASSUMPTIONS!$H$27 * $G$9,
IF(L$15=$H$4, L18 * ASSUMPTIONS!$H$27 * $H$9,
IF(L$15=$I$4, L18 * ASSUMPTIONS!$H$27 * $I$9, 0
)))))</f>
        <v>2200000</v>
      </c>
      <c r="M35" s="153">
        <f>IF(M$15=$E$4, M18 * ASSUMPTIONS!$H$27 * $E$9,
IF(M$15=$F$4, M18 * ASSUMPTIONS!$H$27 * $F$9,
IF(M$15=$G$4, M18 * ASSUMPTIONS!$H$27 * $G$9,
IF(M$15=$H$4, M18 * ASSUMPTIONS!$H$27 * $H$9,
IF(M$15=$I$4, M18 * ASSUMPTIONS!$H$27 * $I$9, 0
)))))</f>
        <v>2750000</v>
      </c>
      <c r="N35" s="153">
        <f>IF(N$15=$E$4, N18 * ASSUMPTIONS!$H$27 * $E$9,
IF(N$15=$F$4, N18 * ASSUMPTIONS!$H$27 * $F$9,
IF(N$15=$G$4, N18 * ASSUMPTIONS!$H$27 * $G$9,
IF(N$15=$H$4, N18 * ASSUMPTIONS!$H$27 * $H$9,
IF(N$15=$I$4, N18 * ASSUMPTIONS!$H$27 * $I$9, 0
)))))</f>
        <v>3300000</v>
      </c>
      <c r="O35" s="153">
        <f>IF(O$15=$E$4, O18 * ASSUMPTIONS!$H$27 * $E$9,
IF(O$15=$F$4, O18 * ASSUMPTIONS!$H$27 * $F$9,
IF(O$15=$G$4, O18 * ASSUMPTIONS!$H$27 * $G$9,
IF(O$15=$H$4, O18 * ASSUMPTIONS!$H$27 * $H$9,
IF(O$15=$I$4, O18 * ASSUMPTIONS!$H$27 * $I$9, 0
)))))</f>
        <v>3850000</v>
      </c>
      <c r="P35" s="153">
        <f>IF(P$15=$E$4, P18 * ASSUMPTIONS!$H$27 * $E$9,
IF(P$15=$F$4, P18 * ASSUMPTIONS!$H$27 * $F$9,
IF(P$15=$G$4, P18 * ASSUMPTIONS!$H$27 * $G$9,
IF(P$15=$H$4, P18 * ASSUMPTIONS!$H$27 * $H$9,
IF(P$15=$I$4, P18 * ASSUMPTIONS!$H$27 * $I$9, 0
)))))</f>
        <v>4400000</v>
      </c>
      <c r="Q35" s="153">
        <f>IF(Q$15=$E$4, Q18 * ASSUMPTIONS!$H$27 * $E$9,
IF(Q$15=$F$4, Q18 * ASSUMPTIONS!$H$27 * $F$9,
IF(Q$15=$G$4, Q18 * ASSUMPTIONS!$H$27 * $G$9,
IF(Q$15=$H$4, Q18 * ASSUMPTIONS!$H$27 * $H$9,
IF(Q$15=$I$4, Q18 * ASSUMPTIONS!$H$27 * $I$9, 0
)))))</f>
        <v>5247000</v>
      </c>
      <c r="R35" s="153">
        <f>IF(R$15=$E$4, R18 * ASSUMPTIONS!$H$27 * $E$9,
IF(R$15=$F$4, R18 * ASSUMPTIONS!$H$27 * $F$9,
IF(R$15=$G$4, R18 * ASSUMPTIONS!$H$27 * $G$9,
IF(R$15=$H$4, R18 * ASSUMPTIONS!$H$27 * $H$9,
IF(R$15=$I$4, R18 * ASSUMPTIONS!$H$27 * $I$9, 0
)))))</f>
        <v>5830000</v>
      </c>
      <c r="S35" s="153">
        <f>IF(S$15=$E$4, S18 * ASSUMPTIONS!$H$27 * $E$9,
IF(S$15=$F$4, S18 * ASSUMPTIONS!$H$27 * $F$9,
IF(S$15=$G$4, S18 * ASSUMPTIONS!$H$27 * $G$9,
IF(S$15=$H$4, S18 * ASSUMPTIONS!$H$27 * $H$9,
IF(S$15=$I$4, S18 * ASSUMPTIONS!$H$27 * $I$9, 0
)))))</f>
        <v>6413000</v>
      </c>
      <c r="T35" s="153">
        <f>IF(T$15=$E$4, T18 * ASSUMPTIONS!$H$27 * $E$9,
IF(T$15=$F$4, T18 * ASSUMPTIONS!$H$27 * $F$9,
IF(T$15=$G$4, T18 * ASSUMPTIONS!$H$27 * $G$9,
IF(T$15=$H$4, T18 * ASSUMPTIONS!$H$27 * $H$9,
IF(T$15=$I$4, T18 * ASSUMPTIONS!$H$27 * $I$9, 0
)))))</f>
        <v>6996000</v>
      </c>
      <c r="U35" s="153">
        <f>IF(U$15=$E$4, U18 * ASSUMPTIONS!$H$27 * $E$9,
IF(U$15=$F$4, U18 * ASSUMPTIONS!$H$27 * $F$9,
IF(U$15=$G$4, U18 * ASSUMPTIONS!$H$27 * $G$9,
IF(U$15=$H$4, U18 * ASSUMPTIONS!$H$27 * $H$9,
IF(U$15=$I$4, U18 * ASSUMPTIONS!$H$27 * $I$9, 0
)))))</f>
        <v>7579000</v>
      </c>
      <c r="V35" s="153">
        <f>IF(V$15=$E$4, V18 * ASSUMPTIONS!$H$27 * $E$9,
IF(V$15=$F$4, V18 * ASSUMPTIONS!$H$27 * $F$9,
IF(V$15=$G$4, V18 * ASSUMPTIONS!$H$27 * $G$9,
IF(V$15=$H$4, V18 * ASSUMPTIONS!$H$27 * $H$9,
IF(V$15=$I$4, V18 * ASSUMPTIONS!$H$27 * $I$9, 0
)))))</f>
        <v>8162000</v>
      </c>
      <c r="W35" s="153">
        <f>IF(W$15=$E$4, W18 * ASSUMPTIONS!$H$27 * $E$9,
IF(W$15=$F$4, W18 * ASSUMPTIONS!$H$27 * $F$9,
IF(W$15=$G$4, W18 * ASSUMPTIONS!$H$27 * $G$9,
IF(W$15=$H$4, W18 * ASSUMPTIONS!$H$27 * $H$9,
IF(W$15=$I$4, W18 * ASSUMPTIONS!$H$27 * $I$9, 0
)))))</f>
        <v>8745000</v>
      </c>
      <c r="X35" s="153">
        <f>IF(X$15=$E$4, X18 * ASSUMPTIONS!$H$27 * $E$9,
IF(X$15=$F$4, X18 * ASSUMPTIONS!$H$27 * $F$9,
IF(X$15=$G$4, X18 * ASSUMPTIONS!$H$27 * $G$9,
IF(X$15=$H$4, X18 * ASSUMPTIONS!$H$27 * $H$9,
IF(X$15=$I$4, X18 * ASSUMPTIONS!$H$27 * $I$9, 0
)))))</f>
        <v>9328000</v>
      </c>
      <c r="Y35" s="153">
        <f>IF(Y$15=$E$4, Y18 * ASSUMPTIONS!$H$27 * $E$9,
IF(Y$15=$F$4, Y18 * ASSUMPTIONS!$H$27 * $F$9,
IF(Y$15=$G$4, Y18 * ASSUMPTIONS!$H$27 * $G$9,
IF(Y$15=$H$4, Y18 * ASSUMPTIONS!$H$27 * $H$9,
IF(Y$15=$I$4, Y18 * ASSUMPTIONS!$H$27 * $I$9, 0
)))))</f>
        <v>9911000</v>
      </c>
      <c r="Z35" s="153">
        <f>IF(Z$15=$E$4, Z18 * ASSUMPTIONS!$H$27 * $E$9,
IF(Z$15=$F$4, Z18 * ASSUMPTIONS!$H$27 * $F$9,
IF(Z$15=$G$4, Z18 * ASSUMPTIONS!$H$27 * $G$9,
IF(Z$15=$H$4, Z18 * ASSUMPTIONS!$H$27 * $H$9,
IF(Z$15=$I$4, Z18 * ASSUMPTIONS!$H$27 * $I$9, 0
)))))</f>
        <v>10494000</v>
      </c>
      <c r="AA35" s="153">
        <f>IF(AA$15=$E$4, AA18 * ASSUMPTIONS!$H$27 * $E$9,
IF(AA$15=$F$4, AA18 * ASSUMPTIONS!$H$27 * $F$9,
IF(AA$15=$G$4, AA18 * ASSUMPTIONS!$H$27 * $G$9,
IF(AA$15=$H$4, AA18 * ASSUMPTIONS!$H$27 * $H$9,
IF(AA$15=$I$4, AA18 * ASSUMPTIONS!$H$27 * $I$9, 0
)))))</f>
        <v>11077000</v>
      </c>
      <c r="AB35" s="153">
        <f>IF(AB$15=$E$4, AB18 * ASSUMPTIONS!$H$27 * $E$9,
IF(AB$15=$F$4, AB18 * ASSUMPTIONS!$H$27 * $F$9,
IF(AB$15=$G$4, AB18 * ASSUMPTIONS!$H$27 * $G$9,
IF(AB$15=$H$4, AB18 * ASSUMPTIONS!$H$27 * $H$9,
IF(AB$15=$I$4, AB18 * ASSUMPTIONS!$H$27 * $I$9, 0
)))))</f>
        <v>11660000</v>
      </c>
      <c r="AC35" s="153">
        <f>IF(AC$15=$E$4, AC18 * ASSUMPTIONS!$H$27 * $E$9,
IF(AC$15=$F$4, AC18 * ASSUMPTIONS!$H$27 * $F$9,
IF(AC$15=$G$4, AC18 * ASSUMPTIONS!$H$27 * $G$9,
IF(AC$15=$H$4, AC18 * ASSUMPTIONS!$H$27 * $H$9,
IF(AC$15=$I$4, AC18 * ASSUMPTIONS!$H$27 * $I$9, 0
)))))</f>
        <v>12977580</v>
      </c>
      <c r="AD35" s="153">
        <f>IF(AD$15=$E$4, AD18 * ASSUMPTIONS!$H$27 * $E$9,
IF(AD$15=$F$4, AD18 * ASSUMPTIONS!$H$27 * $F$9,
IF(AD$15=$G$4, AD18 * ASSUMPTIONS!$H$27 * $G$9,
IF(AD$15=$H$4, AD18 * ASSUMPTIONS!$H$27 * $H$9,
IF(AD$15=$I$4, AD18 * ASSUMPTIONS!$H$27 * $I$9, 0
)))))</f>
        <v>13595560</v>
      </c>
      <c r="AE35" s="153">
        <f>IF(AE$15=$E$4, AE18 * ASSUMPTIONS!$H$27 * $E$9,
IF(AE$15=$F$4, AE18 * ASSUMPTIONS!$H$27 * $F$9,
IF(AE$15=$G$4, AE18 * ASSUMPTIONS!$H$27 * $G$9,
IF(AE$15=$H$4, AE18 * ASSUMPTIONS!$H$27 * $H$9,
IF(AE$15=$I$4, AE18 * ASSUMPTIONS!$H$27 * $I$9, 0
)))))</f>
        <v>14213540</v>
      </c>
      <c r="AF35" s="153">
        <f>IF(AF$15=$E$4, AF18 * ASSUMPTIONS!$H$27 * $E$9,
IF(AF$15=$F$4, AF18 * ASSUMPTIONS!$H$27 * $F$9,
IF(AF$15=$G$4, AF18 * ASSUMPTIONS!$H$27 * $G$9,
IF(AF$15=$H$4, AF18 * ASSUMPTIONS!$H$27 * $H$9,
IF(AF$15=$I$4, AF18 * ASSUMPTIONS!$H$27 * $I$9, 0
)))))</f>
        <v>14831520</v>
      </c>
      <c r="AG35" s="153">
        <f>IF(AG$15=$E$4, AG18 * ASSUMPTIONS!$H$27 * $E$9,
IF(AG$15=$F$4, AG18 * ASSUMPTIONS!$H$27 * $F$9,
IF(AG$15=$G$4, AG18 * ASSUMPTIONS!$H$27 * $G$9,
IF(AG$15=$H$4, AG18 * ASSUMPTIONS!$H$27 * $H$9,
IF(AG$15=$I$4, AG18 * ASSUMPTIONS!$H$27 * $I$9, 0
)))))</f>
        <v>15449500</v>
      </c>
      <c r="AH35" s="153">
        <f>IF(AH$15=$E$4, AH18 * ASSUMPTIONS!$H$27 * $E$9,
IF(AH$15=$F$4, AH18 * ASSUMPTIONS!$H$27 * $F$9,
IF(AH$15=$G$4, AH18 * ASSUMPTIONS!$H$27 * $G$9,
IF(AH$15=$H$4, AH18 * ASSUMPTIONS!$H$27 * $H$9,
IF(AH$15=$I$4, AH18 * ASSUMPTIONS!$H$27 * $I$9, 0
)))))</f>
        <v>16067480</v>
      </c>
      <c r="AI35" s="153">
        <f>IF(AI$15=$E$4, AI18 * ASSUMPTIONS!$H$27 * $E$9,
IF(AI$15=$F$4, AI18 * ASSUMPTIONS!$H$27 * $F$9,
IF(AI$15=$G$4, AI18 * ASSUMPTIONS!$H$27 * $G$9,
IF(AI$15=$H$4, AI18 * ASSUMPTIONS!$H$27 * $H$9,
IF(AI$15=$I$4, AI18 * ASSUMPTIONS!$H$27 * $I$9, 0
)))))</f>
        <v>16685460</v>
      </c>
      <c r="AJ35" s="153">
        <f>IF(AJ$15=$E$4, AJ18 * ASSUMPTIONS!$H$27 * $E$9,
IF(AJ$15=$F$4, AJ18 * ASSUMPTIONS!$H$27 * $F$9,
IF(AJ$15=$G$4, AJ18 * ASSUMPTIONS!$H$27 * $G$9,
IF(AJ$15=$H$4, AJ18 * ASSUMPTIONS!$H$27 * $H$9,
IF(AJ$15=$I$4, AJ18 * ASSUMPTIONS!$H$27 * $I$9, 0
)))))</f>
        <v>17303440</v>
      </c>
      <c r="AK35" s="153">
        <f>IF(AK$15=$E$4, AK18 * ASSUMPTIONS!$H$27 * $E$9,
IF(AK$15=$F$4, AK18 * ASSUMPTIONS!$H$27 * $F$9,
IF(AK$15=$G$4, AK18 * ASSUMPTIONS!$H$27 * $G$9,
IF(AK$15=$H$4, AK18 * ASSUMPTIONS!$H$27 * $H$9,
IF(AK$15=$I$4, AK18 * ASSUMPTIONS!$H$27 * $I$9, 0
)))))</f>
        <v>17921420</v>
      </c>
      <c r="AL35" s="153">
        <f>IF(AL$15=$E$4, AL18 * ASSUMPTIONS!$H$27 * $E$9,
IF(AL$15=$F$4, AL18 * ASSUMPTIONS!$H$27 * $F$9,
IF(AL$15=$G$4, AL18 * ASSUMPTIONS!$H$27 * $G$9,
IF(AL$15=$H$4, AL18 * ASSUMPTIONS!$H$27 * $H$9,
IF(AL$15=$I$4, AL18 * ASSUMPTIONS!$H$27 * $I$9, 0
)))))</f>
        <v>18539400</v>
      </c>
      <c r="AM35" s="153">
        <f>IF(AM$15=$E$4, AM18 * ASSUMPTIONS!$H$27 * $E$9,
IF(AM$15=$F$4, AM18 * ASSUMPTIONS!$H$27 * $F$9,
IF(AM$15=$G$4, AM18 * ASSUMPTIONS!$H$27 * $G$9,
IF(AM$15=$H$4, AM18 * ASSUMPTIONS!$H$27 * $H$9,
IF(AM$15=$I$4, AM18 * ASSUMPTIONS!$H$27 * $I$9, 0
)))))</f>
        <v>19157380</v>
      </c>
      <c r="AN35" s="153">
        <f>IF(AN$15=$E$4, AN18 * ASSUMPTIONS!$H$27 * $E$9,
IF(AN$15=$F$4, AN18 * ASSUMPTIONS!$H$27 * $F$9,
IF(AN$15=$G$4, AN18 * ASSUMPTIONS!$H$27 * $G$9,
IF(AN$15=$H$4, AN18 * ASSUMPTIONS!$H$27 * $H$9,
IF(AN$15=$I$4, AN18 * ASSUMPTIONS!$H$27 * $I$9, 0
)))))</f>
        <v>19775360</v>
      </c>
      <c r="AO35" s="153">
        <f>IF(AO$15=$E$4, AO18 * ASSUMPTIONS!$H$27 * $E$9,
IF(AO$15=$F$4, AO18 * ASSUMPTIONS!$H$27 * $F$9,
IF(AO$15=$G$4, AO18 * ASSUMPTIONS!$H$27 * $G$9,
IF(AO$15=$H$4, AO18 * ASSUMPTIONS!$H$27 * $H$9,
IF(AO$15=$I$4, AO18 * ASSUMPTIONS!$H$27 * $I$9, 0
)))))</f>
        <v>22927058</v>
      </c>
      <c r="AP35" s="153">
        <f>IF(AP$15=$E$4, AP18 * ASSUMPTIONS!$H$27 * $E$9,
IF(AP$15=$F$4, AP18 * ASSUMPTIONS!$H$27 * $F$9,
IF(AP$15=$G$4, AP18 * ASSUMPTIONS!$H$27 * $G$9,
IF(AP$15=$H$4, AP18 * ASSUMPTIONS!$H$27 * $H$9,
IF(AP$15=$I$4, AP18 * ASSUMPTIONS!$H$27 * $I$9, 0
)))))</f>
        <v>24892234.4</v>
      </c>
      <c r="AQ35" s="153">
        <f>IF(AQ$15=$E$4, AQ18 * ASSUMPTIONS!$H$27 * $E$9,
IF(AQ$15=$F$4, AQ18 * ASSUMPTIONS!$H$27 * $F$9,
IF(AQ$15=$G$4, AQ18 * ASSUMPTIONS!$H$27 * $G$9,
IF(AQ$15=$H$4, AQ18 * ASSUMPTIONS!$H$27 * $H$9,
IF(AQ$15=$I$4, AQ18 * ASSUMPTIONS!$H$27 * $I$9, 0
)))))</f>
        <v>26857410.8</v>
      </c>
      <c r="AR35" s="153">
        <f>IF(AR$15=$E$4, AR18 * ASSUMPTIONS!$H$27 * $E$9,
IF(AR$15=$F$4, AR18 * ASSUMPTIONS!$H$27 * $F$9,
IF(AR$15=$G$4, AR18 * ASSUMPTIONS!$H$27 * $G$9,
IF(AR$15=$H$4, AR18 * ASSUMPTIONS!$H$27 * $H$9,
IF(AR$15=$I$4, AR18 * ASSUMPTIONS!$H$27 * $I$9, 0
)))))</f>
        <v>28822587.2</v>
      </c>
      <c r="AS35" s="153">
        <f>IF(AS$15=$E$4, AS18 * ASSUMPTIONS!$H$27 * $E$9,
IF(AS$15=$F$4, AS18 * ASSUMPTIONS!$H$27 * $F$9,
IF(AS$15=$G$4, AS18 * ASSUMPTIONS!$H$27 * $G$9,
IF(AS$15=$H$4, AS18 * ASSUMPTIONS!$H$27 * $H$9,
IF(AS$15=$I$4, AS18 * ASSUMPTIONS!$H$27 * $I$9, 0
)))))</f>
        <v>30787763.6</v>
      </c>
      <c r="AT35" s="153">
        <f>IF(AT$15=$E$4, AT18 * ASSUMPTIONS!$H$27 * $E$9,
IF(AT$15=$F$4, AT18 * ASSUMPTIONS!$H$27 * $F$9,
IF(AT$15=$G$4, AT18 * ASSUMPTIONS!$H$27 * $G$9,
IF(AT$15=$H$4, AT18 * ASSUMPTIONS!$H$27 * $H$9,
IF(AT$15=$I$4, AT18 * ASSUMPTIONS!$H$27 * $I$9, 0
)))))</f>
        <v>32752940</v>
      </c>
      <c r="AU35" s="153">
        <f>IF(AU$15=$E$4, AU18 * ASSUMPTIONS!$H$27 * $E$9,
IF(AU$15=$F$4, AU18 * ASSUMPTIONS!$H$27 * $F$9,
IF(AU$15=$G$4, AU18 * ASSUMPTIONS!$H$27 * $G$9,
IF(AU$15=$H$4, AU18 * ASSUMPTIONS!$H$27 * $H$9,
IF(AU$15=$I$4, AU18 * ASSUMPTIONS!$H$27 * $I$9, 0
)))))</f>
        <v>34718116.4</v>
      </c>
      <c r="AV35" s="153">
        <f>IF(AV$15=$E$4, AV18 * ASSUMPTIONS!$H$27 * $E$9,
IF(AV$15=$F$4, AV18 * ASSUMPTIONS!$H$27 * $F$9,
IF(AV$15=$G$4, AV18 * ASSUMPTIONS!$H$27 * $G$9,
IF(AV$15=$H$4, AV18 * ASSUMPTIONS!$H$27 * $H$9,
IF(AV$15=$I$4, AV18 * ASSUMPTIONS!$H$27 * $I$9, 0
)))))</f>
        <v>36683292.8</v>
      </c>
      <c r="AW35" s="153">
        <f>IF(AW$15=$E$4, AW18 * ASSUMPTIONS!$H$27 * $E$9,
IF(AW$15=$F$4, AW18 * ASSUMPTIONS!$H$27 * $F$9,
IF(AW$15=$G$4, AW18 * ASSUMPTIONS!$H$27 * $G$9,
IF(AW$15=$H$4, AW18 * ASSUMPTIONS!$H$27 * $H$9,
IF(AW$15=$I$4, AW18 * ASSUMPTIONS!$H$27 * $I$9, 0
)))))</f>
        <v>36683292.8</v>
      </c>
      <c r="AX35" s="153">
        <f>IF(AX$15=$E$4, AX18 * ASSUMPTIONS!$H$27 * $E$9,
IF(AX$15=$F$4, AX18 * ASSUMPTIONS!$H$27 * $F$9,
IF(AX$15=$G$4, AX18 * ASSUMPTIONS!$H$27 * $G$9,
IF(AX$15=$H$4, AX18 * ASSUMPTIONS!$H$27 * $H$9,
IF(AX$15=$I$4, AX18 * ASSUMPTIONS!$H$27 * $I$9, 0
)))))</f>
        <v>36683292.8</v>
      </c>
      <c r="AY35" s="153">
        <f>IF(AY$15=$E$4, AY18 * ASSUMPTIONS!$H$27 * $E$9,
IF(AY$15=$F$4, AY18 * ASSUMPTIONS!$H$27 * $F$9,
IF(AY$15=$G$4, AY18 * ASSUMPTIONS!$H$27 * $G$9,
IF(AY$15=$H$4, AY18 * ASSUMPTIONS!$H$27 * $H$9,
IF(AY$15=$I$4, AY18 * ASSUMPTIONS!$H$27 * $I$9, 0
)))))</f>
        <v>36683292.8</v>
      </c>
      <c r="AZ35" s="153">
        <f>IF(AZ$15=$E$4, AZ18 * ASSUMPTIONS!$H$27 * $E$9,
IF(AZ$15=$F$4, AZ18 * ASSUMPTIONS!$H$27 * $F$9,
IF(AZ$15=$G$4, AZ18 * ASSUMPTIONS!$H$27 * $G$9,
IF(AZ$15=$H$4, AZ18 * ASSUMPTIONS!$H$27 * $H$9,
IF(AZ$15=$I$4, AZ18 * ASSUMPTIONS!$H$27 * $I$9, 0
)))))</f>
        <v>36683292.8</v>
      </c>
      <c r="BA35" s="153">
        <f>IF(BA$15=$E$4, BA18 * ASSUMPTIONS!$H$27 * $E$9,
IF(BA$15=$F$4, BA18 * ASSUMPTIONS!$H$27 * $F$9,
IF(BA$15=$G$4, BA18 * ASSUMPTIONS!$H$27 * $G$9,
IF(BA$15=$H$4, BA18 * ASSUMPTIONS!$H$27 * $H$9,
IF(BA$15=$I$4, BA18 * ASSUMPTIONS!$H$27 * $I$9, 0
)))))</f>
        <v>38884290.37</v>
      </c>
      <c r="BB35" s="153">
        <f>IF(BB$15=$E$4, BB18 * ASSUMPTIONS!$H$27 * $E$9,
IF(BB$15=$F$4, BB18 * ASSUMPTIONS!$H$27 * $F$9,
IF(BB$15=$G$4, BB18 * ASSUMPTIONS!$H$27 * $G$9,
IF(BB$15=$H$4, BB18 * ASSUMPTIONS!$H$27 * $H$9,
IF(BB$15=$I$4, BB18 * ASSUMPTIONS!$H$27 * $I$9, 0
)))))</f>
        <v>38884290.37</v>
      </c>
      <c r="BC35" s="153">
        <f>IF(BC$15=$E$4, BC18 * ASSUMPTIONS!$H$27 * $E$9,
IF(BC$15=$F$4, BC18 * ASSUMPTIONS!$H$27 * $F$9,
IF(BC$15=$G$4, BC18 * ASSUMPTIONS!$H$27 * $G$9,
IF(BC$15=$H$4, BC18 * ASSUMPTIONS!$H$27 * $H$9,
IF(BC$15=$I$4, BC18 * ASSUMPTIONS!$H$27 * $I$9, 0
)))))</f>
        <v>38884290.37</v>
      </c>
      <c r="BD35" s="153">
        <f>IF(BD$15=$E$4, BD18 * ASSUMPTIONS!$H$27 * $E$9,
IF(BD$15=$F$4, BD18 * ASSUMPTIONS!$H$27 * $F$9,
IF(BD$15=$G$4, BD18 * ASSUMPTIONS!$H$27 * $G$9,
IF(BD$15=$H$4, BD18 * ASSUMPTIONS!$H$27 * $H$9,
IF(BD$15=$I$4, BD18 * ASSUMPTIONS!$H$27 * $I$9, 0
)))))</f>
        <v>38884290.37</v>
      </c>
      <c r="BE35" s="153">
        <f>IF(BE$15=$E$4, BE18 * ASSUMPTIONS!$H$27 * $E$9,
IF(BE$15=$F$4, BE18 * ASSUMPTIONS!$H$27 * $F$9,
IF(BE$15=$G$4, BE18 * ASSUMPTIONS!$H$27 * $G$9,
IF(BE$15=$H$4, BE18 * ASSUMPTIONS!$H$27 * $H$9,
IF(BE$15=$I$4, BE18 * ASSUMPTIONS!$H$27 * $I$9, 0
)))))</f>
        <v>38884290.37</v>
      </c>
      <c r="BF35" s="153">
        <f>IF(BF$15=$E$4, BF18 * ASSUMPTIONS!$H$27 * $E$9,
IF(BF$15=$F$4, BF18 * ASSUMPTIONS!$H$27 * $F$9,
IF(BF$15=$G$4, BF18 * ASSUMPTIONS!$H$27 * $G$9,
IF(BF$15=$H$4, BF18 * ASSUMPTIONS!$H$27 * $H$9,
IF(BF$15=$I$4, BF18 * ASSUMPTIONS!$H$27 * $I$9, 0
)))))</f>
        <v>38884290.37</v>
      </c>
      <c r="BG35" s="153">
        <f>IF(BG$15=$E$4, BG18 * ASSUMPTIONS!$H$27 * $E$9,
IF(BG$15=$F$4, BG18 * ASSUMPTIONS!$H$27 * $F$9,
IF(BG$15=$G$4, BG18 * ASSUMPTIONS!$H$27 * $G$9,
IF(BG$15=$H$4, BG18 * ASSUMPTIONS!$H$27 * $H$9,
IF(BG$15=$I$4, BG18 * ASSUMPTIONS!$H$27 * $I$9, 0
)))))</f>
        <v>38884290.37</v>
      </c>
      <c r="BH35" s="153">
        <f>IF(BH$15=$E$4, BH18 * ASSUMPTIONS!$H$27 * $E$9,
IF(BH$15=$F$4, BH18 * ASSUMPTIONS!$H$27 * $F$9,
IF(BH$15=$G$4, BH18 * ASSUMPTIONS!$H$27 * $G$9,
IF(BH$15=$H$4, BH18 * ASSUMPTIONS!$H$27 * $H$9,
IF(BH$15=$I$4, BH18 * ASSUMPTIONS!$H$27 * $I$9, 0
)))))</f>
        <v>38884290.37</v>
      </c>
      <c r="BI35" s="153">
        <f>IF(BI$15=$E$4, BI18 * ASSUMPTIONS!$H$27 * $E$9,
IF(BI$15=$F$4, BI18 * ASSUMPTIONS!$H$27 * $F$9,
IF(BI$15=$G$4, BI18 * ASSUMPTIONS!$H$27 * $G$9,
IF(BI$15=$H$4, BI18 * ASSUMPTIONS!$H$27 * $H$9,
IF(BI$15=$I$4, BI18 * ASSUMPTIONS!$H$27 * $I$9, 0
)))))</f>
        <v>38884290.37</v>
      </c>
      <c r="BJ35" s="153">
        <f>IF(BJ$15=$E$4, BJ18 * ASSUMPTIONS!$H$27 * $E$9,
IF(BJ$15=$F$4, BJ18 * ASSUMPTIONS!$H$27 * $F$9,
IF(BJ$15=$G$4, BJ18 * ASSUMPTIONS!$H$27 * $G$9,
IF(BJ$15=$H$4, BJ18 * ASSUMPTIONS!$H$27 * $H$9,
IF(BJ$15=$I$4, BJ18 * ASSUMPTIONS!$H$27 * $I$9, 0
)))))</f>
        <v>38884290.37</v>
      </c>
      <c r="BK35" s="153">
        <f>IF(BK$15=$E$4, BK18 * ASSUMPTIONS!$H$27 * $E$9,
IF(BK$15=$F$4, BK18 * ASSUMPTIONS!$H$27 * $F$9,
IF(BK$15=$G$4, BK18 * ASSUMPTIONS!$H$27 * $G$9,
IF(BK$15=$H$4, BK18 * ASSUMPTIONS!$H$27 * $H$9,
IF(BK$15=$I$4, BK18 * ASSUMPTIONS!$H$27 * $I$9, 0
)))))</f>
        <v>38884290.37</v>
      </c>
      <c r="BL35" s="153">
        <f>IF(BL$15=$E$4, BL18 * ASSUMPTIONS!$H$27 * $E$9,
IF(BL$15=$F$4, BL18 * ASSUMPTIONS!$H$27 * $F$9,
IF(BL$15=$G$4, BL18 * ASSUMPTIONS!$H$27 * $G$9,
IF(BL$15=$H$4, BL18 * ASSUMPTIONS!$H$27 * $H$9,
IF(BL$15=$I$4, BL18 * ASSUMPTIONS!$H$27 * $I$9, 0
)))))</f>
        <v>38884290.37</v>
      </c>
    </row>
    <row r="36" ht="15.75" customHeight="1">
      <c r="D36" s="57" t="s">
        <v>169</v>
      </c>
      <c r="E36" s="153">
        <f>IF(E$15=$E$4, 'PRODUCT PRICING &amp; REVENUE ENGIN'!E58 * ASSUMPTIONS!$H$33 * $E$10,
IF(E$15=$F$4, 'PRODUCT PRICING &amp; REVENUE ENGIN'!E58 * ASSUMPTIONS!$H$33 * $F$10,
IF(E$15=$G$4, 'PRODUCT PRICING &amp; REVENUE ENGIN'!E58 * ASSUMPTIONS!$H$33 * $G$10,
IF(E$15=$H$4, 'PRODUCT PRICING &amp; REVENUE ENGIN'!E58 * ASSUMPTIONS!$H$33 * $H$10,
IF(E$15=$I$4, 'PRODUCT PRICING &amp; REVENUE ENGIN'!E58 * ASSUMPTIONS!$H$33 * $I$10, 0
)))))</f>
        <v>0</v>
      </c>
      <c r="F36" s="153">
        <f>IF(F$15=$E$4, 'PRODUCT PRICING &amp; REVENUE ENGIN'!F58 * ASSUMPTIONS!$H$33 * $E$10,
IF(F$15=$F$4, 'PRODUCT PRICING &amp; REVENUE ENGIN'!F58 * ASSUMPTIONS!$H$33 * $F$10,
IF(F$15=$G$4, 'PRODUCT PRICING &amp; REVENUE ENGIN'!F58 * ASSUMPTIONS!$H$33 * $G$10,
IF(F$15=$H$4, 'PRODUCT PRICING &amp; REVENUE ENGIN'!F58 * ASSUMPTIONS!$H$33 * $H$10,
IF(F$15=$I$4, 'PRODUCT PRICING &amp; REVENUE ENGIN'!F58 * ASSUMPTIONS!$H$33 * $I$10, 0
)))))</f>
        <v>0</v>
      </c>
      <c r="G36" s="153">
        <f>IF(G$15=$E$4, 'PRODUCT PRICING &amp; REVENUE ENGIN'!G58 * ASSUMPTIONS!$H$33 * $E$10,
IF(G$15=$F$4, 'PRODUCT PRICING &amp; REVENUE ENGIN'!G58 * ASSUMPTIONS!$H$33 * $F$10,
IF(G$15=$G$4, 'PRODUCT PRICING &amp; REVENUE ENGIN'!G58 * ASSUMPTIONS!$H$33 * $G$10,
IF(G$15=$H$4, 'PRODUCT PRICING &amp; REVENUE ENGIN'!G58 * ASSUMPTIONS!$H$33 * $H$10,
IF(G$15=$I$4, 'PRODUCT PRICING &amp; REVENUE ENGIN'!G58 * ASSUMPTIONS!$H$33 * $I$10, 0
)))))</f>
        <v>0</v>
      </c>
      <c r="H36" s="153">
        <f>IF(H$15=$E$4, 'PRODUCT PRICING &amp; REVENUE ENGIN'!H58 * ASSUMPTIONS!$H$33 * $E$10,
IF(H$15=$F$4, 'PRODUCT PRICING &amp; REVENUE ENGIN'!H58 * ASSUMPTIONS!$H$33 * $F$10,
IF(H$15=$G$4, 'PRODUCT PRICING &amp; REVENUE ENGIN'!H58 * ASSUMPTIONS!$H$33 * $G$10,
IF(H$15=$H$4, 'PRODUCT PRICING &amp; REVENUE ENGIN'!H58 * ASSUMPTIONS!$H$33 * $H$10,
IF(H$15=$I$4, 'PRODUCT PRICING &amp; REVENUE ENGIN'!H58 * ASSUMPTIONS!$H$33 * $I$10, 0
)))))</f>
        <v>0</v>
      </c>
      <c r="I36" s="153">
        <f>IF(I$15=$E$4, 'PRODUCT PRICING &amp; REVENUE ENGIN'!I58 * ASSUMPTIONS!$H$33 * $E$10,
IF(I$15=$F$4, 'PRODUCT PRICING &amp; REVENUE ENGIN'!I58 * ASSUMPTIONS!$H$33 * $F$10,
IF(I$15=$G$4, 'PRODUCT PRICING &amp; REVENUE ENGIN'!I58 * ASSUMPTIONS!$H$33 * $G$10,
IF(I$15=$H$4, 'PRODUCT PRICING &amp; REVENUE ENGIN'!I58 * ASSUMPTIONS!$H$33 * $H$10,
IF(I$15=$I$4, 'PRODUCT PRICING &amp; REVENUE ENGIN'!I58 * ASSUMPTIONS!$H$33 * $I$10, 0
)))))</f>
        <v>167091.7248</v>
      </c>
      <c r="J36" s="153">
        <f>IF(J$15=$E$4, 'PRODUCT PRICING &amp; REVENUE ENGIN'!J58 * ASSUMPTIONS!$H$33 * $E$10,
IF(J$15=$F$4, 'PRODUCT PRICING &amp; REVENUE ENGIN'!J58 * ASSUMPTIONS!$H$33 * $F$10,
IF(J$15=$G$4, 'PRODUCT PRICING &amp; REVENUE ENGIN'!J58 * ASSUMPTIONS!$H$33 * $G$10,
IF(J$15=$H$4, 'PRODUCT PRICING &amp; REVENUE ENGIN'!J58 * ASSUMPTIONS!$H$33 * $H$10,
IF(J$15=$I$4, 'PRODUCT PRICING &amp; REVENUE ENGIN'!J58 * ASSUMPTIONS!$H$33 * $I$10, 0
)))))</f>
        <v>334183.4496</v>
      </c>
      <c r="K36" s="153">
        <f>IF(K$15=$E$4, 'PRODUCT PRICING &amp; REVENUE ENGIN'!K58 * ASSUMPTIONS!$H$33 * $E$10,
IF(K$15=$F$4, 'PRODUCT PRICING &amp; REVENUE ENGIN'!K58 * ASSUMPTIONS!$H$33 * $F$10,
IF(K$15=$G$4, 'PRODUCT PRICING &amp; REVENUE ENGIN'!K58 * ASSUMPTIONS!$H$33 * $G$10,
IF(K$15=$H$4, 'PRODUCT PRICING &amp; REVENUE ENGIN'!K58 * ASSUMPTIONS!$H$33 * $H$10,
IF(K$15=$I$4, 'PRODUCT PRICING &amp; REVENUE ENGIN'!K58 * ASSUMPTIONS!$H$33 * $I$10, 0
)))))</f>
        <v>1368251.237</v>
      </c>
      <c r="L36" s="153">
        <f>IF(L$15=$E$4, 'PRODUCT PRICING &amp; REVENUE ENGIN'!L58 * ASSUMPTIONS!$H$33 * $E$10,
IF(L$15=$F$4, 'PRODUCT PRICING &amp; REVENUE ENGIN'!L58 * ASSUMPTIONS!$H$33 * $F$10,
IF(L$15=$G$4, 'PRODUCT PRICING &amp; REVENUE ENGIN'!L58 * ASSUMPTIONS!$H$33 * $G$10,
IF(L$15=$H$4, 'PRODUCT PRICING &amp; REVENUE ENGIN'!L58 * ASSUMPTIONS!$H$33 * $H$10,
IF(L$15=$I$4, 'PRODUCT PRICING &amp; REVENUE ENGIN'!L58 * ASSUMPTIONS!$H$33 * $I$10, 0
)))))</f>
        <v>1535342.962</v>
      </c>
      <c r="M36" s="153">
        <f>IF(M$15=$E$4, 'PRODUCT PRICING &amp; REVENUE ENGIN'!M58 * ASSUMPTIONS!$H$33 * $E$10,
IF(M$15=$F$4, 'PRODUCT PRICING &amp; REVENUE ENGIN'!M58 * ASSUMPTIONS!$H$33 * $F$10,
IF(M$15=$G$4, 'PRODUCT PRICING &amp; REVENUE ENGIN'!M58 * ASSUMPTIONS!$H$33 * $G$10,
IF(M$15=$H$4, 'PRODUCT PRICING &amp; REVENUE ENGIN'!M58 * ASSUMPTIONS!$H$33 * $H$10,
IF(M$15=$I$4, 'PRODUCT PRICING &amp; REVENUE ENGIN'!M58 * ASSUMPTIONS!$H$33 * $I$10, 0
)))))</f>
        <v>1702434.686</v>
      </c>
      <c r="N36" s="153">
        <f>IF(N$15=$E$4, 'PRODUCT PRICING &amp; REVENUE ENGIN'!N58 * ASSUMPTIONS!$H$33 * $E$10,
IF(N$15=$F$4, 'PRODUCT PRICING &amp; REVENUE ENGIN'!N58 * ASSUMPTIONS!$H$33 * $F$10,
IF(N$15=$G$4, 'PRODUCT PRICING &amp; REVENUE ENGIN'!N58 * ASSUMPTIONS!$H$33 * $G$10,
IF(N$15=$H$4, 'PRODUCT PRICING &amp; REVENUE ENGIN'!N58 * ASSUMPTIONS!$H$33 * $H$10,
IF(N$15=$I$4, 'PRODUCT PRICING &amp; REVENUE ENGIN'!N58 * ASSUMPTIONS!$H$33 * $I$10, 0
)))))</f>
        <v>1869526.411</v>
      </c>
      <c r="O36" s="153">
        <f>IF(O$15=$E$4, 'PRODUCT PRICING &amp; REVENUE ENGIN'!O58 * ASSUMPTIONS!$H$33 * $E$10,
IF(O$15=$F$4, 'PRODUCT PRICING &amp; REVENUE ENGIN'!O58 * ASSUMPTIONS!$H$33 * $F$10,
IF(O$15=$G$4, 'PRODUCT PRICING &amp; REVENUE ENGIN'!O58 * ASSUMPTIONS!$H$33 * $G$10,
IF(O$15=$H$4, 'PRODUCT PRICING &amp; REVENUE ENGIN'!O58 * ASSUMPTIONS!$H$33 * $H$10,
IF(O$15=$I$4, 'PRODUCT PRICING &amp; REVENUE ENGIN'!O58 * ASSUMPTIONS!$H$33 * $I$10, 0
)))))</f>
        <v>2036618.136</v>
      </c>
      <c r="P36" s="153">
        <f>IF(P$15=$E$4, 'PRODUCT PRICING &amp; REVENUE ENGIN'!P58 * ASSUMPTIONS!$H$33 * $E$10,
IF(P$15=$F$4, 'PRODUCT PRICING &amp; REVENUE ENGIN'!P58 * ASSUMPTIONS!$H$33 * $F$10,
IF(P$15=$G$4, 'PRODUCT PRICING &amp; REVENUE ENGIN'!P58 * ASSUMPTIONS!$H$33 * $G$10,
IF(P$15=$H$4, 'PRODUCT PRICING &amp; REVENUE ENGIN'!P58 * ASSUMPTIONS!$H$33 * $H$10,
IF(P$15=$I$4, 'PRODUCT PRICING &amp; REVENUE ENGIN'!P58 * ASSUMPTIONS!$H$33 * $I$10, 0
)))))</f>
        <v>2203709.861</v>
      </c>
      <c r="Q36" s="153">
        <f>IF(Q$15=$E$4, 'PRODUCT PRICING &amp; REVENUE ENGIN'!Q58 * ASSUMPTIONS!$H$33 * $E$10,
IF(Q$15=$F$4, 'PRODUCT PRICING &amp; REVENUE ENGIN'!Q58 * ASSUMPTIONS!$H$33 * $F$10,
IF(Q$15=$G$4, 'PRODUCT PRICING &amp; REVENUE ENGIN'!Q58 * ASSUMPTIONS!$H$33 * $G$10,
IF(Q$15=$H$4, 'PRODUCT PRICING &amp; REVENUE ENGIN'!Q58 * ASSUMPTIONS!$H$33 * $H$10,
IF(Q$15=$I$4, 'PRODUCT PRICING &amp; REVENUE ENGIN'!Q58 * ASSUMPTIONS!$H$33 * $I$10, 0
)))))</f>
        <v>2626445.961</v>
      </c>
      <c r="R36" s="153">
        <f>IF(R$15=$E$4, 'PRODUCT PRICING &amp; REVENUE ENGIN'!R58 * ASSUMPTIONS!$H$33 * $E$10,
IF(R$15=$F$4, 'PRODUCT PRICING &amp; REVENUE ENGIN'!R58 * ASSUMPTIONS!$H$33 * $F$10,
IF(R$15=$G$4, 'PRODUCT PRICING &amp; REVENUE ENGIN'!R58 * ASSUMPTIONS!$H$33 * $G$10,
IF(R$15=$H$4, 'PRODUCT PRICING &amp; REVENUE ENGIN'!R58 * ASSUMPTIONS!$H$33 * $H$10,
IF(R$15=$I$4, 'PRODUCT PRICING &amp; REVENUE ENGIN'!R58 * ASSUMPTIONS!$H$33 * $I$10, 0
)))))</f>
        <v>2809812.056</v>
      </c>
      <c r="S36" s="153">
        <f>IF(S$15=$E$4, 'PRODUCT PRICING &amp; REVENUE ENGIN'!S58 * ASSUMPTIONS!$H$33 * $E$10,
IF(S$15=$F$4, 'PRODUCT PRICING &amp; REVENUE ENGIN'!S58 * ASSUMPTIONS!$H$33 * $F$10,
IF(S$15=$G$4, 'PRODUCT PRICING &amp; REVENUE ENGIN'!S58 * ASSUMPTIONS!$H$33 * $G$10,
IF(S$15=$H$4, 'PRODUCT PRICING &amp; REVENUE ENGIN'!S58 * ASSUMPTIONS!$H$33 * $H$10,
IF(S$15=$I$4, 'PRODUCT PRICING &amp; REVENUE ENGIN'!S58 * ASSUMPTIONS!$H$33 * $I$10, 0
)))))</f>
        <v>2993178.152</v>
      </c>
      <c r="T36" s="153">
        <f>IF(T$15=$E$4, 'PRODUCT PRICING &amp; REVENUE ENGIN'!T58 * ASSUMPTIONS!$H$33 * $E$10,
IF(T$15=$F$4, 'PRODUCT PRICING &amp; REVENUE ENGIN'!T58 * ASSUMPTIONS!$H$33 * $F$10,
IF(T$15=$G$4, 'PRODUCT PRICING &amp; REVENUE ENGIN'!T58 * ASSUMPTIONS!$H$33 * $G$10,
IF(T$15=$H$4, 'PRODUCT PRICING &amp; REVENUE ENGIN'!T58 * ASSUMPTIONS!$H$33 * $H$10,
IF(T$15=$I$4, 'PRODUCT PRICING &amp; REVENUE ENGIN'!T58 * ASSUMPTIONS!$H$33 * $I$10, 0
)))))</f>
        <v>3176544.247</v>
      </c>
      <c r="U36" s="153">
        <f>IF(U$15=$E$4, 'PRODUCT PRICING &amp; REVENUE ENGIN'!U58 * ASSUMPTIONS!$H$33 * $E$10,
IF(U$15=$F$4, 'PRODUCT PRICING &amp; REVENUE ENGIN'!U58 * ASSUMPTIONS!$H$33 * $F$10,
IF(U$15=$G$4, 'PRODUCT PRICING &amp; REVENUE ENGIN'!U58 * ASSUMPTIONS!$H$33 * $G$10,
IF(U$15=$H$4, 'PRODUCT PRICING &amp; REVENUE ENGIN'!U58 * ASSUMPTIONS!$H$33 * $H$10,
IF(U$15=$I$4, 'PRODUCT PRICING &amp; REVENUE ENGIN'!U58 * ASSUMPTIONS!$H$33 * $I$10, 0
)))))</f>
        <v>3359910.343</v>
      </c>
      <c r="V36" s="153">
        <f>IF(V$15=$E$4, 'PRODUCT PRICING &amp; REVENUE ENGIN'!V58 * ASSUMPTIONS!$H$33 * $E$10,
IF(V$15=$F$4, 'PRODUCT PRICING &amp; REVENUE ENGIN'!V58 * ASSUMPTIONS!$H$33 * $F$10,
IF(V$15=$G$4, 'PRODUCT PRICING &amp; REVENUE ENGIN'!V58 * ASSUMPTIONS!$H$33 * $G$10,
IF(V$15=$H$4, 'PRODUCT PRICING &amp; REVENUE ENGIN'!V58 * ASSUMPTIONS!$H$33 * $H$10,
IF(V$15=$I$4, 'PRODUCT PRICING &amp; REVENUE ENGIN'!V58 * ASSUMPTIONS!$H$33 * $I$10, 0
)))))</f>
        <v>3543276.438</v>
      </c>
      <c r="W36" s="153">
        <f>IF(W$15=$E$4, 'PRODUCT PRICING &amp; REVENUE ENGIN'!W58 * ASSUMPTIONS!$H$33 * $E$10,
IF(W$15=$F$4, 'PRODUCT PRICING &amp; REVENUE ENGIN'!W58 * ASSUMPTIONS!$H$33 * $F$10,
IF(W$15=$G$4, 'PRODUCT PRICING &amp; REVENUE ENGIN'!W58 * ASSUMPTIONS!$H$33 * $G$10,
IF(W$15=$H$4, 'PRODUCT PRICING &amp; REVENUE ENGIN'!W58 * ASSUMPTIONS!$H$33 * $H$10,
IF(W$15=$I$4, 'PRODUCT PRICING &amp; REVENUE ENGIN'!W58 * ASSUMPTIONS!$H$33 * $I$10, 0
)))))</f>
        <v>3726642.534</v>
      </c>
      <c r="X36" s="153">
        <f>IF(X$15=$E$4, 'PRODUCT PRICING &amp; REVENUE ENGIN'!X58 * ASSUMPTIONS!$H$33 * $E$10,
IF(X$15=$F$4, 'PRODUCT PRICING &amp; REVENUE ENGIN'!X58 * ASSUMPTIONS!$H$33 * $F$10,
IF(X$15=$G$4, 'PRODUCT PRICING &amp; REVENUE ENGIN'!X58 * ASSUMPTIONS!$H$33 * $G$10,
IF(X$15=$H$4, 'PRODUCT PRICING &amp; REVENUE ENGIN'!X58 * ASSUMPTIONS!$H$33 * $H$10,
IF(X$15=$I$4, 'PRODUCT PRICING &amp; REVENUE ENGIN'!X58 * ASSUMPTIONS!$H$33 * $I$10, 0
)))))</f>
        <v>3910008.629</v>
      </c>
      <c r="Y36" s="153">
        <f>IF(Y$15=$E$4, 'PRODUCT PRICING &amp; REVENUE ENGIN'!Y58 * ASSUMPTIONS!$H$33 * $E$10,
IF(Y$15=$F$4, 'PRODUCT PRICING &amp; REVENUE ENGIN'!Y58 * ASSUMPTIONS!$H$33 * $F$10,
IF(Y$15=$G$4, 'PRODUCT PRICING &amp; REVENUE ENGIN'!Y58 * ASSUMPTIONS!$H$33 * $G$10,
IF(Y$15=$H$4, 'PRODUCT PRICING &amp; REVENUE ENGIN'!Y58 * ASSUMPTIONS!$H$33 * $H$10,
IF(Y$15=$I$4, 'PRODUCT PRICING &amp; REVENUE ENGIN'!Y58 * ASSUMPTIONS!$H$33 * $I$10, 0
)))))</f>
        <v>4093374.725</v>
      </c>
      <c r="Z36" s="153">
        <f>IF(Z$15=$E$4, 'PRODUCT PRICING &amp; REVENUE ENGIN'!Z58 * ASSUMPTIONS!$H$33 * $E$10,
IF(Z$15=$F$4, 'PRODUCT PRICING &amp; REVENUE ENGIN'!Z58 * ASSUMPTIONS!$H$33 * $F$10,
IF(Z$15=$G$4, 'PRODUCT PRICING &amp; REVENUE ENGIN'!Z58 * ASSUMPTIONS!$H$33 * $G$10,
IF(Z$15=$H$4, 'PRODUCT PRICING &amp; REVENUE ENGIN'!Z58 * ASSUMPTIONS!$H$33 * $H$10,
IF(Z$15=$I$4, 'PRODUCT PRICING &amp; REVENUE ENGIN'!Z58 * ASSUMPTIONS!$H$33 * $I$10, 0
)))))</f>
        <v>4276740.821</v>
      </c>
      <c r="AA36" s="153">
        <f>IF(AA$15=$E$4, 'PRODUCT PRICING &amp; REVENUE ENGIN'!AA58 * ASSUMPTIONS!$H$33 * $E$10,
IF(AA$15=$F$4, 'PRODUCT PRICING &amp; REVENUE ENGIN'!AA58 * ASSUMPTIONS!$H$33 * $F$10,
IF(AA$15=$G$4, 'PRODUCT PRICING &amp; REVENUE ENGIN'!AA58 * ASSUMPTIONS!$H$33 * $G$10,
IF(AA$15=$H$4, 'PRODUCT PRICING &amp; REVENUE ENGIN'!AA58 * ASSUMPTIONS!$H$33 * $H$10,
IF(AA$15=$I$4, 'PRODUCT PRICING &amp; REVENUE ENGIN'!AA58 * ASSUMPTIONS!$H$33 * $I$10, 0
)))))</f>
        <v>4460106.916</v>
      </c>
      <c r="AB36" s="153">
        <f>IF(AB$15=$E$4, 'PRODUCT PRICING &amp; REVENUE ENGIN'!AB58 * ASSUMPTIONS!$H$33 * $E$10,
IF(AB$15=$F$4, 'PRODUCT PRICING &amp; REVENUE ENGIN'!AB58 * ASSUMPTIONS!$H$33 * $F$10,
IF(AB$15=$G$4, 'PRODUCT PRICING &amp; REVENUE ENGIN'!AB58 * ASSUMPTIONS!$H$33 * $G$10,
IF(AB$15=$H$4, 'PRODUCT PRICING &amp; REVENUE ENGIN'!AB58 * ASSUMPTIONS!$H$33 * $H$10,
IF(AB$15=$I$4, 'PRODUCT PRICING &amp; REVENUE ENGIN'!AB58 * ASSUMPTIONS!$H$33 * $I$10, 0
)))))</f>
        <v>4643473.012</v>
      </c>
      <c r="AC36" s="153">
        <f>IF(AC$15=$E$4, 'PRODUCT PRICING &amp; REVENUE ENGIN'!AC58 * ASSUMPTIONS!$H$33 * $E$10,
IF(AC$15=$F$4, 'PRODUCT PRICING &amp; REVENUE ENGIN'!AC58 * ASSUMPTIONS!$H$33 * $F$10,
IF(AC$15=$G$4, 'PRODUCT PRICING &amp; REVENUE ENGIN'!AC58 * ASSUMPTIONS!$H$33 * $G$10,
IF(AC$15=$H$4, 'PRODUCT PRICING &amp; REVENUE ENGIN'!AC58 * ASSUMPTIONS!$H$33 * $H$10,
IF(AC$15=$I$4, 'PRODUCT PRICING &amp; REVENUE ENGIN'!AC58 * ASSUMPTIONS!$H$33 * $I$10, 0
)))))</f>
        <v>6519883.435</v>
      </c>
      <c r="AD36" s="153">
        <f>IF(AD$15=$E$4, 'PRODUCT PRICING &amp; REVENUE ENGIN'!AD58 * ASSUMPTIONS!$H$33 * $E$10,
IF(AD$15=$F$4, 'PRODUCT PRICING &amp; REVENUE ENGIN'!AD58 * ASSUMPTIONS!$H$33 * $F$10,
IF(AD$15=$G$4, 'PRODUCT PRICING &amp; REVENUE ENGIN'!AD58 * ASSUMPTIONS!$H$33 * $G$10,
IF(AD$15=$H$4, 'PRODUCT PRICING &amp; REVENUE ENGIN'!AD58 * ASSUMPTIONS!$H$33 * $H$10,
IF(AD$15=$I$4, 'PRODUCT PRICING &amp; REVENUE ENGIN'!AD58 * ASSUMPTIONS!$H$33 * $I$10, 0
)))))</f>
        <v>6723939.65</v>
      </c>
      <c r="AE36" s="153">
        <f>IF(AE$15=$E$4, 'PRODUCT PRICING &amp; REVENUE ENGIN'!AE58 * ASSUMPTIONS!$H$33 * $E$10,
IF(AE$15=$F$4, 'PRODUCT PRICING &amp; REVENUE ENGIN'!AE58 * ASSUMPTIONS!$H$33 * $F$10,
IF(AE$15=$G$4, 'PRODUCT PRICING &amp; REVENUE ENGIN'!AE58 * ASSUMPTIONS!$H$33 * $G$10,
IF(AE$15=$H$4, 'PRODUCT PRICING &amp; REVENUE ENGIN'!AE58 * ASSUMPTIONS!$H$33 * $H$10,
IF(AE$15=$I$4, 'PRODUCT PRICING &amp; REVENUE ENGIN'!AE58 * ASSUMPTIONS!$H$33 * $I$10, 0
)))))</f>
        <v>6927995.865</v>
      </c>
      <c r="AF36" s="153">
        <f>IF(AF$15=$E$4, 'PRODUCT PRICING &amp; REVENUE ENGIN'!AF58 * ASSUMPTIONS!$H$33 * $E$10,
IF(AF$15=$F$4, 'PRODUCT PRICING &amp; REVENUE ENGIN'!AF58 * ASSUMPTIONS!$H$33 * $F$10,
IF(AF$15=$G$4, 'PRODUCT PRICING &amp; REVENUE ENGIN'!AF58 * ASSUMPTIONS!$H$33 * $G$10,
IF(AF$15=$H$4, 'PRODUCT PRICING &amp; REVENUE ENGIN'!AF58 * ASSUMPTIONS!$H$33 * $H$10,
IF(AF$15=$I$4, 'PRODUCT PRICING &amp; REVENUE ENGIN'!AF58 * ASSUMPTIONS!$H$33 * $I$10, 0
)))))</f>
        <v>7132052.08</v>
      </c>
      <c r="AG36" s="153">
        <f>IF(AG$15=$E$4, 'PRODUCT PRICING &amp; REVENUE ENGIN'!AG58 * ASSUMPTIONS!$H$33 * $E$10,
IF(AG$15=$F$4, 'PRODUCT PRICING &amp; REVENUE ENGIN'!AG58 * ASSUMPTIONS!$H$33 * $F$10,
IF(AG$15=$G$4, 'PRODUCT PRICING &amp; REVENUE ENGIN'!AG58 * ASSUMPTIONS!$H$33 * $G$10,
IF(AG$15=$H$4, 'PRODUCT PRICING &amp; REVENUE ENGIN'!AG58 * ASSUMPTIONS!$H$33 * $H$10,
IF(AG$15=$I$4, 'PRODUCT PRICING &amp; REVENUE ENGIN'!AG58 * ASSUMPTIONS!$H$33 * $I$10, 0
)))))</f>
        <v>7336108.295</v>
      </c>
      <c r="AH36" s="153">
        <f>IF(AH$15=$E$4, 'PRODUCT PRICING &amp; REVENUE ENGIN'!AH58 * ASSUMPTIONS!$H$33 * $E$10,
IF(AH$15=$F$4, 'PRODUCT PRICING &amp; REVENUE ENGIN'!AH58 * ASSUMPTIONS!$H$33 * $F$10,
IF(AH$15=$G$4, 'PRODUCT PRICING &amp; REVENUE ENGIN'!AH58 * ASSUMPTIONS!$H$33 * $G$10,
IF(AH$15=$H$4, 'PRODUCT PRICING &amp; REVENUE ENGIN'!AH58 * ASSUMPTIONS!$H$33 * $H$10,
IF(AH$15=$I$4, 'PRODUCT PRICING &amp; REVENUE ENGIN'!AH58 * ASSUMPTIONS!$H$33 * $I$10, 0
)))))</f>
        <v>7540164.51</v>
      </c>
      <c r="AI36" s="153">
        <f>IF(AI$15=$E$4, 'PRODUCT PRICING &amp; REVENUE ENGIN'!AI58 * ASSUMPTIONS!$H$33 * $E$10,
IF(AI$15=$F$4, 'PRODUCT PRICING &amp; REVENUE ENGIN'!AI58 * ASSUMPTIONS!$H$33 * $F$10,
IF(AI$15=$G$4, 'PRODUCT PRICING &amp; REVENUE ENGIN'!AI58 * ASSUMPTIONS!$H$33 * $G$10,
IF(AI$15=$H$4, 'PRODUCT PRICING &amp; REVENUE ENGIN'!AI58 * ASSUMPTIONS!$H$33 * $H$10,
IF(AI$15=$I$4, 'PRODUCT PRICING &amp; REVENUE ENGIN'!AI58 * ASSUMPTIONS!$H$33 * $I$10, 0
)))))</f>
        <v>7744220.725</v>
      </c>
      <c r="AJ36" s="153">
        <f>IF(AJ$15=$E$4, 'PRODUCT PRICING &amp; REVENUE ENGIN'!AJ58 * ASSUMPTIONS!$H$33 * $E$10,
IF(AJ$15=$F$4, 'PRODUCT PRICING &amp; REVENUE ENGIN'!AJ58 * ASSUMPTIONS!$H$33 * $F$10,
IF(AJ$15=$G$4, 'PRODUCT PRICING &amp; REVENUE ENGIN'!AJ58 * ASSUMPTIONS!$H$33 * $G$10,
IF(AJ$15=$H$4, 'PRODUCT PRICING &amp; REVENUE ENGIN'!AJ58 * ASSUMPTIONS!$H$33 * $H$10,
IF(AJ$15=$I$4, 'PRODUCT PRICING &amp; REVENUE ENGIN'!AJ58 * ASSUMPTIONS!$H$33 * $I$10, 0
)))))</f>
        <v>7948276.941</v>
      </c>
      <c r="AK36" s="153">
        <f>IF(AK$15=$E$4, 'PRODUCT PRICING &amp; REVENUE ENGIN'!AK58 * ASSUMPTIONS!$H$33 * $E$10,
IF(AK$15=$F$4, 'PRODUCT PRICING &amp; REVENUE ENGIN'!AK58 * ASSUMPTIONS!$H$33 * $F$10,
IF(AK$15=$G$4, 'PRODUCT PRICING &amp; REVENUE ENGIN'!AK58 * ASSUMPTIONS!$H$33 * $G$10,
IF(AK$15=$H$4, 'PRODUCT PRICING &amp; REVENUE ENGIN'!AK58 * ASSUMPTIONS!$H$33 * $H$10,
IF(AK$15=$I$4, 'PRODUCT PRICING &amp; REVENUE ENGIN'!AK58 * ASSUMPTIONS!$H$33 * $I$10, 0
)))))</f>
        <v>8152333.156</v>
      </c>
      <c r="AL36" s="153">
        <f>IF(AL$15=$E$4, 'PRODUCT PRICING &amp; REVENUE ENGIN'!AL58 * ASSUMPTIONS!$H$33 * $E$10,
IF(AL$15=$F$4, 'PRODUCT PRICING &amp; REVENUE ENGIN'!AL58 * ASSUMPTIONS!$H$33 * $F$10,
IF(AL$15=$G$4, 'PRODUCT PRICING &amp; REVENUE ENGIN'!AL58 * ASSUMPTIONS!$H$33 * $G$10,
IF(AL$15=$H$4, 'PRODUCT PRICING &amp; REVENUE ENGIN'!AL58 * ASSUMPTIONS!$H$33 * $H$10,
IF(AL$15=$I$4, 'PRODUCT PRICING &amp; REVENUE ENGIN'!AL58 * ASSUMPTIONS!$H$33 * $I$10, 0
)))))</f>
        <v>8356389.371</v>
      </c>
      <c r="AM36" s="153">
        <f>IF(AM$15=$E$4, 'PRODUCT PRICING &amp; REVENUE ENGIN'!AM58 * ASSUMPTIONS!$H$33 * $E$10,
IF(AM$15=$F$4, 'PRODUCT PRICING &amp; REVENUE ENGIN'!AM58 * ASSUMPTIONS!$H$33 * $F$10,
IF(AM$15=$G$4, 'PRODUCT PRICING &amp; REVENUE ENGIN'!AM58 * ASSUMPTIONS!$H$33 * $G$10,
IF(AM$15=$H$4, 'PRODUCT PRICING &amp; REVENUE ENGIN'!AM58 * ASSUMPTIONS!$H$33 * $H$10,
IF(AM$15=$I$4, 'PRODUCT PRICING &amp; REVENUE ENGIN'!AM58 * ASSUMPTIONS!$H$33 * $I$10, 0
)))))</f>
        <v>8560445.586</v>
      </c>
      <c r="AN36" s="153">
        <f>IF(AN$15=$E$4, 'PRODUCT PRICING &amp; REVENUE ENGIN'!AN58 * ASSUMPTIONS!$H$33 * $E$10,
IF(AN$15=$F$4, 'PRODUCT PRICING &amp; REVENUE ENGIN'!AN58 * ASSUMPTIONS!$H$33 * $F$10,
IF(AN$15=$G$4, 'PRODUCT PRICING &amp; REVENUE ENGIN'!AN58 * ASSUMPTIONS!$H$33 * $G$10,
IF(AN$15=$H$4, 'PRODUCT PRICING &amp; REVENUE ENGIN'!AN58 * ASSUMPTIONS!$H$33 * $H$10,
IF(AN$15=$I$4, 'PRODUCT PRICING &amp; REVENUE ENGIN'!AN58 * ASSUMPTIONS!$H$33 * $I$10, 0
)))))</f>
        <v>8764501.801</v>
      </c>
      <c r="AO36" s="153">
        <f>IF(AO$15=$E$4, 'PRODUCT PRICING &amp; REVENUE ENGIN'!AO58 * ASSUMPTIONS!$H$33 * $E$10,
IF(AO$15=$F$4, 'PRODUCT PRICING &amp; REVENUE ENGIN'!AO58 * ASSUMPTIONS!$H$33 * $F$10,
IF(AO$15=$G$4, 'PRODUCT PRICING &amp; REVENUE ENGIN'!AO58 * ASSUMPTIONS!$H$33 * $G$10,
IF(AO$15=$H$4, 'PRODUCT PRICING &amp; REVENUE ENGIN'!AO58 * ASSUMPTIONS!$H$33 * $H$10,
IF(AO$15=$I$4, 'PRODUCT PRICING &amp; REVENUE ENGIN'!AO58 * ASSUMPTIONS!$H$33 * $I$10, 0
)))))</f>
        <v>15607004.16</v>
      </c>
      <c r="AP36" s="153">
        <f>IF(AP$15=$E$4, 'PRODUCT PRICING &amp; REVENUE ENGIN'!AP58 * ASSUMPTIONS!$H$33 * $E$10,
IF(AP$15=$F$4, 'PRODUCT PRICING &amp; REVENUE ENGIN'!AP58 * ASSUMPTIONS!$H$33 * $F$10,
IF(AP$15=$G$4, 'PRODUCT PRICING &amp; REVENUE ENGIN'!AP58 * ASSUMPTIONS!$H$33 * $G$10,
IF(AP$15=$H$4, 'PRODUCT PRICING &amp; REVENUE ENGIN'!AP58 * ASSUMPTIONS!$H$33 * $H$10,
IF(AP$15=$I$4, 'PRODUCT PRICING &amp; REVENUE ENGIN'!AP58 * ASSUMPTIONS!$H$33 * $I$10, 0
)))))</f>
        <v>16287706.74</v>
      </c>
      <c r="AQ36" s="153">
        <f>IF(AQ$15=$E$4, 'PRODUCT PRICING &amp; REVENUE ENGIN'!AQ58 * ASSUMPTIONS!$H$33 * $E$10,
IF(AQ$15=$F$4, 'PRODUCT PRICING &amp; REVENUE ENGIN'!AQ58 * ASSUMPTIONS!$H$33 * $F$10,
IF(AQ$15=$G$4, 'PRODUCT PRICING &amp; REVENUE ENGIN'!AQ58 * ASSUMPTIONS!$H$33 * $G$10,
IF(AQ$15=$H$4, 'PRODUCT PRICING &amp; REVENUE ENGIN'!AQ58 * ASSUMPTIONS!$H$33 * $H$10,
IF(AQ$15=$I$4, 'PRODUCT PRICING &amp; REVENUE ENGIN'!AQ58 * ASSUMPTIONS!$H$33 * $I$10, 0
)))))</f>
        <v>16968409.33</v>
      </c>
      <c r="AR36" s="153">
        <f>IF(AR$15=$E$4, 'PRODUCT PRICING &amp; REVENUE ENGIN'!AR58 * ASSUMPTIONS!$H$33 * $E$10,
IF(AR$15=$F$4, 'PRODUCT PRICING &amp; REVENUE ENGIN'!AR58 * ASSUMPTIONS!$H$33 * $F$10,
IF(AR$15=$G$4, 'PRODUCT PRICING &amp; REVENUE ENGIN'!AR58 * ASSUMPTIONS!$H$33 * $G$10,
IF(AR$15=$H$4, 'PRODUCT PRICING &amp; REVENUE ENGIN'!AR58 * ASSUMPTIONS!$H$33 * $H$10,
IF(AR$15=$I$4, 'PRODUCT PRICING &amp; REVENUE ENGIN'!AR58 * ASSUMPTIONS!$H$33 * $I$10, 0
)))))</f>
        <v>17649111.91</v>
      </c>
      <c r="AS36" s="153">
        <f>IF(AS$15=$E$4, 'PRODUCT PRICING &amp; REVENUE ENGIN'!AS58 * ASSUMPTIONS!$H$33 * $E$10,
IF(AS$15=$F$4, 'PRODUCT PRICING &amp; REVENUE ENGIN'!AS58 * ASSUMPTIONS!$H$33 * $F$10,
IF(AS$15=$G$4, 'PRODUCT PRICING &amp; REVENUE ENGIN'!AS58 * ASSUMPTIONS!$H$33 * $G$10,
IF(AS$15=$H$4, 'PRODUCT PRICING &amp; REVENUE ENGIN'!AS58 * ASSUMPTIONS!$H$33 * $H$10,
IF(AS$15=$I$4, 'PRODUCT PRICING &amp; REVENUE ENGIN'!AS58 * ASSUMPTIONS!$H$33 * $I$10, 0
)))))</f>
        <v>18329814.49</v>
      </c>
      <c r="AT36" s="153">
        <f>IF(AT$15=$E$4, 'PRODUCT PRICING &amp; REVENUE ENGIN'!AT58 * ASSUMPTIONS!$H$33 * $E$10,
IF(AT$15=$F$4, 'PRODUCT PRICING &amp; REVENUE ENGIN'!AT58 * ASSUMPTIONS!$H$33 * $F$10,
IF(AT$15=$G$4, 'PRODUCT PRICING &amp; REVENUE ENGIN'!AT58 * ASSUMPTIONS!$H$33 * $G$10,
IF(AT$15=$H$4, 'PRODUCT PRICING &amp; REVENUE ENGIN'!AT58 * ASSUMPTIONS!$H$33 * $H$10,
IF(AT$15=$I$4, 'PRODUCT PRICING &amp; REVENUE ENGIN'!AT58 * ASSUMPTIONS!$H$33 * $I$10, 0
)))))</f>
        <v>19010517.07</v>
      </c>
      <c r="AU36" s="153">
        <f>IF(AU$15=$E$4, 'PRODUCT PRICING &amp; REVENUE ENGIN'!AU58 * ASSUMPTIONS!$H$33 * $E$10,
IF(AU$15=$F$4, 'PRODUCT PRICING &amp; REVENUE ENGIN'!AU58 * ASSUMPTIONS!$H$33 * $F$10,
IF(AU$15=$G$4, 'PRODUCT PRICING &amp; REVENUE ENGIN'!AU58 * ASSUMPTIONS!$H$33 * $G$10,
IF(AU$15=$H$4, 'PRODUCT PRICING &amp; REVENUE ENGIN'!AU58 * ASSUMPTIONS!$H$33 * $H$10,
IF(AU$15=$I$4, 'PRODUCT PRICING &amp; REVENUE ENGIN'!AU58 * ASSUMPTIONS!$H$33 * $I$10, 0
)))))</f>
        <v>19691219.66</v>
      </c>
      <c r="AV36" s="153">
        <f>IF(AV$15=$E$4, 'PRODUCT PRICING &amp; REVENUE ENGIN'!AV58 * ASSUMPTIONS!$H$33 * $E$10,
IF(AV$15=$F$4, 'PRODUCT PRICING &amp; REVENUE ENGIN'!AV58 * ASSUMPTIONS!$H$33 * $F$10,
IF(AV$15=$G$4, 'PRODUCT PRICING &amp; REVENUE ENGIN'!AV58 * ASSUMPTIONS!$H$33 * $G$10,
IF(AV$15=$H$4, 'PRODUCT PRICING &amp; REVENUE ENGIN'!AV58 * ASSUMPTIONS!$H$33 * $H$10,
IF(AV$15=$I$4, 'PRODUCT PRICING &amp; REVENUE ENGIN'!AV58 * ASSUMPTIONS!$H$33 * $I$10, 0
)))))</f>
        <v>20371922.24</v>
      </c>
      <c r="AW36" s="153">
        <f>IF(AW$15=$E$4, 'PRODUCT PRICING &amp; REVENUE ENGIN'!AW58 * ASSUMPTIONS!$H$33 * $E$10,
IF(AW$15=$F$4, 'PRODUCT PRICING &amp; REVENUE ENGIN'!AW58 * ASSUMPTIONS!$H$33 * $F$10,
IF(AW$15=$G$4, 'PRODUCT PRICING &amp; REVENUE ENGIN'!AW58 * ASSUMPTIONS!$H$33 * $G$10,
IF(AW$15=$H$4, 'PRODUCT PRICING &amp; REVENUE ENGIN'!AW58 * ASSUMPTIONS!$H$33 * $H$10,
IF(AW$15=$I$4, 'PRODUCT PRICING &amp; REVENUE ENGIN'!AW58 * ASSUMPTIONS!$H$33 * $I$10, 0
)))))</f>
        <v>20371922.24</v>
      </c>
      <c r="AX36" s="153">
        <f>IF(AX$15=$E$4, 'PRODUCT PRICING &amp; REVENUE ENGIN'!AX58 * ASSUMPTIONS!$H$33 * $E$10,
IF(AX$15=$F$4, 'PRODUCT PRICING &amp; REVENUE ENGIN'!AX58 * ASSUMPTIONS!$H$33 * $F$10,
IF(AX$15=$G$4, 'PRODUCT PRICING &amp; REVENUE ENGIN'!AX58 * ASSUMPTIONS!$H$33 * $G$10,
IF(AX$15=$H$4, 'PRODUCT PRICING &amp; REVENUE ENGIN'!AX58 * ASSUMPTIONS!$H$33 * $H$10,
IF(AX$15=$I$4, 'PRODUCT PRICING &amp; REVENUE ENGIN'!AX58 * ASSUMPTIONS!$H$33 * $I$10, 0
)))))</f>
        <v>20371922.24</v>
      </c>
      <c r="AY36" s="153">
        <f>IF(AY$15=$E$4, 'PRODUCT PRICING &amp; REVENUE ENGIN'!AY58 * ASSUMPTIONS!$H$33 * $E$10,
IF(AY$15=$F$4, 'PRODUCT PRICING &amp; REVENUE ENGIN'!AY58 * ASSUMPTIONS!$H$33 * $F$10,
IF(AY$15=$G$4, 'PRODUCT PRICING &amp; REVENUE ENGIN'!AY58 * ASSUMPTIONS!$H$33 * $G$10,
IF(AY$15=$H$4, 'PRODUCT PRICING &amp; REVENUE ENGIN'!AY58 * ASSUMPTIONS!$H$33 * $H$10,
IF(AY$15=$I$4, 'PRODUCT PRICING &amp; REVENUE ENGIN'!AY58 * ASSUMPTIONS!$H$33 * $I$10, 0
)))))</f>
        <v>20371922.24</v>
      </c>
      <c r="AZ36" s="153">
        <f>IF(AZ$15=$E$4, 'PRODUCT PRICING &amp; REVENUE ENGIN'!AZ58 * ASSUMPTIONS!$H$33 * $E$10,
IF(AZ$15=$F$4, 'PRODUCT PRICING &amp; REVENUE ENGIN'!AZ58 * ASSUMPTIONS!$H$33 * $F$10,
IF(AZ$15=$G$4, 'PRODUCT PRICING &amp; REVENUE ENGIN'!AZ58 * ASSUMPTIONS!$H$33 * $G$10,
IF(AZ$15=$H$4, 'PRODUCT PRICING &amp; REVENUE ENGIN'!AZ58 * ASSUMPTIONS!$H$33 * $H$10,
IF(AZ$15=$I$4, 'PRODUCT PRICING &amp; REVENUE ENGIN'!AZ58 * ASSUMPTIONS!$H$33 * $I$10, 0
)))))</f>
        <v>20371922.24</v>
      </c>
      <c r="BA36" s="153">
        <f>IF(BA$15=$E$4, 'PRODUCT PRICING &amp; REVENUE ENGIN'!BA58 * ASSUMPTIONS!$H$33 * $E$10,
IF(BA$15=$F$4, 'PRODUCT PRICING &amp; REVENUE ENGIN'!BA58 * ASSUMPTIONS!$H$33 * $F$10,
IF(BA$15=$G$4, 'PRODUCT PRICING &amp; REVENUE ENGIN'!BA58 * ASSUMPTIONS!$H$33 * $G$10,
IF(BA$15=$H$4, 'PRODUCT PRICING &amp; REVENUE ENGIN'!BA58 * ASSUMPTIONS!$H$33 * $H$10,
IF(BA$15=$I$4, 'PRODUCT PRICING &amp; REVENUE ENGIN'!BA58 * ASSUMPTIONS!$H$33 * $I$10, 0
)))))</f>
        <v>23848173.32</v>
      </c>
      <c r="BB36" s="153">
        <f>IF(BB$15=$E$4, 'PRODUCT PRICING &amp; REVENUE ENGIN'!BB58 * ASSUMPTIONS!$H$33 * $E$10,
IF(BB$15=$F$4, 'PRODUCT PRICING &amp; REVENUE ENGIN'!BB58 * ASSUMPTIONS!$H$33 * $F$10,
IF(BB$15=$G$4, 'PRODUCT PRICING &amp; REVENUE ENGIN'!BB58 * ASSUMPTIONS!$H$33 * $G$10,
IF(BB$15=$H$4, 'PRODUCT PRICING &amp; REVENUE ENGIN'!BB58 * ASSUMPTIONS!$H$33 * $H$10,
IF(BB$15=$I$4, 'PRODUCT PRICING &amp; REVENUE ENGIN'!BB58 * ASSUMPTIONS!$H$33 * $I$10, 0
)))))</f>
        <v>23848173.32</v>
      </c>
      <c r="BC36" s="153">
        <f>IF(BC$15=$E$4, 'PRODUCT PRICING &amp; REVENUE ENGIN'!BC58 * ASSUMPTIONS!$H$33 * $E$10,
IF(BC$15=$F$4, 'PRODUCT PRICING &amp; REVENUE ENGIN'!BC58 * ASSUMPTIONS!$H$33 * $F$10,
IF(BC$15=$G$4, 'PRODUCT PRICING &amp; REVENUE ENGIN'!BC58 * ASSUMPTIONS!$H$33 * $G$10,
IF(BC$15=$H$4, 'PRODUCT PRICING &amp; REVENUE ENGIN'!BC58 * ASSUMPTIONS!$H$33 * $H$10,
IF(BC$15=$I$4, 'PRODUCT PRICING &amp; REVENUE ENGIN'!BC58 * ASSUMPTIONS!$H$33 * $I$10, 0
)))))</f>
        <v>23848173.32</v>
      </c>
      <c r="BD36" s="153">
        <f>IF(BD$15=$E$4, 'PRODUCT PRICING &amp; REVENUE ENGIN'!BD58 * ASSUMPTIONS!$H$33 * $E$10,
IF(BD$15=$F$4, 'PRODUCT PRICING &amp; REVENUE ENGIN'!BD58 * ASSUMPTIONS!$H$33 * $F$10,
IF(BD$15=$G$4, 'PRODUCT PRICING &amp; REVENUE ENGIN'!BD58 * ASSUMPTIONS!$H$33 * $G$10,
IF(BD$15=$H$4, 'PRODUCT PRICING &amp; REVENUE ENGIN'!BD58 * ASSUMPTIONS!$H$33 * $H$10,
IF(BD$15=$I$4, 'PRODUCT PRICING &amp; REVENUE ENGIN'!BD58 * ASSUMPTIONS!$H$33 * $I$10, 0
)))))</f>
        <v>23848173.32</v>
      </c>
      <c r="BE36" s="153">
        <f>IF(BE$15=$E$4, 'PRODUCT PRICING &amp; REVENUE ENGIN'!BE58 * ASSUMPTIONS!$H$33 * $E$10,
IF(BE$15=$F$4, 'PRODUCT PRICING &amp; REVENUE ENGIN'!BE58 * ASSUMPTIONS!$H$33 * $F$10,
IF(BE$15=$G$4, 'PRODUCT PRICING &amp; REVENUE ENGIN'!BE58 * ASSUMPTIONS!$H$33 * $G$10,
IF(BE$15=$H$4, 'PRODUCT PRICING &amp; REVENUE ENGIN'!BE58 * ASSUMPTIONS!$H$33 * $H$10,
IF(BE$15=$I$4, 'PRODUCT PRICING &amp; REVENUE ENGIN'!BE58 * ASSUMPTIONS!$H$33 * $I$10, 0
)))))</f>
        <v>23848173.32</v>
      </c>
      <c r="BF36" s="153">
        <f>IF(BF$15=$E$4, 'PRODUCT PRICING &amp; REVENUE ENGIN'!BF58 * ASSUMPTIONS!$H$33 * $E$10,
IF(BF$15=$F$4, 'PRODUCT PRICING &amp; REVENUE ENGIN'!BF58 * ASSUMPTIONS!$H$33 * $F$10,
IF(BF$15=$G$4, 'PRODUCT PRICING &amp; REVENUE ENGIN'!BF58 * ASSUMPTIONS!$H$33 * $G$10,
IF(BF$15=$H$4, 'PRODUCT PRICING &amp; REVENUE ENGIN'!BF58 * ASSUMPTIONS!$H$33 * $H$10,
IF(BF$15=$I$4, 'PRODUCT PRICING &amp; REVENUE ENGIN'!BF58 * ASSUMPTIONS!$H$33 * $I$10, 0
)))))</f>
        <v>23848173.32</v>
      </c>
      <c r="BG36" s="153">
        <f>IF(BG$15=$E$4, 'PRODUCT PRICING &amp; REVENUE ENGIN'!BG58 * ASSUMPTIONS!$H$33 * $E$10,
IF(BG$15=$F$4, 'PRODUCT PRICING &amp; REVENUE ENGIN'!BG58 * ASSUMPTIONS!$H$33 * $F$10,
IF(BG$15=$G$4, 'PRODUCT PRICING &amp; REVENUE ENGIN'!BG58 * ASSUMPTIONS!$H$33 * $G$10,
IF(BG$15=$H$4, 'PRODUCT PRICING &amp; REVENUE ENGIN'!BG58 * ASSUMPTIONS!$H$33 * $H$10,
IF(BG$15=$I$4, 'PRODUCT PRICING &amp; REVENUE ENGIN'!BG58 * ASSUMPTIONS!$H$33 * $I$10, 0
)))))</f>
        <v>23848173.32</v>
      </c>
      <c r="BH36" s="153">
        <f>IF(BH$15=$E$4, 'PRODUCT PRICING &amp; REVENUE ENGIN'!BH58 * ASSUMPTIONS!$H$33 * $E$10,
IF(BH$15=$F$4, 'PRODUCT PRICING &amp; REVENUE ENGIN'!BH58 * ASSUMPTIONS!$H$33 * $F$10,
IF(BH$15=$G$4, 'PRODUCT PRICING &amp; REVENUE ENGIN'!BH58 * ASSUMPTIONS!$H$33 * $G$10,
IF(BH$15=$H$4, 'PRODUCT PRICING &amp; REVENUE ENGIN'!BH58 * ASSUMPTIONS!$H$33 * $H$10,
IF(BH$15=$I$4, 'PRODUCT PRICING &amp; REVENUE ENGIN'!BH58 * ASSUMPTIONS!$H$33 * $I$10, 0
)))))</f>
        <v>23848173.32</v>
      </c>
      <c r="BI36" s="153">
        <f>IF(BI$15=$E$4, 'PRODUCT PRICING &amp; REVENUE ENGIN'!BI58 * ASSUMPTIONS!$H$33 * $E$10,
IF(BI$15=$F$4, 'PRODUCT PRICING &amp; REVENUE ENGIN'!BI58 * ASSUMPTIONS!$H$33 * $F$10,
IF(BI$15=$G$4, 'PRODUCT PRICING &amp; REVENUE ENGIN'!BI58 * ASSUMPTIONS!$H$33 * $G$10,
IF(BI$15=$H$4, 'PRODUCT PRICING &amp; REVENUE ENGIN'!BI58 * ASSUMPTIONS!$H$33 * $H$10,
IF(BI$15=$I$4, 'PRODUCT PRICING &amp; REVENUE ENGIN'!BI58 * ASSUMPTIONS!$H$33 * $I$10, 0
)))))</f>
        <v>23848173.32</v>
      </c>
      <c r="BJ36" s="153">
        <f>IF(BJ$15=$E$4, 'PRODUCT PRICING &amp; REVENUE ENGIN'!BJ58 * ASSUMPTIONS!$H$33 * $E$10,
IF(BJ$15=$F$4, 'PRODUCT PRICING &amp; REVENUE ENGIN'!BJ58 * ASSUMPTIONS!$H$33 * $F$10,
IF(BJ$15=$G$4, 'PRODUCT PRICING &amp; REVENUE ENGIN'!BJ58 * ASSUMPTIONS!$H$33 * $G$10,
IF(BJ$15=$H$4, 'PRODUCT PRICING &amp; REVENUE ENGIN'!BJ58 * ASSUMPTIONS!$H$33 * $H$10,
IF(BJ$15=$I$4, 'PRODUCT PRICING &amp; REVENUE ENGIN'!BJ58 * ASSUMPTIONS!$H$33 * $I$10, 0
)))))</f>
        <v>23848173.32</v>
      </c>
      <c r="BK36" s="153">
        <f>IF(BK$15=$E$4, 'PRODUCT PRICING &amp; REVENUE ENGIN'!BK58 * ASSUMPTIONS!$H$33 * $E$10,
IF(BK$15=$F$4, 'PRODUCT PRICING &amp; REVENUE ENGIN'!BK58 * ASSUMPTIONS!$H$33 * $F$10,
IF(BK$15=$G$4, 'PRODUCT PRICING &amp; REVENUE ENGIN'!BK58 * ASSUMPTIONS!$H$33 * $G$10,
IF(BK$15=$H$4, 'PRODUCT PRICING &amp; REVENUE ENGIN'!BK58 * ASSUMPTIONS!$H$33 * $H$10,
IF(BK$15=$I$4, 'PRODUCT PRICING &amp; REVENUE ENGIN'!BK58 * ASSUMPTIONS!$H$33 * $I$10, 0
)))))</f>
        <v>23848173.32</v>
      </c>
      <c r="BL36" s="153">
        <f>IF(BL$15=$E$4, 'PRODUCT PRICING &amp; REVENUE ENGIN'!BL58 * ASSUMPTIONS!$H$33 * $E$10,
IF(BL$15=$F$4, 'PRODUCT PRICING &amp; REVENUE ENGIN'!BL58 * ASSUMPTIONS!$H$33 * $F$10,
IF(BL$15=$G$4, 'PRODUCT PRICING &amp; REVENUE ENGIN'!BL58 * ASSUMPTIONS!$H$33 * $G$10,
IF(BL$15=$H$4, 'PRODUCT PRICING &amp; REVENUE ENGIN'!BL58 * ASSUMPTIONS!$H$33 * $H$10,
IF(BL$15=$I$4, 'PRODUCT PRICING &amp; REVENUE ENGIN'!BL58 * ASSUMPTIONS!$H$33 * $I$10, 0
)))))</f>
        <v>23848173.32</v>
      </c>
    </row>
    <row r="37" ht="15.75" customHeight="1">
      <c r="D37" s="57" t="s">
        <v>170</v>
      </c>
      <c r="E37" s="153">
        <f>E22 * ASSUMPTIONS!$H$34</f>
        <v>0</v>
      </c>
      <c r="F37" s="153">
        <f>F22 * ASSUMPTIONS!$H$34</f>
        <v>0</v>
      </c>
      <c r="G37" s="153">
        <f>G22 * ASSUMPTIONS!$H$34</f>
        <v>0</v>
      </c>
      <c r="H37" s="153">
        <f>H22 * ASSUMPTIONS!$H$34</f>
        <v>0</v>
      </c>
      <c r="I37" s="153">
        <f>I22 * ASSUMPTIONS!$H$34</f>
        <v>0</v>
      </c>
      <c r="J37" s="153">
        <f>J22 * ASSUMPTIONS!$H$34</f>
        <v>0</v>
      </c>
      <c r="K37" s="153">
        <f>K22 * ASSUMPTIONS!$H$34</f>
        <v>375000</v>
      </c>
      <c r="L37" s="153">
        <f>L22 * ASSUMPTIONS!$H$34</f>
        <v>375000</v>
      </c>
      <c r="M37" s="153">
        <f>M22 * ASSUMPTIONS!$H$34</f>
        <v>375000</v>
      </c>
      <c r="N37" s="153">
        <f>N22 * ASSUMPTIONS!$H$34</f>
        <v>375000</v>
      </c>
      <c r="O37" s="153">
        <f>O22 * ASSUMPTIONS!$H$34</f>
        <v>375000</v>
      </c>
      <c r="P37" s="153">
        <f>P22 * ASSUMPTIONS!$H$34</f>
        <v>375000</v>
      </c>
      <c r="Q37" s="153">
        <f>Q22 * ASSUMPTIONS!$H$34</f>
        <v>375000</v>
      </c>
      <c r="R37" s="153">
        <f>R22 * ASSUMPTIONS!$H$34</f>
        <v>375000</v>
      </c>
      <c r="S37" s="153">
        <f>S22 * ASSUMPTIONS!$H$34</f>
        <v>375000</v>
      </c>
      <c r="T37" s="153">
        <f>T22 * ASSUMPTIONS!$H$34</f>
        <v>375000</v>
      </c>
      <c r="U37" s="153">
        <f>U22 * ASSUMPTIONS!$H$34</f>
        <v>375000</v>
      </c>
      <c r="V37" s="153">
        <f>V22 * ASSUMPTIONS!$H$34</f>
        <v>375000</v>
      </c>
      <c r="W37" s="153">
        <f>W22 * ASSUMPTIONS!$H$34</f>
        <v>375000</v>
      </c>
      <c r="X37" s="153">
        <f>X22 * ASSUMPTIONS!$H$34</f>
        <v>375000</v>
      </c>
      <c r="Y37" s="153">
        <f>Y22 * ASSUMPTIONS!$H$34</f>
        <v>375000</v>
      </c>
      <c r="Z37" s="153">
        <f>Z22 * ASSUMPTIONS!$H$34</f>
        <v>375000</v>
      </c>
      <c r="AA37" s="153">
        <f>AA22 * ASSUMPTIONS!$H$34</f>
        <v>375000</v>
      </c>
      <c r="AB37" s="153">
        <f>AB22 * ASSUMPTIONS!$H$34</f>
        <v>375000</v>
      </c>
      <c r="AC37" s="153">
        <f>AC22 * ASSUMPTIONS!$H$34</f>
        <v>750000</v>
      </c>
      <c r="AD37" s="153">
        <f>AD22 * ASSUMPTIONS!$H$34</f>
        <v>750000</v>
      </c>
      <c r="AE37" s="153">
        <f>AE22 * ASSUMPTIONS!$H$34</f>
        <v>750000</v>
      </c>
      <c r="AF37" s="153">
        <f>AF22 * ASSUMPTIONS!$H$34</f>
        <v>750000</v>
      </c>
      <c r="AG37" s="153">
        <f>AG22 * ASSUMPTIONS!$H$34</f>
        <v>750000</v>
      </c>
      <c r="AH37" s="153">
        <f>AH22 * ASSUMPTIONS!$H$34</f>
        <v>750000</v>
      </c>
      <c r="AI37" s="153">
        <f>AI22 * ASSUMPTIONS!$H$34</f>
        <v>750000</v>
      </c>
      <c r="AJ37" s="153">
        <f>AJ22 * ASSUMPTIONS!$H$34</f>
        <v>750000</v>
      </c>
      <c r="AK37" s="153">
        <f>AK22 * ASSUMPTIONS!$H$34</f>
        <v>750000</v>
      </c>
      <c r="AL37" s="153">
        <f>AL22 * ASSUMPTIONS!$H$34</f>
        <v>750000</v>
      </c>
      <c r="AM37" s="153">
        <f>AM22 * ASSUMPTIONS!$H$34</f>
        <v>750000</v>
      </c>
      <c r="AN37" s="153">
        <f>AN22 * ASSUMPTIONS!$H$34</f>
        <v>750000</v>
      </c>
      <c r="AO37" s="153">
        <f>AO22 * ASSUMPTIONS!$H$34</f>
        <v>2250000</v>
      </c>
      <c r="AP37" s="153">
        <f>AP22 * ASSUMPTIONS!$H$34</f>
        <v>2250000</v>
      </c>
      <c r="AQ37" s="153">
        <f>AQ22 * ASSUMPTIONS!$H$34</f>
        <v>2250000</v>
      </c>
      <c r="AR37" s="153">
        <f>AR22 * ASSUMPTIONS!$H$34</f>
        <v>2250000</v>
      </c>
      <c r="AS37" s="153">
        <f>AS22 * ASSUMPTIONS!$H$34</f>
        <v>2250000</v>
      </c>
      <c r="AT37" s="153">
        <f>AT22 * ASSUMPTIONS!$H$34</f>
        <v>2250000</v>
      </c>
      <c r="AU37" s="153">
        <f>AU22 * ASSUMPTIONS!$H$34</f>
        <v>2250000</v>
      </c>
      <c r="AV37" s="153">
        <f>AV22 * ASSUMPTIONS!$H$34</f>
        <v>2250000</v>
      </c>
      <c r="AW37" s="153">
        <f>AW22 * ASSUMPTIONS!$H$34</f>
        <v>2250000</v>
      </c>
      <c r="AX37" s="153">
        <f>AX22 * ASSUMPTIONS!$H$34</f>
        <v>2250000</v>
      </c>
      <c r="AY37" s="153">
        <f>AY22 * ASSUMPTIONS!$H$34</f>
        <v>2250000</v>
      </c>
      <c r="AZ37" s="153">
        <f>AZ22 * ASSUMPTIONS!$H$34</f>
        <v>2250000</v>
      </c>
      <c r="BA37" s="153">
        <f>BA22 * ASSUMPTIONS!$H$34</f>
        <v>2250000</v>
      </c>
      <c r="BB37" s="153">
        <f>BB22 * ASSUMPTIONS!$H$34</f>
        <v>2250000</v>
      </c>
      <c r="BC37" s="153">
        <f>BC22 * ASSUMPTIONS!$H$34</f>
        <v>2250000</v>
      </c>
      <c r="BD37" s="153">
        <f>BD22 * ASSUMPTIONS!$H$34</f>
        <v>2250000</v>
      </c>
      <c r="BE37" s="153">
        <f>BE22 * ASSUMPTIONS!$H$34</f>
        <v>2250000</v>
      </c>
      <c r="BF37" s="153">
        <f>BF22 * ASSUMPTIONS!$H$34</f>
        <v>2250000</v>
      </c>
      <c r="BG37" s="153">
        <f>BG22 * ASSUMPTIONS!$H$34</f>
        <v>2250000</v>
      </c>
      <c r="BH37" s="153">
        <f>BH22 * ASSUMPTIONS!$H$34</f>
        <v>2250000</v>
      </c>
      <c r="BI37" s="153">
        <f>BI22 * ASSUMPTIONS!$H$34</f>
        <v>2250000</v>
      </c>
      <c r="BJ37" s="153">
        <f>BJ22 * ASSUMPTIONS!$H$34</f>
        <v>2250000</v>
      </c>
      <c r="BK37" s="153">
        <f>BK22 * ASSUMPTIONS!$H$34</f>
        <v>2250000</v>
      </c>
      <c r="BL37" s="140">
        <f>BL22 * ASSUMPTIONS!$H$34</f>
        <v>2250000</v>
      </c>
    </row>
    <row r="38" ht="15.75" customHeight="1">
      <c r="D38" s="57" t="s">
        <v>171</v>
      </c>
      <c r="E38" s="153">
        <f>'PRODUCT PRICING &amp; REVENUE ENGIN'!E58 * ASSUMPTIONS!$H$57</f>
        <v>0</v>
      </c>
      <c r="F38" s="153">
        <f>'PRODUCT PRICING &amp; REVENUE ENGIN'!F58 * ASSUMPTIONS!$H$57</f>
        <v>0</v>
      </c>
      <c r="G38" s="153">
        <f>'PRODUCT PRICING &amp; REVENUE ENGIN'!G58 * ASSUMPTIONS!$H$57</f>
        <v>0</v>
      </c>
      <c r="H38" s="153">
        <f>'PRODUCT PRICING &amp; REVENUE ENGIN'!H58 * ASSUMPTIONS!$H$57</f>
        <v>0</v>
      </c>
      <c r="I38" s="153">
        <f>'PRODUCT PRICING &amp; REVENUE ENGIN'!I58 * ASSUMPTIONS!$H$57</f>
        <v>23870.2464</v>
      </c>
      <c r="J38" s="153">
        <f>'PRODUCT PRICING &amp; REVENUE ENGIN'!J58 * ASSUMPTIONS!$H$57</f>
        <v>47740.4928</v>
      </c>
      <c r="K38" s="153">
        <f>'PRODUCT PRICING &amp; REVENUE ENGIN'!K58 * ASSUMPTIONS!$H$57</f>
        <v>195464.4624</v>
      </c>
      <c r="L38" s="153">
        <f>'PRODUCT PRICING &amp; REVENUE ENGIN'!L58 * ASSUMPTIONS!$H$57</f>
        <v>219334.7088</v>
      </c>
      <c r="M38" s="153">
        <f>'PRODUCT PRICING &amp; REVENUE ENGIN'!M58 * ASSUMPTIONS!$H$57</f>
        <v>243204.9552</v>
      </c>
      <c r="N38" s="153">
        <f>'PRODUCT PRICING &amp; REVENUE ENGIN'!N58 * ASSUMPTIONS!$H$57</f>
        <v>267075.2016</v>
      </c>
      <c r="O38" s="153">
        <f>'PRODUCT PRICING &amp; REVENUE ENGIN'!O58 * ASSUMPTIONS!$H$57</f>
        <v>290945.448</v>
      </c>
      <c r="P38" s="153">
        <f>'PRODUCT PRICING &amp; REVENUE ENGIN'!P58 * ASSUMPTIONS!$H$57</f>
        <v>314815.6944</v>
      </c>
      <c r="Q38" s="153">
        <f>'PRODUCT PRICING &amp; REVENUE ENGIN'!Q58 * ASSUMPTIONS!$H$57</f>
        <v>357339.5865</v>
      </c>
      <c r="R38" s="153">
        <f>'PRODUCT PRICING &amp; REVENUE ENGIN'!R58 * ASSUMPTIONS!$H$57</f>
        <v>382287.3546</v>
      </c>
      <c r="S38" s="153">
        <f>'PRODUCT PRICING &amp; REVENUE ENGIN'!S58 * ASSUMPTIONS!$H$57</f>
        <v>407235.1227</v>
      </c>
      <c r="T38" s="153">
        <f>'PRODUCT PRICING &amp; REVENUE ENGIN'!T58 * ASSUMPTIONS!$H$57</f>
        <v>432182.8908</v>
      </c>
      <c r="U38" s="153">
        <f>'PRODUCT PRICING &amp; REVENUE ENGIN'!U58 * ASSUMPTIONS!$H$57</f>
        <v>457130.6589</v>
      </c>
      <c r="V38" s="153">
        <f>'PRODUCT PRICING &amp; REVENUE ENGIN'!V58 * ASSUMPTIONS!$H$57</f>
        <v>482078.427</v>
      </c>
      <c r="W38" s="153">
        <f>'PRODUCT PRICING &amp; REVENUE ENGIN'!W58 * ASSUMPTIONS!$H$57</f>
        <v>507026.1951</v>
      </c>
      <c r="X38" s="153">
        <f>'PRODUCT PRICING &amp; REVENUE ENGIN'!X58 * ASSUMPTIONS!$H$57</f>
        <v>531973.9632</v>
      </c>
      <c r="Y38" s="153">
        <f>'PRODUCT PRICING &amp; REVENUE ENGIN'!Y58 * ASSUMPTIONS!$H$57</f>
        <v>556921.7313</v>
      </c>
      <c r="Z38" s="153">
        <f>'PRODUCT PRICING &amp; REVENUE ENGIN'!Z58 * ASSUMPTIONS!$H$57</f>
        <v>581869.4994</v>
      </c>
      <c r="AA38" s="153">
        <f>'PRODUCT PRICING &amp; REVENUE ENGIN'!AA58 * ASSUMPTIONS!$H$57</f>
        <v>606817.2675</v>
      </c>
      <c r="AB38" s="153">
        <f>'PRODUCT PRICING &amp; REVENUE ENGIN'!AB58 * ASSUMPTIONS!$H$57</f>
        <v>631765.0356</v>
      </c>
      <c r="AC38" s="153">
        <f>'PRODUCT PRICING &amp; REVENUE ENGIN'!AC58 * ASSUMPTIONS!$H$57</f>
        <v>844818.0673</v>
      </c>
      <c r="AD38" s="153">
        <f>'PRODUCT PRICING &amp; REVENUE ENGIN'!AD58 * ASSUMPTIONS!$H$57</f>
        <v>871258.782</v>
      </c>
      <c r="AE38" s="153">
        <f>'PRODUCT PRICING &amp; REVENUE ENGIN'!AE58 * ASSUMPTIONS!$H$57</f>
        <v>897699.4966</v>
      </c>
      <c r="AF38" s="153">
        <f>'PRODUCT PRICING &amp; REVENUE ENGIN'!AF58 * ASSUMPTIONS!$H$57</f>
        <v>924140.2112</v>
      </c>
      <c r="AG38" s="153">
        <f>'PRODUCT PRICING &amp; REVENUE ENGIN'!AG58 * ASSUMPTIONS!$H$57</f>
        <v>950580.9258</v>
      </c>
      <c r="AH38" s="153">
        <f>'PRODUCT PRICING &amp; REVENUE ENGIN'!AH58 * ASSUMPTIONS!$H$57</f>
        <v>977021.6405</v>
      </c>
      <c r="AI38" s="153">
        <f>'PRODUCT PRICING &amp; REVENUE ENGIN'!AI58 * ASSUMPTIONS!$H$57</f>
        <v>1003462.355</v>
      </c>
      <c r="AJ38" s="153">
        <f>'PRODUCT PRICING &amp; REVENUE ENGIN'!AJ58 * ASSUMPTIONS!$H$57</f>
        <v>1029903.07</v>
      </c>
      <c r="AK38" s="153">
        <f>'PRODUCT PRICING &amp; REVENUE ENGIN'!AK58 * ASSUMPTIONS!$H$57</f>
        <v>1056343.784</v>
      </c>
      <c r="AL38" s="153">
        <f>'PRODUCT PRICING &amp; REVENUE ENGIN'!AL58 * ASSUMPTIONS!$H$57</f>
        <v>1082784.499</v>
      </c>
      <c r="AM38" s="153">
        <f>'PRODUCT PRICING &amp; REVENUE ENGIN'!AM58 * ASSUMPTIONS!$H$57</f>
        <v>1109225.214</v>
      </c>
      <c r="AN38" s="153">
        <f>'PRODUCT PRICING &amp; REVENUE ENGIN'!AN58 * ASSUMPTIONS!$H$57</f>
        <v>1135665.928</v>
      </c>
      <c r="AO38" s="153">
        <f>'PRODUCT PRICING &amp; REVENUE ENGIN'!AO58 * ASSUMPTIONS!$H$57</f>
        <v>1925988.142</v>
      </c>
      <c r="AP38" s="153">
        <f>'PRODUCT PRICING &amp; REVENUE ENGIN'!AP58 * ASSUMPTIONS!$H$57</f>
        <v>2009990.497</v>
      </c>
      <c r="AQ38" s="153">
        <f>'PRODUCT PRICING &amp; REVENUE ENGIN'!AQ58 * ASSUMPTIONS!$H$57</f>
        <v>2093992.852</v>
      </c>
      <c r="AR38" s="153">
        <f>'PRODUCT PRICING &amp; REVENUE ENGIN'!AR58 * ASSUMPTIONS!$H$57</f>
        <v>2177995.207</v>
      </c>
      <c r="AS38" s="153">
        <f>'PRODUCT PRICING &amp; REVENUE ENGIN'!AS58 * ASSUMPTIONS!$H$57</f>
        <v>2261997.562</v>
      </c>
      <c r="AT38" s="153">
        <f>'PRODUCT PRICING &amp; REVENUE ENGIN'!AT58 * ASSUMPTIONS!$H$57</f>
        <v>2345999.916</v>
      </c>
      <c r="AU38" s="153">
        <f>'PRODUCT PRICING &amp; REVENUE ENGIN'!AU58 * ASSUMPTIONS!$H$57</f>
        <v>2430002.271</v>
      </c>
      <c r="AV38" s="153">
        <f>'PRODUCT PRICING &amp; REVENUE ENGIN'!AV58 * ASSUMPTIONS!$H$57</f>
        <v>2514004.626</v>
      </c>
      <c r="AW38" s="153">
        <f>'PRODUCT PRICING &amp; REVENUE ENGIN'!AW58 * ASSUMPTIONS!$H$57</f>
        <v>2514004.626</v>
      </c>
      <c r="AX38" s="153">
        <f>'PRODUCT PRICING &amp; REVENUE ENGIN'!AX58 * ASSUMPTIONS!$H$57</f>
        <v>2514004.626</v>
      </c>
      <c r="AY38" s="153">
        <f>'PRODUCT PRICING &amp; REVENUE ENGIN'!AY58 * ASSUMPTIONS!$H$57</f>
        <v>2514004.626</v>
      </c>
      <c r="AZ38" s="153">
        <f>'PRODUCT PRICING &amp; REVENUE ENGIN'!AZ58 * ASSUMPTIONS!$H$57</f>
        <v>2514004.626</v>
      </c>
      <c r="BA38" s="153">
        <f>'PRODUCT PRICING &amp; REVENUE ENGIN'!BA58 * ASSUMPTIONS!$H$57</f>
        <v>2802850.173</v>
      </c>
      <c r="BB38" s="153">
        <f>'PRODUCT PRICING &amp; REVENUE ENGIN'!BB58 * ASSUMPTIONS!$H$57</f>
        <v>2802850.173</v>
      </c>
      <c r="BC38" s="153">
        <f>'PRODUCT PRICING &amp; REVENUE ENGIN'!BC58 * ASSUMPTIONS!$H$57</f>
        <v>2802850.173</v>
      </c>
      <c r="BD38" s="153">
        <f>'PRODUCT PRICING &amp; REVENUE ENGIN'!BD58 * ASSUMPTIONS!$H$57</f>
        <v>2802850.173</v>
      </c>
      <c r="BE38" s="153">
        <f>'PRODUCT PRICING &amp; REVENUE ENGIN'!BE58 * ASSUMPTIONS!$H$57</f>
        <v>2802850.173</v>
      </c>
      <c r="BF38" s="153">
        <f>'PRODUCT PRICING &amp; REVENUE ENGIN'!BF58 * ASSUMPTIONS!$H$57</f>
        <v>2802850.173</v>
      </c>
      <c r="BG38" s="153">
        <f>'PRODUCT PRICING &amp; REVENUE ENGIN'!BG58 * ASSUMPTIONS!$H$57</f>
        <v>2802850.173</v>
      </c>
      <c r="BH38" s="153">
        <f>'PRODUCT PRICING &amp; REVENUE ENGIN'!BH58 * ASSUMPTIONS!$H$57</f>
        <v>2802850.173</v>
      </c>
      <c r="BI38" s="153">
        <f>'PRODUCT PRICING &amp; REVENUE ENGIN'!BI58 * ASSUMPTIONS!$H$57</f>
        <v>2802850.173</v>
      </c>
      <c r="BJ38" s="153">
        <f>'PRODUCT PRICING &amp; REVENUE ENGIN'!BJ58 * ASSUMPTIONS!$H$57</f>
        <v>2802850.173</v>
      </c>
      <c r="BK38" s="153">
        <f>'PRODUCT PRICING &amp; REVENUE ENGIN'!BK58 * ASSUMPTIONS!$H$57</f>
        <v>2802850.173</v>
      </c>
      <c r="BL38" s="140">
        <f>'PRODUCT PRICING &amp; REVENUE ENGIN'!BL58 * ASSUMPTIONS!$H$57</f>
        <v>2802850.173</v>
      </c>
    </row>
    <row r="39" ht="15.75" customHeight="1">
      <c r="D39" s="57" t="s">
        <v>172</v>
      </c>
      <c r="E39" s="153">
        <f t="shared" ref="E39:BL39" si="6">E21 + E24 +E26 +E27 +E28 +E29 +E30 +E31 +E32 +E33 +E34  + E35 + E36 + E37 + E38</f>
        <v>0</v>
      </c>
      <c r="F39" s="153">
        <f t="shared" si="6"/>
        <v>0</v>
      </c>
      <c r="G39" s="153">
        <f t="shared" si="6"/>
        <v>0</v>
      </c>
      <c r="H39" s="153">
        <f t="shared" si="6"/>
        <v>0</v>
      </c>
      <c r="I39" s="153">
        <f t="shared" si="6"/>
        <v>1892442.957</v>
      </c>
      <c r="J39" s="153">
        <f t="shared" si="6"/>
        <v>3784885.914</v>
      </c>
      <c r="K39" s="153">
        <f t="shared" si="6"/>
        <v>15294868.23</v>
      </c>
      <c r="L39" s="153">
        <f t="shared" si="6"/>
        <v>17187311.19</v>
      </c>
      <c r="M39" s="153">
        <f t="shared" si="6"/>
        <v>19079754.15</v>
      </c>
      <c r="N39" s="153">
        <f t="shared" si="6"/>
        <v>20972197.1</v>
      </c>
      <c r="O39" s="153">
        <f t="shared" si="6"/>
        <v>22864640.06</v>
      </c>
      <c r="P39" s="153">
        <f t="shared" si="6"/>
        <v>24757083.02</v>
      </c>
      <c r="Q39" s="153">
        <f t="shared" si="6"/>
        <v>28184454.17</v>
      </c>
      <c r="R39" s="153">
        <f t="shared" si="6"/>
        <v>30194919.1</v>
      </c>
      <c r="S39" s="153">
        <f t="shared" si="6"/>
        <v>32205384.04</v>
      </c>
      <c r="T39" s="153">
        <f t="shared" si="6"/>
        <v>34215848.98</v>
      </c>
      <c r="U39" s="153">
        <f t="shared" si="6"/>
        <v>36226313.91</v>
      </c>
      <c r="V39" s="153">
        <f t="shared" si="6"/>
        <v>38236778.85</v>
      </c>
      <c r="W39" s="153">
        <f t="shared" si="6"/>
        <v>40247243.78</v>
      </c>
      <c r="X39" s="153">
        <f t="shared" si="6"/>
        <v>42257708.72</v>
      </c>
      <c r="Y39" s="153">
        <f t="shared" si="6"/>
        <v>44268173.66</v>
      </c>
      <c r="Z39" s="153">
        <f t="shared" si="6"/>
        <v>46278638.59</v>
      </c>
      <c r="AA39" s="153">
        <f t="shared" si="6"/>
        <v>48289103.53</v>
      </c>
      <c r="AB39" s="153">
        <f t="shared" si="6"/>
        <v>50299568.46</v>
      </c>
      <c r="AC39" s="153">
        <f t="shared" si="6"/>
        <v>66213585</v>
      </c>
      <c r="AD39" s="153">
        <f t="shared" si="6"/>
        <v>68354346.39</v>
      </c>
      <c r="AE39" s="153">
        <f t="shared" si="6"/>
        <v>70495107.78</v>
      </c>
      <c r="AF39" s="153">
        <f t="shared" si="6"/>
        <v>72635869.17</v>
      </c>
      <c r="AG39" s="153">
        <f t="shared" si="6"/>
        <v>74776630.55</v>
      </c>
      <c r="AH39" s="153">
        <f t="shared" si="6"/>
        <v>76917391.94</v>
      </c>
      <c r="AI39" s="153">
        <f t="shared" si="6"/>
        <v>79058153.33</v>
      </c>
      <c r="AJ39" s="153">
        <f t="shared" si="6"/>
        <v>81198914.72</v>
      </c>
      <c r="AK39" s="153">
        <f t="shared" si="6"/>
        <v>83339676.11</v>
      </c>
      <c r="AL39" s="153">
        <f t="shared" si="6"/>
        <v>85480437.49</v>
      </c>
      <c r="AM39" s="153">
        <f t="shared" si="6"/>
        <v>87621198.88</v>
      </c>
      <c r="AN39" s="153">
        <f t="shared" si="6"/>
        <v>89761960.27</v>
      </c>
      <c r="AO39" s="153">
        <f t="shared" si="6"/>
        <v>147020513</v>
      </c>
      <c r="AP39" s="153">
        <f t="shared" si="6"/>
        <v>153859542.4</v>
      </c>
      <c r="AQ39" s="153">
        <f t="shared" si="6"/>
        <v>160698571.9</v>
      </c>
      <c r="AR39" s="153">
        <f t="shared" si="6"/>
        <v>167537601.3</v>
      </c>
      <c r="AS39" s="153">
        <f t="shared" si="6"/>
        <v>174376630.7</v>
      </c>
      <c r="AT39" s="153">
        <f t="shared" si="6"/>
        <v>181215660.2</v>
      </c>
      <c r="AU39" s="153">
        <f t="shared" si="6"/>
        <v>188054689.6</v>
      </c>
      <c r="AV39" s="153">
        <f t="shared" si="6"/>
        <v>194893719.1</v>
      </c>
      <c r="AW39" s="153">
        <f t="shared" si="6"/>
        <v>194893719.1</v>
      </c>
      <c r="AX39" s="153">
        <f t="shared" si="6"/>
        <v>194893719.1</v>
      </c>
      <c r="AY39" s="153">
        <f t="shared" si="6"/>
        <v>194893719.1</v>
      </c>
      <c r="AZ39" s="153">
        <f t="shared" si="6"/>
        <v>194893719.1</v>
      </c>
      <c r="BA39" s="153">
        <f t="shared" si="6"/>
        <v>208550882.4</v>
      </c>
      <c r="BB39" s="153">
        <f t="shared" si="6"/>
        <v>208550882.4</v>
      </c>
      <c r="BC39" s="153">
        <f t="shared" si="6"/>
        <v>208550882.4</v>
      </c>
      <c r="BD39" s="153">
        <f t="shared" si="6"/>
        <v>208550882.4</v>
      </c>
      <c r="BE39" s="153">
        <f t="shared" si="6"/>
        <v>208550882.4</v>
      </c>
      <c r="BF39" s="153">
        <f t="shared" si="6"/>
        <v>208550882.4</v>
      </c>
      <c r="BG39" s="153">
        <f t="shared" si="6"/>
        <v>208550882.4</v>
      </c>
      <c r="BH39" s="153">
        <f t="shared" si="6"/>
        <v>208550882.4</v>
      </c>
      <c r="BI39" s="153">
        <f t="shared" si="6"/>
        <v>208550882.4</v>
      </c>
      <c r="BJ39" s="153">
        <f t="shared" si="6"/>
        <v>208550882.4</v>
      </c>
      <c r="BK39" s="153">
        <f t="shared" si="6"/>
        <v>208550882.4</v>
      </c>
      <c r="BL39" s="153">
        <f t="shared" si="6"/>
        <v>208550882.4</v>
      </c>
    </row>
    <row r="40" ht="15.75" customHeight="1">
      <c r="D40" s="57" t="s">
        <v>173</v>
      </c>
      <c r="E40" s="153">
        <f>'PRODUCT PRICING &amp; REVENUE ENGIN'!E58 - E39</f>
        <v>0</v>
      </c>
      <c r="F40" s="153">
        <f>'PRODUCT PRICING &amp; REVENUE ENGIN'!F58 - F39</f>
        <v>0</v>
      </c>
      <c r="G40" s="153">
        <f>'PRODUCT PRICING &amp; REVENUE ENGIN'!G58 - G39</f>
        <v>0</v>
      </c>
      <c r="H40" s="153">
        <f>'PRODUCT PRICING &amp; REVENUE ENGIN'!H58 - H39</f>
        <v>0</v>
      </c>
      <c r="I40" s="153">
        <f>'PRODUCT PRICING &amp; REVENUE ENGIN'!I58 - I39</f>
        <v>494581.6832</v>
      </c>
      <c r="J40" s="153">
        <f>'PRODUCT PRICING &amp; REVENUE ENGIN'!J58 - J39</f>
        <v>989163.3664</v>
      </c>
      <c r="K40" s="153">
        <f>'PRODUCT PRICING &amp; REVENUE ENGIN'!K58 - K39</f>
        <v>4251578.006</v>
      </c>
      <c r="L40" s="153">
        <f>'PRODUCT PRICING &amp; REVENUE ENGIN'!L58 - L39</f>
        <v>4746159.69</v>
      </c>
      <c r="M40" s="153">
        <f>'PRODUCT PRICING &amp; REVENUE ENGIN'!M58 - M39</f>
        <v>5240741.373</v>
      </c>
      <c r="N40" s="153">
        <f>'PRODUCT PRICING &amp; REVENUE ENGIN'!N58 - N39</f>
        <v>5735323.056</v>
      </c>
      <c r="O40" s="153">
        <f>'PRODUCT PRICING &amp; REVENUE ENGIN'!O58 - O39</f>
        <v>6229904.739</v>
      </c>
      <c r="P40" s="153">
        <f>'PRODUCT PRICING &amp; REVENUE ENGIN'!P58 - P39</f>
        <v>6724486.422</v>
      </c>
      <c r="Q40" s="153">
        <f>'PRODUCT PRICING &amp; REVENUE ENGIN'!Q58 - Q39</f>
        <v>7549504.48</v>
      </c>
      <c r="R40" s="153">
        <f>'PRODUCT PRICING &amp; REVENUE ENGIN'!R58 - R39</f>
        <v>8033816.354</v>
      </c>
      <c r="S40" s="153">
        <f>'PRODUCT PRICING &amp; REVENUE ENGIN'!S58 - S39</f>
        <v>8518128.228</v>
      </c>
      <c r="T40" s="153">
        <f>'PRODUCT PRICING &amp; REVENUE ENGIN'!T58 - T39</f>
        <v>9002440.102</v>
      </c>
      <c r="U40" s="153">
        <f>'PRODUCT PRICING &amp; REVENUE ENGIN'!U58 - U39</f>
        <v>9486751.976</v>
      </c>
      <c r="V40" s="153">
        <f>'PRODUCT PRICING &amp; REVENUE ENGIN'!V58 - V39</f>
        <v>9971063.85</v>
      </c>
      <c r="W40" s="153">
        <f>'PRODUCT PRICING &amp; REVENUE ENGIN'!W58 - W39</f>
        <v>10455375.72</v>
      </c>
      <c r="X40" s="153">
        <f>'PRODUCT PRICING &amp; REVENUE ENGIN'!X58 - X39</f>
        <v>10939687.6</v>
      </c>
      <c r="Y40" s="153">
        <f>'PRODUCT PRICING &amp; REVENUE ENGIN'!Y58 - Y39</f>
        <v>11423999.47</v>
      </c>
      <c r="Z40" s="153">
        <f>'PRODUCT PRICING &amp; REVENUE ENGIN'!Z58 - Z39</f>
        <v>11908311.35</v>
      </c>
      <c r="AA40" s="153">
        <f>'PRODUCT PRICING &amp; REVENUE ENGIN'!AA58 - AA39</f>
        <v>12392623.22</v>
      </c>
      <c r="AB40" s="153">
        <f>'PRODUCT PRICING &amp; REVENUE ENGIN'!AB58 - AB39</f>
        <v>12876935.1</v>
      </c>
      <c r="AC40" s="153">
        <f>'PRODUCT PRICING &amp; REVENUE ENGIN'!AC58 - AC39</f>
        <v>18268221.73</v>
      </c>
      <c r="AD40" s="153">
        <f>'PRODUCT PRICING &amp; REVENUE ENGIN'!AD58 - AD39</f>
        <v>18771531.81</v>
      </c>
      <c r="AE40" s="153">
        <f>'PRODUCT PRICING &amp; REVENUE ENGIN'!AE58 - AE39</f>
        <v>19274841.88</v>
      </c>
      <c r="AF40" s="153">
        <f>'PRODUCT PRICING &amp; REVENUE ENGIN'!AF58 - AF39</f>
        <v>19778151.96</v>
      </c>
      <c r="AG40" s="153">
        <f>'PRODUCT PRICING &amp; REVENUE ENGIN'!AG58 - AG39</f>
        <v>20281462.03</v>
      </c>
      <c r="AH40" s="153">
        <f>'PRODUCT PRICING &amp; REVENUE ENGIN'!AH58 - AH39</f>
        <v>20784772.1</v>
      </c>
      <c r="AI40" s="153">
        <f>'PRODUCT PRICING &amp; REVENUE ENGIN'!AI58 - AI39</f>
        <v>21288082.18</v>
      </c>
      <c r="AJ40" s="153">
        <f>'PRODUCT PRICING &amp; REVENUE ENGIN'!AJ58 - AJ39</f>
        <v>21791392.25</v>
      </c>
      <c r="AK40" s="153">
        <f>'PRODUCT PRICING &amp; REVENUE ENGIN'!AK58 - AK39</f>
        <v>22294702.33</v>
      </c>
      <c r="AL40" s="153">
        <f>'PRODUCT PRICING &amp; REVENUE ENGIN'!AL58 - AL39</f>
        <v>22798012.4</v>
      </c>
      <c r="AM40" s="153">
        <f>'PRODUCT PRICING &amp; REVENUE ENGIN'!AM58 - AM39</f>
        <v>23301322.48</v>
      </c>
      <c r="AN40" s="153">
        <f>'PRODUCT PRICING &amp; REVENUE ENGIN'!AN58 - AN39</f>
        <v>23804632.55</v>
      </c>
      <c r="AO40" s="153">
        <f>'PRODUCT PRICING &amp; REVENUE ENGIN'!AO58 - AO39</f>
        <v>45578301.26</v>
      </c>
      <c r="AP40" s="153">
        <f>'PRODUCT PRICING &amp; REVENUE ENGIN'!AP58 - AP39</f>
        <v>47139507.3</v>
      </c>
      <c r="AQ40" s="153">
        <f>'PRODUCT PRICING &amp; REVENUE ENGIN'!AQ58 - AQ39</f>
        <v>48700713.34</v>
      </c>
      <c r="AR40" s="153">
        <f>'PRODUCT PRICING &amp; REVENUE ENGIN'!AR58 - AR39</f>
        <v>50261919.38</v>
      </c>
      <c r="AS40" s="153">
        <f>'PRODUCT PRICING &amp; REVENUE ENGIN'!AS58 - AS39</f>
        <v>51823125.42</v>
      </c>
      <c r="AT40" s="153">
        <f>'PRODUCT PRICING &amp; REVENUE ENGIN'!AT58 - AT39</f>
        <v>53384331.46</v>
      </c>
      <c r="AU40" s="153">
        <f>'PRODUCT PRICING &amp; REVENUE ENGIN'!AU58 - AU39</f>
        <v>54945537.5</v>
      </c>
      <c r="AV40" s="153">
        <f>'PRODUCT PRICING &amp; REVENUE ENGIN'!AV58 - AV39</f>
        <v>56506743.54</v>
      </c>
      <c r="AW40" s="153">
        <f>'PRODUCT PRICING &amp; REVENUE ENGIN'!AW58 - AW39</f>
        <v>56506743.54</v>
      </c>
      <c r="AX40" s="153">
        <f>'PRODUCT PRICING &amp; REVENUE ENGIN'!AX58 - AX39</f>
        <v>56506743.54</v>
      </c>
      <c r="AY40" s="153">
        <f>'PRODUCT PRICING &amp; REVENUE ENGIN'!AY58 - AY39</f>
        <v>56506743.54</v>
      </c>
      <c r="AZ40" s="153">
        <f>'PRODUCT PRICING &amp; REVENUE ENGIN'!AZ58 - AZ39</f>
        <v>56506743.54</v>
      </c>
      <c r="BA40" s="153">
        <f>'PRODUCT PRICING &amp; REVENUE ENGIN'!BA58 - BA39</f>
        <v>71734134.94</v>
      </c>
      <c r="BB40" s="153">
        <f>'PRODUCT PRICING &amp; REVENUE ENGIN'!BB58 - BB39</f>
        <v>71734134.94</v>
      </c>
      <c r="BC40" s="153">
        <f>'PRODUCT PRICING &amp; REVENUE ENGIN'!BC58 - BC39</f>
        <v>71734134.94</v>
      </c>
      <c r="BD40" s="153">
        <f>'PRODUCT PRICING &amp; REVENUE ENGIN'!BD58 - BD39</f>
        <v>71734134.94</v>
      </c>
      <c r="BE40" s="153">
        <f>'PRODUCT PRICING &amp; REVENUE ENGIN'!BE58 - BE39</f>
        <v>71734134.94</v>
      </c>
      <c r="BF40" s="153">
        <f>'PRODUCT PRICING &amp; REVENUE ENGIN'!BF58 - BF39</f>
        <v>71734134.94</v>
      </c>
      <c r="BG40" s="153">
        <f>'PRODUCT PRICING &amp; REVENUE ENGIN'!BG58 - BG39</f>
        <v>71734134.94</v>
      </c>
      <c r="BH40" s="153">
        <f>'PRODUCT PRICING &amp; REVENUE ENGIN'!BH58 - BH39</f>
        <v>71734134.94</v>
      </c>
      <c r="BI40" s="153">
        <f>'PRODUCT PRICING &amp; REVENUE ENGIN'!BI58 - BI39</f>
        <v>71734134.94</v>
      </c>
      <c r="BJ40" s="153">
        <f>'PRODUCT PRICING &amp; REVENUE ENGIN'!BJ58 - BJ39</f>
        <v>71734134.94</v>
      </c>
      <c r="BK40" s="153">
        <f>'PRODUCT PRICING &amp; REVENUE ENGIN'!BK58 - BK39</f>
        <v>71734134.94</v>
      </c>
      <c r="BL40" s="140">
        <f>'PRODUCT PRICING &amp; REVENUE ENGIN'!BL58 - BL39</f>
        <v>71734134.94</v>
      </c>
    </row>
    <row r="41" ht="15.75" customHeight="1">
      <c r="D41" s="85" t="s">
        <v>174</v>
      </c>
      <c r="E41" s="142">
        <f>IF( E40 = 0, 0, E40 / 'PRODUCT PRICING &amp; REVENUE ENGIN'!E58)</f>
        <v>0</v>
      </c>
      <c r="F41" s="142">
        <f>IF( F40 = 0, 0, F40 / 'PRODUCT PRICING &amp; REVENUE ENGIN'!F58)</f>
        <v>0</v>
      </c>
      <c r="G41" s="142">
        <f>IF( G40 = 0, 0, G40 / 'PRODUCT PRICING &amp; REVENUE ENGIN'!G58)</f>
        <v>0</v>
      </c>
      <c r="H41" s="142">
        <f>IF( H40 = 0, 0, H40 / 'PRODUCT PRICING &amp; REVENUE ENGIN'!H58)</f>
        <v>0</v>
      </c>
      <c r="I41" s="142">
        <f>IF( I40 = 0, 0, I40 / 'PRODUCT PRICING &amp; REVENUE ENGIN'!I58)</f>
        <v>0.2071958852</v>
      </c>
      <c r="J41" s="142">
        <f>IF( J40 = 0, 0, J40 / 'PRODUCT PRICING &amp; REVENUE ENGIN'!J58)</f>
        <v>0.2071958852</v>
      </c>
      <c r="K41" s="142">
        <f>IF( K40 = 0, 0, K40 / 'PRODUCT PRICING &amp; REVENUE ENGIN'!K58)</f>
        <v>0.2175115596</v>
      </c>
      <c r="L41" s="142">
        <f>IF( L40 = 0, 0, L40 / 'PRODUCT PRICING &amp; REVENUE ENGIN'!L58)</f>
        <v>0.2163889024</v>
      </c>
      <c r="M41" s="142">
        <f>IF( M40 = 0, 0, M40 / 'PRODUCT PRICING &amp; REVENUE ENGIN'!M58)</f>
        <v>0.2154866199</v>
      </c>
      <c r="N41" s="142">
        <f>IF( N40 = 0, 0, N40 / 'PRODUCT PRICING &amp; REVENUE ENGIN'!N58)</f>
        <v>0.214745623</v>
      </c>
      <c r="O41" s="142">
        <f>IF( O40 = 0, 0, O40 / 'PRODUCT PRICING &amp; REVENUE ENGIN'!O58)</f>
        <v>0.2141262145</v>
      </c>
      <c r="P41" s="142">
        <f>IF( P40 = 0, 0, P40 / 'PRODUCT PRICING &amp; REVENUE ENGIN'!P58)</f>
        <v>0.2136007366</v>
      </c>
      <c r="Q41" s="142">
        <f>IF( Q40 = 0, 0, Q40 / 'PRODUCT PRICING &amp; REVENUE ENGIN'!Q58)</f>
        <v>0.2112697491</v>
      </c>
      <c r="R41" s="142">
        <f>IF( R40 = 0, 0, R40 / 'PRODUCT PRICING &amp; REVENUE ENGIN'!R58)</f>
        <v>0.2101512451</v>
      </c>
      <c r="S41" s="142">
        <f>IF( S40 = 0, 0, S40 / 'PRODUCT PRICING &amp; REVENUE ENGIN'!S58)</f>
        <v>0.2091697831</v>
      </c>
      <c r="T41" s="142">
        <f>IF( T40 = 0, 0, T40 / 'PRODUCT PRICING &amp; REVENUE ENGIN'!T58)</f>
        <v>0.208301631</v>
      </c>
      <c r="U41" s="142">
        <f>IF( U40 = 0, 0, U40 / 'PRODUCT PRICING &amp; REVENUE ENGIN'!U58)</f>
        <v>0.2075282371</v>
      </c>
      <c r="V41" s="142">
        <f>IF( V40 = 0, 0, V40 / 'PRODUCT PRICING &amp; REVENUE ENGIN'!V58)</f>
        <v>0.2068348902</v>
      </c>
      <c r="W41" s="142">
        <f>IF( W40 = 0, 0, W40 / 'PRODUCT PRICING &amp; REVENUE ENGIN'!W58)</f>
        <v>0.2062097743</v>
      </c>
      <c r="X41" s="142">
        <f>IF( X40 = 0, 0, X40 / 'PRODUCT PRICING &amp; REVENUE ENGIN'!X58)</f>
        <v>0.20564329</v>
      </c>
      <c r="Y41" s="142">
        <f>IF( Y40 = 0, 0, Y40 / 'PRODUCT PRICING &amp; REVENUE ENGIN'!Y58)</f>
        <v>0.205127558</v>
      </c>
      <c r="Z41" s="142">
        <f>IF( Z40 = 0, 0, Z40 / 'PRODUCT PRICING &amp; REVENUE ENGIN'!Z58)</f>
        <v>0.2046560502</v>
      </c>
      <c r="AA41" s="142">
        <f>IF( AA40 = 0, 0, AA40 / 'PRODUCT PRICING &amp; REVENUE ENGIN'!AA58)</f>
        <v>0.2042233121</v>
      </c>
      <c r="AB41" s="142">
        <f>IF( AB40 = 0, 0, AB40 / 'PRODUCT PRICING &amp; REVENUE ENGIN'!AB58)</f>
        <v>0.2038247508</v>
      </c>
      <c r="AC41" s="142">
        <f>IF( AC40 = 0, 0, AC40 / 'PRODUCT PRICING &amp; REVENUE ENGIN'!AC58)</f>
        <v>0.2162385304</v>
      </c>
      <c r="AD41" s="142">
        <f>IF( AD40 = 0, 0, AD40 / 'PRODUCT PRICING &amp; REVENUE ENGIN'!AD58)</f>
        <v>0.2154529997</v>
      </c>
      <c r="AE41" s="142">
        <f>IF( AE40 = 0, 0, AE40 / 'PRODUCT PRICING &amp; REVENUE ENGIN'!AE58)</f>
        <v>0.2147137428</v>
      </c>
      <c r="AF41" s="142">
        <f>IF( AF40 = 0, 0, AF40 / 'PRODUCT PRICING &amp; REVENUE ENGIN'!AF58)</f>
        <v>0.2140167879</v>
      </c>
      <c r="AG41" s="142">
        <f>IF( AG40 = 0, 0, AG40 / 'PRODUCT PRICING &amp; REVENUE ENGIN'!AG58)</f>
        <v>0.213358605</v>
      </c>
      <c r="AH41" s="142">
        <f>IF( AH40 = 0, 0, AH40 / 'PRODUCT PRICING &amp; REVENUE ENGIN'!AH58)</f>
        <v>0.2127360464</v>
      </c>
      <c r="AI41" s="142">
        <f>IF( AI40 = 0, 0, AI40 / 'PRODUCT PRICING &amp; REVENUE ENGIN'!AI58)</f>
        <v>0.212146296</v>
      </c>
      <c r="AJ41" s="142">
        <f>IF( AJ40 = 0, 0, AJ40 / 'PRODUCT PRICING &amp; REVENUE ENGIN'!AJ58)</f>
        <v>0.2115868269</v>
      </c>
      <c r="AK41" s="142">
        <f>IF( AK40 = 0, 0, AK40 / 'PRODUCT PRICING &amp; REVENUE ENGIN'!AK58)</f>
        <v>0.2110553653</v>
      </c>
      <c r="AL41" s="142">
        <f>IF( AL40 = 0, 0, AL40 / 'PRODUCT PRICING &amp; REVENUE ENGIN'!AL58)</f>
        <v>0.2105498594</v>
      </c>
      <c r="AM41" s="142">
        <f>IF( AM40 = 0, 0, AM40 / 'PRODUCT PRICING &amp; REVENUE ENGIN'!AM58)</f>
        <v>0.2100684531</v>
      </c>
      <c r="AN41" s="142">
        <f>IF( AN40 = 0, 0, AN40 / 'PRODUCT PRICING &amp; REVENUE ENGIN'!AN58)</f>
        <v>0.2096094631</v>
      </c>
      <c r="AO41" s="142">
        <f>IF( AO40 = 0, 0, AO40 / 'PRODUCT PRICING &amp; REVENUE ENGIN'!AO58)</f>
        <v>0.2366489194</v>
      </c>
      <c r="AP41" s="142">
        <f>IF( AP40 = 0, 0, AP40 / 'PRODUCT PRICING &amp; REVENUE ENGIN'!AP58)</f>
        <v>0.2345260207</v>
      </c>
      <c r="AQ41" s="142">
        <f>IF( AQ40 = 0, 0, AQ40 / 'PRODUCT PRICING &amp; REVENUE ENGIN'!AQ58)</f>
        <v>0.232573446</v>
      </c>
      <c r="AR41" s="142">
        <f>IF( AR40 = 0, 0, AR40 / 'PRODUCT PRICING &amp; REVENUE ENGIN'!AR58)</f>
        <v>0.2307714876</v>
      </c>
      <c r="AS41" s="142">
        <f>IF( AS40 = 0, 0, AS40 / 'PRODUCT PRICING &amp; REVENUE ENGIN'!AS58)</f>
        <v>0.2291033655</v>
      </c>
      <c r="AT41" s="142">
        <f>IF( AT40 = 0, 0, AT40 / 'PRODUCT PRICING &amp; REVENUE ENGIN'!AT58)</f>
        <v>0.2275547032</v>
      </c>
      <c r="AU41" s="142">
        <f>IF( AU40 = 0, 0, AU40 / 'PRODUCT PRICING &amp; REVENUE ENGIN'!AU58)</f>
        <v>0.2261131117</v>
      </c>
      <c r="AV41" s="142">
        <f>IF( AV40 = 0, 0, AV40 / 'PRODUCT PRICING &amp; REVENUE ENGIN'!AV58)</f>
        <v>0.2247678582</v>
      </c>
      <c r="AW41" s="142">
        <f>IF( AW40 = 0, 0, AW40 / 'PRODUCT PRICING &amp; REVENUE ENGIN'!AW58)</f>
        <v>0.2247678582</v>
      </c>
      <c r="AX41" s="142">
        <f>IF( AX40 = 0, 0, AX40 / 'PRODUCT PRICING &amp; REVENUE ENGIN'!AX58)</f>
        <v>0.2247678582</v>
      </c>
      <c r="AY41" s="142">
        <f>IF( AY40 = 0, 0, AY40 / 'PRODUCT PRICING &amp; REVENUE ENGIN'!AY58)</f>
        <v>0.2247678582</v>
      </c>
      <c r="AZ41" s="142">
        <f>IF( AZ40 = 0, 0, AZ40 / 'PRODUCT PRICING &amp; REVENUE ENGIN'!AZ58)</f>
        <v>0.2247678582</v>
      </c>
      <c r="BA41" s="142">
        <f>IF( BA40 = 0, 0, BA40 / 'PRODUCT PRICING &amp; REVENUE ENGIN'!BA58)</f>
        <v>0.2559328202</v>
      </c>
      <c r="BB41" s="142">
        <f>IF( BB40 = 0, 0, BB40 / 'PRODUCT PRICING &amp; REVENUE ENGIN'!BB58)</f>
        <v>0.2559328202</v>
      </c>
      <c r="BC41" s="142">
        <f>IF( BC40 = 0, 0, BC40 / 'PRODUCT PRICING &amp; REVENUE ENGIN'!BC58)</f>
        <v>0.2559328202</v>
      </c>
      <c r="BD41" s="142">
        <f>IF( BD40 = 0, 0, BD40 / 'PRODUCT PRICING &amp; REVENUE ENGIN'!BD58)</f>
        <v>0.2559328202</v>
      </c>
      <c r="BE41" s="142">
        <f>IF( BE40 = 0, 0, BE40 / 'PRODUCT PRICING &amp; REVENUE ENGIN'!BE58)</f>
        <v>0.2559328202</v>
      </c>
      <c r="BF41" s="142">
        <f>IF( BF40 = 0, 0, BF40 / 'PRODUCT PRICING &amp; REVENUE ENGIN'!BF58)</f>
        <v>0.2559328202</v>
      </c>
      <c r="BG41" s="142">
        <f>IF( BG40 = 0, 0, BG40 / 'PRODUCT PRICING &amp; REVENUE ENGIN'!BG58)</f>
        <v>0.2559328202</v>
      </c>
      <c r="BH41" s="142">
        <f>IF( BH40 = 0, 0, BH40 / 'PRODUCT PRICING &amp; REVENUE ENGIN'!BH58)</f>
        <v>0.2559328202</v>
      </c>
      <c r="BI41" s="142">
        <f>IF( BI40 = 0, 0, BI40 / 'PRODUCT PRICING &amp; REVENUE ENGIN'!BI58)</f>
        <v>0.2559328202</v>
      </c>
      <c r="BJ41" s="142">
        <f>IF( BJ40 = 0, 0, BJ40 / 'PRODUCT PRICING &amp; REVENUE ENGIN'!BJ58)</f>
        <v>0.2559328202</v>
      </c>
      <c r="BK41" s="142">
        <f>IF( BK40 = 0, 0, BK40 / 'PRODUCT PRICING &amp; REVENUE ENGIN'!BK58)</f>
        <v>0.2559328202</v>
      </c>
      <c r="BL41" s="63">
        <f>IF( BL40 = 0, 0, BL40 / 'PRODUCT PRICING &amp; REVENUE ENGIN'!BL58)</f>
        <v>0.2559328202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2:D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75"/>
    <col customWidth="1" min="4" max="5" width="18.63"/>
    <col customWidth="1" min="6" max="6" width="13.88"/>
    <col customWidth="1" min="7" max="7" width="16.38"/>
    <col customWidth="1" min="8" max="8" width="14.5"/>
    <col customWidth="1" min="9" max="9" width="13.88"/>
    <col customWidth="1" min="10" max="64" width="15.5"/>
  </cols>
  <sheetData>
    <row r="1">
      <c r="A1" s="111" t="str">
        <f>COVER!$B$12</f>
        <v>Narayan Dairy Project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ht="15.75" customHeight="1">
      <c r="A2" s="112" t="s">
        <v>175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4" ht="15.75" customHeight="1">
      <c r="A4" s="64"/>
      <c r="B4" s="64"/>
      <c r="C4" s="64"/>
      <c r="D4" s="158" t="s">
        <v>176</v>
      </c>
      <c r="E4" s="131" t="s">
        <v>177</v>
      </c>
      <c r="F4" s="131" t="s">
        <v>178</v>
      </c>
      <c r="G4" s="131" t="s">
        <v>179</v>
      </c>
      <c r="H4" s="131" t="s">
        <v>180</v>
      </c>
      <c r="I4" s="132" t="s">
        <v>181</v>
      </c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</row>
    <row r="5" ht="1.5" customHeight="1">
      <c r="A5" s="64"/>
      <c r="B5" s="64"/>
      <c r="C5" s="64"/>
      <c r="D5" s="117"/>
      <c r="E5" s="118"/>
      <c r="F5" s="118"/>
      <c r="G5" s="118"/>
      <c r="H5" s="118"/>
      <c r="I5" s="119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</row>
    <row r="6" ht="1.5" customHeight="1">
      <c r="A6" s="64"/>
      <c r="B6" s="64"/>
      <c r="C6" s="64"/>
      <c r="D6" s="120"/>
      <c r="E6" s="121"/>
      <c r="F6" s="121"/>
      <c r="G6" s="121"/>
      <c r="H6" s="121"/>
      <c r="I6" s="122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</row>
    <row r="7" ht="15.75" customHeight="1">
      <c r="D7" s="29" t="s">
        <v>182</v>
      </c>
      <c r="I7" s="31"/>
    </row>
    <row r="8" ht="15.75" customHeight="1">
      <c r="D8" s="57" t="s">
        <v>103</v>
      </c>
      <c r="E8" s="30" t="s">
        <v>183</v>
      </c>
      <c r="F8" s="64"/>
      <c r="G8" s="153">
        <v>100000.0</v>
      </c>
      <c r="H8" s="153">
        <f>G8</f>
        <v>100000</v>
      </c>
      <c r="I8" s="160">
        <v>30.0</v>
      </c>
    </row>
    <row r="9" ht="15.75" customHeight="1">
      <c r="D9" s="57" t="s">
        <v>184</v>
      </c>
      <c r="E9" s="30" t="s">
        <v>185</v>
      </c>
      <c r="F9" s="64">
        <v>1.0</v>
      </c>
      <c r="G9" s="153">
        <v>60000.0</v>
      </c>
      <c r="H9" s="153">
        <f t="shared" ref="H9:H25" si="1">F9 * G9</f>
        <v>60000</v>
      </c>
      <c r="I9" s="160">
        <v>1.0</v>
      </c>
    </row>
    <row r="10" ht="15.75" customHeight="1">
      <c r="D10" s="57" t="s">
        <v>186</v>
      </c>
      <c r="E10" s="30" t="s">
        <v>187</v>
      </c>
      <c r="F10" s="64">
        <v>3.0</v>
      </c>
      <c r="G10" s="153">
        <v>30000.0</v>
      </c>
      <c r="H10" s="153">
        <f t="shared" si="1"/>
        <v>90000</v>
      </c>
      <c r="I10" s="160">
        <v>5.0</v>
      </c>
    </row>
    <row r="11" ht="15.75" customHeight="1">
      <c r="D11" s="57" t="s">
        <v>188</v>
      </c>
      <c r="E11" s="30" t="s">
        <v>189</v>
      </c>
      <c r="F11" s="64">
        <v>4.0</v>
      </c>
      <c r="G11" s="153">
        <v>30000.0</v>
      </c>
      <c r="H11" s="153">
        <f t="shared" si="1"/>
        <v>120000</v>
      </c>
      <c r="I11" s="160">
        <v>6.0</v>
      </c>
    </row>
    <row r="12" ht="15.75" customHeight="1">
      <c r="D12" s="57" t="s">
        <v>188</v>
      </c>
      <c r="E12" s="30" t="s">
        <v>190</v>
      </c>
      <c r="F12" s="64">
        <v>2.0</v>
      </c>
      <c r="G12" s="153">
        <v>40000.0</v>
      </c>
      <c r="H12" s="153">
        <f t="shared" si="1"/>
        <v>80000</v>
      </c>
      <c r="I12" s="160">
        <v>6.0</v>
      </c>
    </row>
    <row r="13" ht="15.75" customHeight="1">
      <c r="D13" s="35" t="s">
        <v>186</v>
      </c>
      <c r="E13" s="8" t="s">
        <v>191</v>
      </c>
      <c r="F13" s="64">
        <v>4.0</v>
      </c>
      <c r="G13" s="153">
        <v>30000.0</v>
      </c>
      <c r="H13" s="153">
        <f t="shared" si="1"/>
        <v>120000</v>
      </c>
      <c r="I13" s="160">
        <v>6.0</v>
      </c>
    </row>
    <row r="14" ht="15.75" customHeight="1">
      <c r="D14" s="35" t="s">
        <v>186</v>
      </c>
      <c r="E14" s="8" t="s">
        <v>192</v>
      </c>
      <c r="F14" s="64">
        <v>4.0</v>
      </c>
      <c r="G14" s="153">
        <v>35000.0</v>
      </c>
      <c r="H14" s="153">
        <f t="shared" si="1"/>
        <v>140000</v>
      </c>
      <c r="I14" s="160">
        <v>7.0</v>
      </c>
    </row>
    <row r="15" ht="15.75" customHeight="1">
      <c r="D15" s="35" t="s">
        <v>186</v>
      </c>
      <c r="E15" s="8" t="s">
        <v>193</v>
      </c>
      <c r="F15" s="64">
        <v>2.0</v>
      </c>
      <c r="G15" s="153">
        <v>25000.0</v>
      </c>
      <c r="H15" s="153">
        <f t="shared" si="1"/>
        <v>50000</v>
      </c>
      <c r="I15" s="160">
        <v>7.0</v>
      </c>
    </row>
    <row r="16" ht="15.75" customHeight="1">
      <c r="D16" s="57" t="s">
        <v>186</v>
      </c>
      <c r="E16" s="30" t="s">
        <v>194</v>
      </c>
      <c r="F16" s="30">
        <v>2.0</v>
      </c>
      <c r="G16" s="153">
        <v>30000.0</v>
      </c>
      <c r="H16" s="153">
        <f t="shared" si="1"/>
        <v>60000</v>
      </c>
      <c r="I16" s="160">
        <v>8.0</v>
      </c>
    </row>
    <row r="17" ht="15.75" customHeight="1">
      <c r="D17" s="57" t="s">
        <v>195</v>
      </c>
      <c r="E17" s="30" t="s">
        <v>196</v>
      </c>
      <c r="F17" s="30">
        <v>2.0</v>
      </c>
      <c r="G17" s="153">
        <v>25000.0</v>
      </c>
      <c r="H17" s="153">
        <f t="shared" si="1"/>
        <v>50000</v>
      </c>
      <c r="I17" s="160">
        <v>1.0</v>
      </c>
    </row>
    <row r="18" ht="15.75" customHeight="1">
      <c r="D18" s="57" t="s">
        <v>197</v>
      </c>
      <c r="E18" s="30" t="s">
        <v>198</v>
      </c>
      <c r="F18" s="30">
        <v>3.0</v>
      </c>
      <c r="G18" s="153">
        <v>25000.0</v>
      </c>
      <c r="H18" s="153">
        <f t="shared" si="1"/>
        <v>75000</v>
      </c>
      <c r="I18" s="160">
        <v>7.0</v>
      </c>
    </row>
    <row r="19" ht="15.75" customHeight="1">
      <c r="D19" s="57" t="s">
        <v>199</v>
      </c>
      <c r="E19" s="30" t="s">
        <v>200</v>
      </c>
      <c r="F19" s="30">
        <v>100.0</v>
      </c>
      <c r="G19" s="153">
        <f>50 * 30</f>
        <v>1500</v>
      </c>
      <c r="H19" s="153">
        <f t="shared" si="1"/>
        <v>150000</v>
      </c>
      <c r="I19" s="160">
        <v>6.0</v>
      </c>
    </row>
    <row r="20" ht="15.75" customHeight="1">
      <c r="D20" s="57" t="s">
        <v>201</v>
      </c>
      <c r="E20" s="30" t="s">
        <v>202</v>
      </c>
      <c r="F20" s="30">
        <v>3.0</v>
      </c>
      <c r="G20" s="153">
        <v>20000.0</v>
      </c>
      <c r="H20" s="153">
        <f t="shared" si="1"/>
        <v>60000</v>
      </c>
      <c r="I20" s="160">
        <v>5.0</v>
      </c>
    </row>
    <row r="21" ht="15.75" customHeight="1">
      <c r="D21" s="57" t="s">
        <v>199</v>
      </c>
      <c r="E21" s="30" t="s">
        <v>203</v>
      </c>
      <c r="F21" s="30">
        <v>2.0</v>
      </c>
      <c r="G21" s="153">
        <v>15000.0</v>
      </c>
      <c r="H21" s="153">
        <f t="shared" si="1"/>
        <v>30000</v>
      </c>
      <c r="I21" s="160">
        <v>5.0</v>
      </c>
    </row>
    <row r="22" ht="15.75" customHeight="1">
      <c r="D22" s="57" t="s">
        <v>204</v>
      </c>
      <c r="E22" s="30" t="s">
        <v>205</v>
      </c>
      <c r="F22" s="30">
        <v>4.0</v>
      </c>
      <c r="G22" s="153">
        <v>15000.0</v>
      </c>
      <c r="H22" s="153">
        <f t="shared" si="1"/>
        <v>60000</v>
      </c>
      <c r="I22" s="160">
        <v>1.0</v>
      </c>
    </row>
    <row r="23" ht="15.75" customHeight="1">
      <c r="D23" s="57" t="s">
        <v>195</v>
      </c>
      <c r="E23" s="30" t="s">
        <v>206</v>
      </c>
      <c r="F23" s="30">
        <v>2.0</v>
      </c>
      <c r="G23" s="153">
        <v>30000.0</v>
      </c>
      <c r="H23" s="153">
        <f t="shared" si="1"/>
        <v>60000</v>
      </c>
      <c r="I23" s="160">
        <v>1.0</v>
      </c>
    </row>
    <row r="24" ht="15.75" customHeight="1">
      <c r="D24" s="57" t="s">
        <v>207</v>
      </c>
      <c r="E24" s="30" t="s">
        <v>208</v>
      </c>
      <c r="F24" s="30">
        <v>2.0</v>
      </c>
      <c r="G24" s="153">
        <f t="shared" ref="G24:G25" si="2">50 * 30</f>
        <v>1500</v>
      </c>
      <c r="H24" s="153">
        <f t="shared" si="1"/>
        <v>3000</v>
      </c>
      <c r="I24" s="160">
        <v>1.0</v>
      </c>
    </row>
    <row r="25" ht="15.75" customHeight="1">
      <c r="D25" s="85" t="s">
        <v>207</v>
      </c>
      <c r="E25" s="48" t="s">
        <v>209</v>
      </c>
      <c r="F25" s="48">
        <v>6.0</v>
      </c>
      <c r="G25" s="161">
        <f t="shared" si="2"/>
        <v>1500</v>
      </c>
      <c r="H25" s="161">
        <f t="shared" si="1"/>
        <v>9000</v>
      </c>
      <c r="I25" s="162">
        <v>1.0</v>
      </c>
    </row>
    <row r="26" ht="15.75" customHeight="1"/>
    <row r="27" ht="15.75" customHeight="1">
      <c r="D27" s="130" t="s">
        <v>150</v>
      </c>
      <c r="E27" s="131">
        <v>1.0</v>
      </c>
      <c r="F27" s="131">
        <v>2.0</v>
      </c>
      <c r="G27" s="131">
        <v>3.0</v>
      </c>
      <c r="H27" s="131">
        <v>4.0</v>
      </c>
      <c r="I27" s="132">
        <v>5.0</v>
      </c>
    </row>
    <row r="28" ht="1.5" customHeight="1">
      <c r="D28" s="133"/>
      <c r="E28" s="134"/>
      <c r="F28" s="134"/>
      <c r="G28" s="134"/>
      <c r="H28" s="134"/>
      <c r="I28" s="135"/>
    </row>
    <row r="29" ht="1.5" customHeight="1">
      <c r="D29" s="136"/>
      <c r="E29" s="137"/>
      <c r="F29" s="137"/>
      <c r="G29" s="137"/>
      <c r="H29" s="137"/>
      <c r="I29" s="138"/>
    </row>
    <row r="30" ht="15.75" customHeight="1">
      <c r="D30" s="29" t="s">
        <v>157</v>
      </c>
      <c r="I30" s="31"/>
    </row>
    <row r="31" ht="15.75" customHeight="1">
      <c r="D31" s="47" t="s">
        <v>210</v>
      </c>
      <c r="E31" s="48">
        <f>1</f>
        <v>1</v>
      </c>
      <c r="F31" s="48">
        <f>E31 * (1 + ASSUMPTIONS!$H$39)</f>
        <v>1.08</v>
      </c>
      <c r="G31" s="48">
        <f>F31 * (1 + ASSUMPTIONS!$H$39)</f>
        <v>1.1664</v>
      </c>
      <c r="H31" s="48">
        <f>G31 * (1 + ASSUMPTIONS!$H$39)</f>
        <v>1.259712</v>
      </c>
      <c r="I31" s="144">
        <f>H31 * (1 + ASSUMPTIONS!$H$39)</f>
        <v>1.36048896</v>
      </c>
    </row>
    <row r="32" ht="15.75" customHeight="1"/>
    <row r="33" ht="15.75" customHeight="1">
      <c r="D33" s="163" t="s">
        <v>152</v>
      </c>
      <c r="E33" s="164">
        <v>1.0</v>
      </c>
      <c r="F33" s="164">
        <f t="shared" ref="F33:BL33" si="3">E33+1</f>
        <v>2</v>
      </c>
      <c r="G33" s="164">
        <f t="shared" si="3"/>
        <v>3</v>
      </c>
      <c r="H33" s="164">
        <f t="shared" si="3"/>
        <v>4</v>
      </c>
      <c r="I33" s="164">
        <f t="shared" si="3"/>
        <v>5</v>
      </c>
      <c r="J33" s="164">
        <f t="shared" si="3"/>
        <v>6</v>
      </c>
      <c r="K33" s="164">
        <f t="shared" si="3"/>
        <v>7</v>
      </c>
      <c r="L33" s="164">
        <f t="shared" si="3"/>
        <v>8</v>
      </c>
      <c r="M33" s="164">
        <f t="shared" si="3"/>
        <v>9</v>
      </c>
      <c r="N33" s="164">
        <f t="shared" si="3"/>
        <v>10</v>
      </c>
      <c r="O33" s="164">
        <f t="shared" si="3"/>
        <v>11</v>
      </c>
      <c r="P33" s="164">
        <f t="shared" si="3"/>
        <v>12</v>
      </c>
      <c r="Q33" s="164">
        <f t="shared" si="3"/>
        <v>13</v>
      </c>
      <c r="R33" s="164">
        <f t="shared" si="3"/>
        <v>14</v>
      </c>
      <c r="S33" s="164">
        <f t="shared" si="3"/>
        <v>15</v>
      </c>
      <c r="T33" s="164">
        <f t="shared" si="3"/>
        <v>16</v>
      </c>
      <c r="U33" s="164">
        <f t="shared" si="3"/>
        <v>17</v>
      </c>
      <c r="V33" s="164">
        <f t="shared" si="3"/>
        <v>18</v>
      </c>
      <c r="W33" s="164">
        <f t="shared" si="3"/>
        <v>19</v>
      </c>
      <c r="X33" s="164">
        <f t="shared" si="3"/>
        <v>20</v>
      </c>
      <c r="Y33" s="164">
        <f t="shared" si="3"/>
        <v>21</v>
      </c>
      <c r="Z33" s="164">
        <f t="shared" si="3"/>
        <v>22</v>
      </c>
      <c r="AA33" s="164">
        <f t="shared" si="3"/>
        <v>23</v>
      </c>
      <c r="AB33" s="164">
        <f t="shared" si="3"/>
        <v>24</v>
      </c>
      <c r="AC33" s="164">
        <f t="shared" si="3"/>
        <v>25</v>
      </c>
      <c r="AD33" s="164">
        <f t="shared" si="3"/>
        <v>26</v>
      </c>
      <c r="AE33" s="164">
        <f t="shared" si="3"/>
        <v>27</v>
      </c>
      <c r="AF33" s="164">
        <f t="shared" si="3"/>
        <v>28</v>
      </c>
      <c r="AG33" s="164">
        <f t="shared" si="3"/>
        <v>29</v>
      </c>
      <c r="AH33" s="164">
        <f t="shared" si="3"/>
        <v>30</v>
      </c>
      <c r="AI33" s="164">
        <f t="shared" si="3"/>
        <v>31</v>
      </c>
      <c r="AJ33" s="164">
        <f t="shared" si="3"/>
        <v>32</v>
      </c>
      <c r="AK33" s="164">
        <f t="shared" si="3"/>
        <v>33</v>
      </c>
      <c r="AL33" s="164">
        <f t="shared" si="3"/>
        <v>34</v>
      </c>
      <c r="AM33" s="164">
        <f t="shared" si="3"/>
        <v>35</v>
      </c>
      <c r="AN33" s="164">
        <f t="shared" si="3"/>
        <v>36</v>
      </c>
      <c r="AO33" s="164">
        <f t="shared" si="3"/>
        <v>37</v>
      </c>
      <c r="AP33" s="164">
        <f t="shared" si="3"/>
        <v>38</v>
      </c>
      <c r="AQ33" s="164">
        <f t="shared" si="3"/>
        <v>39</v>
      </c>
      <c r="AR33" s="164">
        <f t="shared" si="3"/>
        <v>40</v>
      </c>
      <c r="AS33" s="164">
        <f t="shared" si="3"/>
        <v>41</v>
      </c>
      <c r="AT33" s="164">
        <f t="shared" si="3"/>
        <v>42</v>
      </c>
      <c r="AU33" s="164">
        <f t="shared" si="3"/>
        <v>43</v>
      </c>
      <c r="AV33" s="164">
        <f t="shared" si="3"/>
        <v>44</v>
      </c>
      <c r="AW33" s="164">
        <f t="shared" si="3"/>
        <v>45</v>
      </c>
      <c r="AX33" s="164">
        <f t="shared" si="3"/>
        <v>46</v>
      </c>
      <c r="AY33" s="164">
        <f t="shared" si="3"/>
        <v>47</v>
      </c>
      <c r="AZ33" s="164">
        <f t="shared" si="3"/>
        <v>48</v>
      </c>
      <c r="BA33" s="164">
        <f t="shared" si="3"/>
        <v>49</v>
      </c>
      <c r="BB33" s="164">
        <f t="shared" si="3"/>
        <v>50</v>
      </c>
      <c r="BC33" s="164">
        <f t="shared" si="3"/>
        <v>51</v>
      </c>
      <c r="BD33" s="164">
        <f t="shared" si="3"/>
        <v>52</v>
      </c>
      <c r="BE33" s="164">
        <f t="shared" si="3"/>
        <v>53</v>
      </c>
      <c r="BF33" s="164">
        <f t="shared" si="3"/>
        <v>54</v>
      </c>
      <c r="BG33" s="164">
        <f t="shared" si="3"/>
        <v>55</v>
      </c>
      <c r="BH33" s="164">
        <f t="shared" si="3"/>
        <v>56</v>
      </c>
      <c r="BI33" s="164">
        <f t="shared" si="3"/>
        <v>57</v>
      </c>
      <c r="BJ33" s="164">
        <f t="shared" si="3"/>
        <v>58</v>
      </c>
      <c r="BK33" s="164">
        <f t="shared" si="3"/>
        <v>59</v>
      </c>
      <c r="BL33" s="165">
        <f t="shared" si="3"/>
        <v>60</v>
      </c>
    </row>
    <row r="34" ht="1.5" customHeight="1">
      <c r="D34" s="166"/>
      <c r="E34" s="21"/>
      <c r="F34" s="21"/>
      <c r="G34" s="21"/>
      <c r="H34" s="21"/>
      <c r="I34" s="21"/>
      <c r="J34" s="21"/>
      <c r="K34" s="21"/>
      <c r="L34" s="21"/>
      <c r="M34" s="167"/>
      <c r="N34" s="167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167"/>
      <c r="BK34" s="167"/>
      <c r="BL34" s="168"/>
    </row>
    <row r="35" ht="1.5" customHeight="1">
      <c r="D35" s="166"/>
      <c r="E35" s="27"/>
      <c r="F35" s="27"/>
      <c r="G35" s="27"/>
      <c r="H35" s="27"/>
      <c r="I35" s="27"/>
      <c r="J35" s="27"/>
      <c r="K35" s="27"/>
      <c r="L35" s="27"/>
      <c r="M35" s="169"/>
      <c r="N35" s="169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169"/>
      <c r="BK35" s="169"/>
      <c r="BL35" s="170"/>
    </row>
    <row r="36" ht="15.75" customHeight="1">
      <c r="D36" s="166"/>
      <c r="E36" s="171">
        <f t="shared" ref="E36:BL36" si="4">INT((E33 - 1) / 12) +1</f>
        <v>1</v>
      </c>
      <c r="F36" s="171">
        <f t="shared" si="4"/>
        <v>1</v>
      </c>
      <c r="G36" s="171">
        <f t="shared" si="4"/>
        <v>1</v>
      </c>
      <c r="H36" s="171">
        <f t="shared" si="4"/>
        <v>1</v>
      </c>
      <c r="I36" s="171">
        <f t="shared" si="4"/>
        <v>1</v>
      </c>
      <c r="J36" s="171">
        <f t="shared" si="4"/>
        <v>1</v>
      </c>
      <c r="K36" s="171">
        <f t="shared" si="4"/>
        <v>1</v>
      </c>
      <c r="L36" s="171">
        <f t="shared" si="4"/>
        <v>1</v>
      </c>
      <c r="M36" s="171">
        <f t="shared" si="4"/>
        <v>1</v>
      </c>
      <c r="N36" s="171">
        <f t="shared" si="4"/>
        <v>1</v>
      </c>
      <c r="O36" s="171">
        <f t="shared" si="4"/>
        <v>1</v>
      </c>
      <c r="P36" s="171">
        <f t="shared" si="4"/>
        <v>1</v>
      </c>
      <c r="Q36" s="171">
        <f t="shared" si="4"/>
        <v>2</v>
      </c>
      <c r="R36" s="171">
        <f t="shared" si="4"/>
        <v>2</v>
      </c>
      <c r="S36" s="171">
        <f t="shared" si="4"/>
        <v>2</v>
      </c>
      <c r="T36" s="171">
        <f t="shared" si="4"/>
        <v>2</v>
      </c>
      <c r="U36" s="171">
        <f t="shared" si="4"/>
        <v>2</v>
      </c>
      <c r="V36" s="171">
        <f t="shared" si="4"/>
        <v>2</v>
      </c>
      <c r="W36" s="171">
        <f t="shared" si="4"/>
        <v>2</v>
      </c>
      <c r="X36" s="171">
        <f t="shared" si="4"/>
        <v>2</v>
      </c>
      <c r="Y36" s="171">
        <f t="shared" si="4"/>
        <v>2</v>
      </c>
      <c r="Z36" s="171">
        <f t="shared" si="4"/>
        <v>2</v>
      </c>
      <c r="AA36" s="171">
        <f t="shared" si="4"/>
        <v>2</v>
      </c>
      <c r="AB36" s="171">
        <f t="shared" si="4"/>
        <v>2</v>
      </c>
      <c r="AC36" s="171">
        <f t="shared" si="4"/>
        <v>3</v>
      </c>
      <c r="AD36" s="171">
        <f t="shared" si="4"/>
        <v>3</v>
      </c>
      <c r="AE36" s="171">
        <f t="shared" si="4"/>
        <v>3</v>
      </c>
      <c r="AF36" s="171">
        <f t="shared" si="4"/>
        <v>3</v>
      </c>
      <c r="AG36" s="171">
        <f t="shared" si="4"/>
        <v>3</v>
      </c>
      <c r="AH36" s="171">
        <f t="shared" si="4"/>
        <v>3</v>
      </c>
      <c r="AI36" s="171">
        <f t="shared" si="4"/>
        <v>3</v>
      </c>
      <c r="AJ36" s="171">
        <f t="shared" si="4"/>
        <v>3</v>
      </c>
      <c r="AK36" s="171">
        <f t="shared" si="4"/>
        <v>3</v>
      </c>
      <c r="AL36" s="171">
        <f t="shared" si="4"/>
        <v>3</v>
      </c>
      <c r="AM36" s="171">
        <f t="shared" si="4"/>
        <v>3</v>
      </c>
      <c r="AN36" s="171">
        <f t="shared" si="4"/>
        <v>3</v>
      </c>
      <c r="AO36" s="171">
        <f t="shared" si="4"/>
        <v>4</v>
      </c>
      <c r="AP36" s="171">
        <f t="shared" si="4"/>
        <v>4</v>
      </c>
      <c r="AQ36" s="171">
        <f t="shared" si="4"/>
        <v>4</v>
      </c>
      <c r="AR36" s="171">
        <f t="shared" si="4"/>
        <v>4</v>
      </c>
      <c r="AS36" s="171">
        <f t="shared" si="4"/>
        <v>4</v>
      </c>
      <c r="AT36" s="171">
        <f t="shared" si="4"/>
        <v>4</v>
      </c>
      <c r="AU36" s="171">
        <f t="shared" si="4"/>
        <v>4</v>
      </c>
      <c r="AV36" s="171">
        <f t="shared" si="4"/>
        <v>4</v>
      </c>
      <c r="AW36" s="171">
        <f t="shared" si="4"/>
        <v>4</v>
      </c>
      <c r="AX36" s="171">
        <f t="shared" si="4"/>
        <v>4</v>
      </c>
      <c r="AY36" s="171">
        <f t="shared" si="4"/>
        <v>4</v>
      </c>
      <c r="AZ36" s="171">
        <f t="shared" si="4"/>
        <v>4</v>
      </c>
      <c r="BA36" s="171">
        <f t="shared" si="4"/>
        <v>5</v>
      </c>
      <c r="BB36" s="171">
        <f t="shared" si="4"/>
        <v>5</v>
      </c>
      <c r="BC36" s="171">
        <f t="shared" si="4"/>
        <v>5</v>
      </c>
      <c r="BD36" s="171">
        <f t="shared" si="4"/>
        <v>5</v>
      </c>
      <c r="BE36" s="171">
        <f t="shared" si="4"/>
        <v>5</v>
      </c>
      <c r="BF36" s="171">
        <f t="shared" si="4"/>
        <v>5</v>
      </c>
      <c r="BG36" s="171">
        <f t="shared" si="4"/>
        <v>5</v>
      </c>
      <c r="BH36" s="171">
        <f t="shared" si="4"/>
        <v>5</v>
      </c>
      <c r="BI36" s="171">
        <f t="shared" si="4"/>
        <v>5</v>
      </c>
      <c r="BJ36" s="171">
        <f t="shared" si="4"/>
        <v>5</v>
      </c>
      <c r="BK36" s="171">
        <f t="shared" si="4"/>
        <v>5</v>
      </c>
      <c r="BL36" s="172">
        <f t="shared" si="4"/>
        <v>5</v>
      </c>
    </row>
    <row r="37" ht="1.5" customHeight="1"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2"/>
    </row>
    <row r="38" ht="15.75" customHeight="1">
      <c r="D38" s="124" t="str">
        <f>'MILK FLOW ENGINE'!D8</f>
        <v>Own Livestock (units)</v>
      </c>
      <c r="E38" s="64">
        <f>'MILK FLOW ENGINE'!E8</f>
        <v>0</v>
      </c>
      <c r="F38" s="64">
        <f>'MILK FLOW ENGINE'!F8</f>
        <v>0</v>
      </c>
      <c r="G38" s="64">
        <f>'MILK FLOW ENGINE'!G8</f>
        <v>0</v>
      </c>
      <c r="H38" s="64">
        <f>'MILK FLOW ENGINE'!H8</f>
        <v>0</v>
      </c>
      <c r="I38" s="64">
        <f>'MILK FLOW ENGINE'!I8</f>
        <v>50</v>
      </c>
      <c r="J38" s="64">
        <f>'MILK FLOW ENGINE'!J8</f>
        <v>100</v>
      </c>
      <c r="K38" s="64">
        <f>'MILK FLOW ENGINE'!K8</f>
        <v>150</v>
      </c>
      <c r="L38" s="64">
        <f>'MILK FLOW ENGINE'!L8</f>
        <v>200</v>
      </c>
      <c r="M38" s="64">
        <f>'MILK FLOW ENGINE'!M8</f>
        <v>250</v>
      </c>
      <c r="N38" s="64">
        <f>'MILK FLOW ENGINE'!N8</f>
        <v>300</v>
      </c>
      <c r="O38" s="64">
        <f>'MILK FLOW ENGINE'!O8</f>
        <v>350</v>
      </c>
      <c r="P38" s="64">
        <f>'MILK FLOW ENGINE'!P8</f>
        <v>400</v>
      </c>
      <c r="Q38" s="64">
        <f>'MILK FLOW ENGINE'!Q8</f>
        <v>450</v>
      </c>
      <c r="R38" s="64">
        <f>'MILK FLOW ENGINE'!R8</f>
        <v>500</v>
      </c>
      <c r="S38" s="64">
        <f>'MILK FLOW ENGINE'!S8</f>
        <v>550</v>
      </c>
      <c r="T38" s="64">
        <f>'MILK FLOW ENGINE'!T8</f>
        <v>600</v>
      </c>
      <c r="U38" s="64">
        <f>'MILK FLOW ENGINE'!U8</f>
        <v>650</v>
      </c>
      <c r="V38" s="64">
        <f>'MILK FLOW ENGINE'!V8</f>
        <v>700</v>
      </c>
      <c r="W38" s="64">
        <f>'MILK FLOW ENGINE'!W8</f>
        <v>750</v>
      </c>
      <c r="X38" s="64">
        <f>'MILK FLOW ENGINE'!X8</f>
        <v>800</v>
      </c>
      <c r="Y38" s="64">
        <f>'MILK FLOW ENGINE'!Y8</f>
        <v>850</v>
      </c>
      <c r="Z38" s="64">
        <f>'MILK FLOW ENGINE'!Z8</f>
        <v>900</v>
      </c>
      <c r="AA38" s="64">
        <f>'MILK FLOW ENGINE'!AA8</f>
        <v>950</v>
      </c>
      <c r="AB38" s="64">
        <f>'MILK FLOW ENGINE'!AB8</f>
        <v>1000</v>
      </c>
      <c r="AC38" s="64">
        <f>'MILK FLOW ENGINE'!AC8</f>
        <v>1050</v>
      </c>
      <c r="AD38" s="64">
        <f>'MILK FLOW ENGINE'!AD8</f>
        <v>1100</v>
      </c>
      <c r="AE38" s="64">
        <f>'MILK FLOW ENGINE'!AE8</f>
        <v>1150</v>
      </c>
      <c r="AF38" s="64">
        <f>'MILK FLOW ENGINE'!AF8</f>
        <v>1200</v>
      </c>
      <c r="AG38" s="64">
        <f>'MILK FLOW ENGINE'!AG8</f>
        <v>1250</v>
      </c>
      <c r="AH38" s="64">
        <f>'MILK FLOW ENGINE'!AH8</f>
        <v>1300</v>
      </c>
      <c r="AI38" s="64">
        <f>'MILK FLOW ENGINE'!AI8</f>
        <v>1350</v>
      </c>
      <c r="AJ38" s="64">
        <f>'MILK FLOW ENGINE'!AJ8</f>
        <v>1400</v>
      </c>
      <c r="AK38" s="64">
        <f>'MILK FLOW ENGINE'!AK8</f>
        <v>1450</v>
      </c>
      <c r="AL38" s="64">
        <f>'MILK FLOW ENGINE'!AL8</f>
        <v>1500</v>
      </c>
      <c r="AM38" s="64">
        <f>'MILK FLOW ENGINE'!AM8</f>
        <v>1550</v>
      </c>
      <c r="AN38" s="64">
        <f>'MILK FLOW ENGINE'!AN8</f>
        <v>1600</v>
      </c>
      <c r="AO38" s="64">
        <f>'MILK FLOW ENGINE'!AO8</f>
        <v>1750</v>
      </c>
      <c r="AP38" s="64">
        <f>'MILK FLOW ENGINE'!AP8</f>
        <v>1900</v>
      </c>
      <c r="AQ38" s="64">
        <f>'MILK FLOW ENGINE'!AQ8</f>
        <v>2050</v>
      </c>
      <c r="AR38" s="64">
        <f>'MILK FLOW ENGINE'!AR8</f>
        <v>2200</v>
      </c>
      <c r="AS38" s="64">
        <f>'MILK FLOW ENGINE'!AS8</f>
        <v>2350</v>
      </c>
      <c r="AT38" s="64">
        <f>'MILK FLOW ENGINE'!AT8</f>
        <v>2500</v>
      </c>
      <c r="AU38" s="64">
        <f>'MILK FLOW ENGINE'!AU8</f>
        <v>2650</v>
      </c>
      <c r="AV38" s="64">
        <f>'MILK FLOW ENGINE'!AV8</f>
        <v>2800</v>
      </c>
      <c r="AW38" s="64">
        <f>'MILK FLOW ENGINE'!AW8</f>
        <v>2800</v>
      </c>
      <c r="AX38" s="64">
        <f>'MILK FLOW ENGINE'!AX8</f>
        <v>2800</v>
      </c>
      <c r="AY38" s="64">
        <f>'MILK FLOW ENGINE'!AY8</f>
        <v>2800</v>
      </c>
      <c r="AZ38" s="64">
        <f>'MILK FLOW ENGINE'!AZ8</f>
        <v>2800</v>
      </c>
      <c r="BA38" s="64">
        <f>'MILK FLOW ENGINE'!BA8</f>
        <v>2800</v>
      </c>
      <c r="BB38" s="64">
        <f>'MILK FLOW ENGINE'!BB8</f>
        <v>2800</v>
      </c>
      <c r="BC38" s="64">
        <f>'MILK FLOW ENGINE'!BC8</f>
        <v>2800</v>
      </c>
      <c r="BD38" s="64">
        <f>'MILK FLOW ENGINE'!BD8</f>
        <v>2800</v>
      </c>
      <c r="BE38" s="64">
        <f>'MILK FLOW ENGINE'!BE8</f>
        <v>2800</v>
      </c>
      <c r="BF38" s="64">
        <f>'MILK FLOW ENGINE'!BF8</f>
        <v>2800</v>
      </c>
      <c r="BG38" s="64">
        <f>'MILK FLOW ENGINE'!BG8</f>
        <v>2800</v>
      </c>
      <c r="BH38" s="64">
        <f>'MILK FLOW ENGINE'!BH8</f>
        <v>2800</v>
      </c>
      <c r="BI38" s="64">
        <f>'MILK FLOW ENGINE'!BI8</f>
        <v>2800</v>
      </c>
      <c r="BJ38" s="64">
        <f>'MILK FLOW ENGINE'!BJ8</f>
        <v>2800</v>
      </c>
      <c r="BK38" s="64">
        <f>'MILK FLOW ENGINE'!BK8</f>
        <v>2800</v>
      </c>
      <c r="BL38" s="65">
        <f>'MILK FLOW ENGINE'!BL8</f>
        <v>2800</v>
      </c>
    </row>
    <row r="39" ht="15.75" customHeight="1">
      <c r="D39" s="57" t="str">
        <f>E19</f>
        <v>Unskilled Labour</v>
      </c>
      <c r="E39" s="64">
        <f t="shared" ref="E39:BL39" si="5">ROUNDUP((E38 * 4)/50,0)</f>
        <v>0</v>
      </c>
      <c r="F39" s="64">
        <f t="shared" si="5"/>
        <v>0</v>
      </c>
      <c r="G39" s="64">
        <f t="shared" si="5"/>
        <v>0</v>
      </c>
      <c r="H39" s="64">
        <f t="shared" si="5"/>
        <v>0</v>
      </c>
      <c r="I39" s="64">
        <f t="shared" si="5"/>
        <v>4</v>
      </c>
      <c r="J39" s="64">
        <f t="shared" si="5"/>
        <v>8</v>
      </c>
      <c r="K39" s="64">
        <f t="shared" si="5"/>
        <v>12</v>
      </c>
      <c r="L39" s="64">
        <f t="shared" si="5"/>
        <v>16</v>
      </c>
      <c r="M39" s="64">
        <f t="shared" si="5"/>
        <v>20</v>
      </c>
      <c r="N39" s="64">
        <f t="shared" si="5"/>
        <v>24</v>
      </c>
      <c r="O39" s="64">
        <f t="shared" si="5"/>
        <v>28</v>
      </c>
      <c r="P39" s="64">
        <f t="shared" si="5"/>
        <v>32</v>
      </c>
      <c r="Q39" s="64">
        <f t="shared" si="5"/>
        <v>36</v>
      </c>
      <c r="R39" s="64">
        <f t="shared" si="5"/>
        <v>40</v>
      </c>
      <c r="S39" s="64">
        <f t="shared" si="5"/>
        <v>44</v>
      </c>
      <c r="T39" s="64">
        <f t="shared" si="5"/>
        <v>48</v>
      </c>
      <c r="U39" s="64">
        <f t="shared" si="5"/>
        <v>52</v>
      </c>
      <c r="V39" s="64">
        <f t="shared" si="5"/>
        <v>56</v>
      </c>
      <c r="W39" s="64">
        <f t="shared" si="5"/>
        <v>60</v>
      </c>
      <c r="X39" s="64">
        <f t="shared" si="5"/>
        <v>64</v>
      </c>
      <c r="Y39" s="64">
        <f t="shared" si="5"/>
        <v>68</v>
      </c>
      <c r="Z39" s="64">
        <f t="shared" si="5"/>
        <v>72</v>
      </c>
      <c r="AA39" s="64">
        <f t="shared" si="5"/>
        <v>76</v>
      </c>
      <c r="AB39" s="64">
        <f t="shared" si="5"/>
        <v>80</v>
      </c>
      <c r="AC39" s="64">
        <f t="shared" si="5"/>
        <v>84</v>
      </c>
      <c r="AD39" s="64">
        <f t="shared" si="5"/>
        <v>88</v>
      </c>
      <c r="AE39" s="64">
        <f t="shared" si="5"/>
        <v>92</v>
      </c>
      <c r="AF39" s="64">
        <f t="shared" si="5"/>
        <v>96</v>
      </c>
      <c r="AG39" s="64">
        <f t="shared" si="5"/>
        <v>100</v>
      </c>
      <c r="AH39" s="64">
        <f t="shared" si="5"/>
        <v>104</v>
      </c>
      <c r="AI39" s="64">
        <f t="shared" si="5"/>
        <v>108</v>
      </c>
      <c r="AJ39" s="64">
        <f t="shared" si="5"/>
        <v>112</v>
      </c>
      <c r="AK39" s="64">
        <f t="shared" si="5"/>
        <v>116</v>
      </c>
      <c r="AL39" s="64">
        <f t="shared" si="5"/>
        <v>120</v>
      </c>
      <c r="AM39" s="64">
        <f t="shared" si="5"/>
        <v>124</v>
      </c>
      <c r="AN39" s="64">
        <f t="shared" si="5"/>
        <v>128</v>
      </c>
      <c r="AO39" s="64">
        <f t="shared" si="5"/>
        <v>140</v>
      </c>
      <c r="AP39" s="64">
        <f t="shared" si="5"/>
        <v>152</v>
      </c>
      <c r="AQ39" s="64">
        <f t="shared" si="5"/>
        <v>164</v>
      </c>
      <c r="AR39" s="64">
        <f t="shared" si="5"/>
        <v>176</v>
      </c>
      <c r="AS39" s="64">
        <f t="shared" si="5"/>
        <v>188</v>
      </c>
      <c r="AT39" s="64">
        <f t="shared" si="5"/>
        <v>200</v>
      </c>
      <c r="AU39" s="64">
        <f t="shared" si="5"/>
        <v>212</v>
      </c>
      <c r="AV39" s="64">
        <f t="shared" si="5"/>
        <v>224</v>
      </c>
      <c r="AW39" s="64">
        <f t="shared" si="5"/>
        <v>224</v>
      </c>
      <c r="AX39" s="64">
        <f t="shared" si="5"/>
        <v>224</v>
      </c>
      <c r="AY39" s="64">
        <f t="shared" si="5"/>
        <v>224</v>
      </c>
      <c r="AZ39" s="64">
        <f t="shared" si="5"/>
        <v>224</v>
      </c>
      <c r="BA39" s="64">
        <f t="shared" si="5"/>
        <v>224</v>
      </c>
      <c r="BB39" s="64">
        <f t="shared" si="5"/>
        <v>224</v>
      </c>
      <c r="BC39" s="64">
        <f t="shared" si="5"/>
        <v>224</v>
      </c>
      <c r="BD39" s="64">
        <f t="shared" si="5"/>
        <v>224</v>
      </c>
      <c r="BE39" s="64">
        <f t="shared" si="5"/>
        <v>224</v>
      </c>
      <c r="BF39" s="64">
        <f t="shared" si="5"/>
        <v>224</v>
      </c>
      <c r="BG39" s="64">
        <f t="shared" si="5"/>
        <v>224</v>
      </c>
      <c r="BH39" s="64">
        <f t="shared" si="5"/>
        <v>224</v>
      </c>
      <c r="BI39" s="64">
        <f t="shared" si="5"/>
        <v>224</v>
      </c>
      <c r="BJ39" s="64">
        <f t="shared" si="5"/>
        <v>224</v>
      </c>
      <c r="BK39" s="64">
        <f t="shared" si="5"/>
        <v>224</v>
      </c>
      <c r="BL39" s="65">
        <f t="shared" si="5"/>
        <v>224</v>
      </c>
    </row>
    <row r="40" ht="15.75" customHeight="1">
      <c r="D40" s="57" t="str">
        <f>E25</f>
        <v>Skilled Farm Supervisor</v>
      </c>
      <c r="E40" s="173">
        <f t="shared" ref="E40:BL40" si="6">ROUNDUP((E38 * 2)/50,0)</f>
        <v>0</v>
      </c>
      <c r="F40" s="173">
        <f t="shared" si="6"/>
        <v>0</v>
      </c>
      <c r="G40" s="173">
        <f t="shared" si="6"/>
        <v>0</v>
      </c>
      <c r="H40" s="173">
        <f t="shared" si="6"/>
        <v>0</v>
      </c>
      <c r="I40" s="173">
        <f t="shared" si="6"/>
        <v>2</v>
      </c>
      <c r="J40" s="173">
        <f t="shared" si="6"/>
        <v>4</v>
      </c>
      <c r="K40" s="173">
        <f t="shared" si="6"/>
        <v>6</v>
      </c>
      <c r="L40" s="173">
        <f t="shared" si="6"/>
        <v>8</v>
      </c>
      <c r="M40" s="173">
        <f t="shared" si="6"/>
        <v>10</v>
      </c>
      <c r="N40" s="173">
        <f t="shared" si="6"/>
        <v>12</v>
      </c>
      <c r="O40" s="173">
        <f t="shared" si="6"/>
        <v>14</v>
      </c>
      <c r="P40" s="173">
        <f t="shared" si="6"/>
        <v>16</v>
      </c>
      <c r="Q40" s="173">
        <f t="shared" si="6"/>
        <v>18</v>
      </c>
      <c r="R40" s="173">
        <f t="shared" si="6"/>
        <v>20</v>
      </c>
      <c r="S40" s="173">
        <f t="shared" si="6"/>
        <v>22</v>
      </c>
      <c r="T40" s="173">
        <f t="shared" si="6"/>
        <v>24</v>
      </c>
      <c r="U40" s="173">
        <f t="shared" si="6"/>
        <v>26</v>
      </c>
      <c r="V40" s="173">
        <f t="shared" si="6"/>
        <v>28</v>
      </c>
      <c r="W40" s="173">
        <f t="shared" si="6"/>
        <v>30</v>
      </c>
      <c r="X40" s="173">
        <f t="shared" si="6"/>
        <v>32</v>
      </c>
      <c r="Y40" s="173">
        <f t="shared" si="6"/>
        <v>34</v>
      </c>
      <c r="Z40" s="173">
        <f t="shared" si="6"/>
        <v>36</v>
      </c>
      <c r="AA40" s="173">
        <f t="shared" si="6"/>
        <v>38</v>
      </c>
      <c r="AB40" s="173">
        <f t="shared" si="6"/>
        <v>40</v>
      </c>
      <c r="AC40" s="173">
        <f t="shared" si="6"/>
        <v>42</v>
      </c>
      <c r="AD40" s="173">
        <f t="shared" si="6"/>
        <v>44</v>
      </c>
      <c r="AE40" s="173">
        <f t="shared" si="6"/>
        <v>46</v>
      </c>
      <c r="AF40" s="173">
        <f t="shared" si="6"/>
        <v>48</v>
      </c>
      <c r="AG40" s="173">
        <f t="shared" si="6"/>
        <v>50</v>
      </c>
      <c r="AH40" s="173">
        <f t="shared" si="6"/>
        <v>52</v>
      </c>
      <c r="AI40" s="173">
        <f t="shared" si="6"/>
        <v>54</v>
      </c>
      <c r="AJ40" s="173">
        <f t="shared" si="6"/>
        <v>56</v>
      </c>
      <c r="AK40" s="173">
        <f t="shared" si="6"/>
        <v>58</v>
      </c>
      <c r="AL40" s="173">
        <f t="shared" si="6"/>
        <v>60</v>
      </c>
      <c r="AM40" s="173">
        <f t="shared" si="6"/>
        <v>62</v>
      </c>
      <c r="AN40" s="173">
        <f t="shared" si="6"/>
        <v>64</v>
      </c>
      <c r="AO40" s="173">
        <f t="shared" si="6"/>
        <v>70</v>
      </c>
      <c r="AP40" s="173">
        <f t="shared" si="6"/>
        <v>76</v>
      </c>
      <c r="AQ40" s="173">
        <f t="shared" si="6"/>
        <v>82</v>
      </c>
      <c r="AR40" s="173">
        <f t="shared" si="6"/>
        <v>88</v>
      </c>
      <c r="AS40" s="173">
        <f t="shared" si="6"/>
        <v>94</v>
      </c>
      <c r="AT40" s="173">
        <f t="shared" si="6"/>
        <v>100</v>
      </c>
      <c r="AU40" s="173">
        <f t="shared" si="6"/>
        <v>106</v>
      </c>
      <c r="AV40" s="173">
        <f t="shared" si="6"/>
        <v>112</v>
      </c>
      <c r="AW40" s="173">
        <f t="shared" si="6"/>
        <v>112</v>
      </c>
      <c r="AX40" s="173">
        <f t="shared" si="6"/>
        <v>112</v>
      </c>
      <c r="AY40" s="173">
        <f t="shared" si="6"/>
        <v>112</v>
      </c>
      <c r="AZ40" s="173">
        <f t="shared" si="6"/>
        <v>112</v>
      </c>
      <c r="BA40" s="173">
        <f t="shared" si="6"/>
        <v>112</v>
      </c>
      <c r="BB40" s="173">
        <f t="shared" si="6"/>
        <v>112</v>
      </c>
      <c r="BC40" s="173">
        <f t="shared" si="6"/>
        <v>112</v>
      </c>
      <c r="BD40" s="173">
        <f t="shared" si="6"/>
        <v>112</v>
      </c>
      <c r="BE40" s="173">
        <f t="shared" si="6"/>
        <v>112</v>
      </c>
      <c r="BF40" s="173">
        <f t="shared" si="6"/>
        <v>112</v>
      </c>
      <c r="BG40" s="173">
        <f t="shared" si="6"/>
        <v>112</v>
      </c>
      <c r="BH40" s="173">
        <f t="shared" si="6"/>
        <v>112</v>
      </c>
      <c r="BI40" s="173">
        <f t="shared" si="6"/>
        <v>112</v>
      </c>
      <c r="BJ40" s="173">
        <f t="shared" si="6"/>
        <v>112</v>
      </c>
      <c r="BK40" s="173">
        <f t="shared" si="6"/>
        <v>112</v>
      </c>
      <c r="BL40" s="174">
        <f t="shared" si="6"/>
        <v>112</v>
      </c>
    </row>
    <row r="41" ht="15.75" customHeight="1">
      <c r="D41" s="29" t="s">
        <v>211</v>
      </c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40"/>
    </row>
    <row r="42" ht="15.75" customHeight="1">
      <c r="D42" s="57" t="str">
        <f>E8</f>
        <v>Lease</v>
      </c>
      <c r="E42" s="153">
        <f t="array" ref="E42">IFS(AND(E$36=$E$27,E$33&gt;=$I8),$H8*$E$31,
AND(E$36=$F$27,E$33&gt;=$I8),$H8*$F$31,
AND(E$36=$G$27,E$33&gt;=$I8),$H8*$G$31,
AND(E$36=$H$27,E$33&gt;=$I8),$H8*$H$31,
AND(E$36=$I$27,E$33&gt;=$I8),$H8*$I$31,
TRUE, 0
)</f>
        <v>0</v>
      </c>
      <c r="F42" s="153">
        <f t="array" ref="F42">IFS(AND(F$36=$E$27,F$33&gt;=$I8),$H8*$E$31,
AND(F$36=$F$27,F$33&gt;=$I8),$H8*$F$31,
AND(F$36=$G$27,F$33&gt;=$I8),$H8*$G$31,
AND(F$36=$H$27,F$33&gt;=$I8),$H8*$H$31,
AND(F$36=$I$27,F$33&gt;=$I8),$H8*$I$31,
TRUE, 0
)</f>
        <v>0</v>
      </c>
      <c r="G42" s="153">
        <f t="array" ref="G42">IFS(AND(G$36=$E$27,G$33&gt;=$I8),$H8*$E$31,
AND(G$36=$F$27,G$33&gt;=$I8),$H8*$F$31,
AND(G$36=$G$27,G$33&gt;=$I8),$H8*$G$31,
AND(G$36=$H$27,G$33&gt;=$I8),$H8*$H$31,
AND(G$36=$I$27,G$33&gt;=$I8),$H8*$I$31,
TRUE, 0
)</f>
        <v>0</v>
      </c>
      <c r="H42" s="153">
        <f t="array" ref="H42">IFS(AND(H$36=$E$27,H$33&gt;=$I8),$H8*$E$31,
AND(H$36=$F$27,H$33&gt;=$I8),$H8*$F$31,
AND(H$36=$G$27,H$33&gt;=$I8),$H8*$G$31,
AND(H$36=$H$27,H$33&gt;=$I8),$H8*$H$31,
AND(H$36=$I$27,H$33&gt;=$I8),$H8*$I$31,
TRUE, 0
)</f>
        <v>0</v>
      </c>
      <c r="I42" s="153">
        <f t="array" ref="I42">IFS(AND(I$36=$E$27,I$33&gt;=$I8),$H8*$E$31,
AND(I$36=$F$27,I$33&gt;=$I8),$H8*$F$31,
AND(I$36=$G$27,I$33&gt;=$I8),$H8*$G$31,
AND(I$36=$H$27,I$33&gt;=$I8),$H8*$H$31,
AND(I$36=$I$27,I$33&gt;=$I8),$H8*$I$31,
TRUE, 0
)</f>
        <v>0</v>
      </c>
      <c r="J42" s="153">
        <f t="array" ref="J42">IFS(AND(J$36=$E$27,J$33&gt;=$I8),$H8*$E$31,
AND(J$36=$F$27,J$33&gt;=$I8),$H8*$F$31,
AND(J$36=$G$27,J$33&gt;=$I8),$H8*$G$31,
AND(J$36=$H$27,J$33&gt;=$I8),$H8*$H$31,
AND(J$36=$I$27,J$33&gt;=$I8),$H8*$I$31,
TRUE, 0
)</f>
        <v>0</v>
      </c>
      <c r="K42" s="153">
        <f t="array" ref="K42">IFS(AND(K$36=$E$27,K$33&gt;=$I8),$H8*$E$31,
AND(K$36=$F$27,K$33&gt;=$I8),$H8*$F$31,
AND(K$36=$G$27,K$33&gt;=$I8),$H8*$G$31,
AND(K$36=$H$27,K$33&gt;=$I8),$H8*$H$31,
AND(K$36=$I$27,K$33&gt;=$I8),$H8*$I$31,
TRUE, 0
)</f>
        <v>0</v>
      </c>
      <c r="L42" s="153">
        <f t="array" ref="L42">IFS(AND(L$36=$E$27,L$33&gt;=$I8),$H8*$E$31,
AND(L$36=$F$27,L$33&gt;=$I8),$H8*$F$31,
AND(L$36=$G$27,L$33&gt;=$I8),$H8*$G$31,
AND(L$36=$H$27,L$33&gt;=$I8),$H8*$H$31,
AND(L$36=$I$27,L$33&gt;=$I8),$H8*$I$31,
TRUE, 0
)</f>
        <v>0</v>
      </c>
      <c r="M42" s="153">
        <f t="array" ref="M42">IFS(AND(M$36=$E$27,M$33&gt;=$I8),$H8*$E$31,
AND(M$36=$F$27,M$33&gt;=$I8),$H8*$F$31,
AND(M$36=$G$27,M$33&gt;=$I8),$H8*$G$31,
AND(M$36=$H$27,M$33&gt;=$I8),$H8*$H$31,
AND(M$36=$I$27,M$33&gt;=$I8),$H8*$I$31,
TRUE, 0
)</f>
        <v>0</v>
      </c>
      <c r="N42" s="153">
        <f t="array" ref="N42">IFS(AND(N$36=$E$27,N$33&gt;=$I8),$H8*$E$31,
AND(N$36=$F$27,N$33&gt;=$I8),$H8*$F$31,
AND(N$36=$G$27,N$33&gt;=$I8),$H8*$G$31,
AND(N$36=$H$27,N$33&gt;=$I8),$H8*$H$31,
AND(N$36=$I$27,N$33&gt;=$I8),$H8*$I$31,
TRUE, 0
)</f>
        <v>0</v>
      </c>
      <c r="O42" s="153">
        <f t="array" ref="O42">IFS(AND(O$36=$E$27,O$33&gt;=$I8),$H8*$E$31,
AND(O$36=$F$27,O$33&gt;=$I8),$H8*$F$31,
AND(O$36=$G$27,O$33&gt;=$I8),$H8*$G$31,
AND(O$36=$H$27,O$33&gt;=$I8),$H8*$H$31,
AND(O$36=$I$27,O$33&gt;=$I8),$H8*$I$31,
TRUE, 0
)</f>
        <v>0</v>
      </c>
      <c r="P42" s="153">
        <f t="array" ref="P42">IFS(AND(P$36=$E$27,P$33&gt;=$I8),$H8*$E$31,
AND(P$36=$F$27,P$33&gt;=$I8),$H8*$F$31,
AND(P$36=$G$27,P$33&gt;=$I8),$H8*$G$31,
AND(P$36=$H$27,P$33&gt;=$I8),$H8*$H$31,
AND(P$36=$I$27,P$33&gt;=$I8),$H8*$I$31,
TRUE, 0
)</f>
        <v>0</v>
      </c>
      <c r="Q42" s="153">
        <f t="array" ref="Q42">IFS(AND(Q$36=$E$27,Q$33&gt;=$I8),$H8*$E$31,
AND(Q$36=$F$27,Q$33&gt;=$I8),$H8*$F$31,
AND(Q$36=$G$27,Q$33&gt;=$I8),$H8*$G$31,
AND(Q$36=$H$27,Q$33&gt;=$I8),$H8*$H$31,
AND(Q$36=$I$27,Q$33&gt;=$I8),$H8*$I$31,
TRUE, 0
)</f>
        <v>0</v>
      </c>
      <c r="R42" s="153">
        <f t="array" ref="R42">IFS(AND(R$36=$E$27,R$33&gt;=$I8),$H8*$E$31,
AND(R$36=$F$27,R$33&gt;=$I8),$H8*$F$31,
AND(R$36=$G$27,R$33&gt;=$I8),$H8*$G$31,
AND(R$36=$H$27,R$33&gt;=$I8),$H8*$H$31,
AND(R$36=$I$27,R$33&gt;=$I8),$H8*$I$31,
TRUE, 0
)</f>
        <v>0</v>
      </c>
      <c r="S42" s="153">
        <f t="array" ref="S42">IFS(AND(S$36=$E$27,S$33&gt;=$I8),$H8*$E$31,
AND(S$36=$F$27,S$33&gt;=$I8),$H8*$F$31,
AND(S$36=$G$27,S$33&gt;=$I8),$H8*$G$31,
AND(S$36=$H$27,S$33&gt;=$I8),$H8*$H$31,
AND(S$36=$I$27,S$33&gt;=$I8),$H8*$I$31,
TRUE, 0
)</f>
        <v>0</v>
      </c>
      <c r="T42" s="153">
        <f t="array" ref="T42">IFS(AND(T$36=$E$27,T$33&gt;=$I8),$H8*$E$31,
AND(T$36=$F$27,T$33&gt;=$I8),$H8*$F$31,
AND(T$36=$G$27,T$33&gt;=$I8),$H8*$G$31,
AND(T$36=$H$27,T$33&gt;=$I8),$H8*$H$31,
AND(T$36=$I$27,T$33&gt;=$I8),$H8*$I$31,
TRUE, 0
)</f>
        <v>0</v>
      </c>
      <c r="U42" s="153">
        <f t="array" ref="U42">IFS(AND(U$36=$E$27,U$33&gt;=$I8),$H8*$E$31,
AND(U$36=$F$27,U$33&gt;=$I8),$H8*$F$31,
AND(U$36=$G$27,U$33&gt;=$I8),$H8*$G$31,
AND(U$36=$H$27,U$33&gt;=$I8),$H8*$H$31,
AND(U$36=$I$27,U$33&gt;=$I8),$H8*$I$31,
TRUE, 0
)</f>
        <v>0</v>
      </c>
      <c r="V42" s="153">
        <f t="array" ref="V42">IFS(AND(V$36=$E$27,V$33&gt;=$I8),$H8*$E$31,
AND(V$36=$F$27,V$33&gt;=$I8),$H8*$F$31,
AND(V$36=$G$27,V$33&gt;=$I8),$H8*$G$31,
AND(V$36=$H$27,V$33&gt;=$I8),$H8*$H$31,
AND(V$36=$I$27,V$33&gt;=$I8),$H8*$I$31,
TRUE, 0
)</f>
        <v>0</v>
      </c>
      <c r="W42" s="153">
        <f t="array" ref="W42">IFS(AND(W$36=$E$27,W$33&gt;=$I8),$H8*$E$31,
AND(W$36=$F$27,W$33&gt;=$I8),$H8*$F$31,
AND(W$36=$G$27,W$33&gt;=$I8),$H8*$G$31,
AND(W$36=$H$27,W$33&gt;=$I8),$H8*$H$31,
AND(W$36=$I$27,W$33&gt;=$I8),$H8*$I$31,
TRUE, 0
)</f>
        <v>0</v>
      </c>
      <c r="X42" s="153">
        <f t="array" ref="X42">IFS(AND(X$36=$E$27,X$33&gt;=$I8),$H8*$E$31,
AND(X$36=$F$27,X$33&gt;=$I8),$H8*$F$31,
AND(X$36=$G$27,X$33&gt;=$I8),$H8*$G$31,
AND(X$36=$H$27,X$33&gt;=$I8),$H8*$H$31,
AND(X$36=$I$27,X$33&gt;=$I8),$H8*$I$31,
TRUE, 0
)</f>
        <v>0</v>
      </c>
      <c r="Y42" s="153">
        <f t="array" ref="Y42">IFS(AND(Y$36=$E$27,Y$33&gt;=$I8),$H8*$E$31,
AND(Y$36=$F$27,Y$33&gt;=$I8),$H8*$F$31,
AND(Y$36=$G$27,Y$33&gt;=$I8),$H8*$G$31,
AND(Y$36=$H$27,Y$33&gt;=$I8),$H8*$H$31,
AND(Y$36=$I$27,Y$33&gt;=$I8),$H8*$I$31,
TRUE, 0
)</f>
        <v>0</v>
      </c>
      <c r="Z42" s="153">
        <f t="array" ref="Z42">IFS(AND(Z$36=$E$27,Z$33&gt;=$I8),$H8*$E$31,
AND(Z$36=$F$27,Z$33&gt;=$I8),$H8*$F$31,
AND(Z$36=$G$27,Z$33&gt;=$I8),$H8*$G$31,
AND(Z$36=$H$27,Z$33&gt;=$I8),$H8*$H$31,
AND(Z$36=$I$27,Z$33&gt;=$I8),$H8*$I$31,
TRUE, 0
)</f>
        <v>0</v>
      </c>
      <c r="AA42" s="153">
        <f t="array" ref="AA42">IFS(AND(AA$36=$E$27,AA$33&gt;=$I8),$H8*$E$31,
AND(AA$36=$F$27,AA$33&gt;=$I8),$H8*$F$31,
AND(AA$36=$G$27,AA$33&gt;=$I8),$H8*$G$31,
AND(AA$36=$H$27,AA$33&gt;=$I8),$H8*$H$31,
AND(AA$36=$I$27,AA$33&gt;=$I8),$H8*$I$31,
TRUE, 0
)</f>
        <v>0</v>
      </c>
      <c r="AB42" s="153">
        <f t="array" ref="AB42">IFS(AND(AB$36=$E$27,AB$33&gt;=$I8),$H8*$E$31,
AND(AB$36=$F$27,AB$33&gt;=$I8),$H8*$F$31,
AND(AB$36=$G$27,AB$33&gt;=$I8),$H8*$G$31,
AND(AB$36=$H$27,AB$33&gt;=$I8),$H8*$H$31,
AND(AB$36=$I$27,AB$33&gt;=$I8),$H8*$I$31,
TRUE, 0
)</f>
        <v>0</v>
      </c>
      <c r="AC42" s="153">
        <f t="array" ref="AC42">IFS(AND(AC$36=$E$27,AC$33&gt;=$I8),$H8*$E$31,
AND(AC$36=$F$27,AC$33&gt;=$I8),$H8*$F$31,
AND(AC$36=$G$27,AC$33&gt;=$I8),$H8*$G$31,
AND(AC$36=$H$27,AC$33&gt;=$I8),$H8*$H$31,
AND(AC$36=$I$27,AC$33&gt;=$I8),$H8*$I$31,
TRUE, 0
)</f>
        <v>0</v>
      </c>
      <c r="AD42" s="153">
        <f t="array" ref="AD42">IFS(AND(AD$36=$E$27,AD$33&gt;=$I8),$H8*$E$31,
AND(AD$36=$F$27,AD$33&gt;=$I8),$H8*$F$31,
AND(AD$36=$G$27,AD$33&gt;=$I8),$H8*$G$31,
AND(AD$36=$H$27,AD$33&gt;=$I8),$H8*$H$31,
AND(AD$36=$I$27,AD$33&gt;=$I8),$H8*$I$31,
TRUE, 0
)</f>
        <v>0</v>
      </c>
      <c r="AE42" s="153">
        <f t="array" ref="AE42">IFS(AND(AE$36=$E$27,AE$33&gt;=$I8),$H8*$E$31,
AND(AE$36=$F$27,AE$33&gt;=$I8),$H8*$F$31,
AND(AE$36=$G$27,AE$33&gt;=$I8),$H8*$G$31,
AND(AE$36=$H$27,AE$33&gt;=$I8),$H8*$H$31,
AND(AE$36=$I$27,AE$33&gt;=$I8),$H8*$I$31,
TRUE, 0
)</f>
        <v>0</v>
      </c>
      <c r="AF42" s="153">
        <f t="array" ref="AF42">IFS(AND(AF$36=$E$27,AF$33&gt;=$I8),$H8*$E$31,
AND(AF$36=$F$27,AF$33&gt;=$I8),$H8*$F$31,
AND(AF$36=$G$27,AF$33&gt;=$I8),$H8*$G$31,
AND(AF$36=$H$27,AF$33&gt;=$I8),$H8*$H$31,
AND(AF$36=$I$27,AF$33&gt;=$I8),$H8*$I$31,
TRUE, 0
)</f>
        <v>0</v>
      </c>
      <c r="AG42" s="153">
        <f t="array" ref="AG42">IFS(AND(AG$36=$E$27,AG$33&gt;=$I8),$H8*$E$31,
AND(AG$36=$F$27,AG$33&gt;=$I8),$H8*$F$31,
AND(AG$36=$G$27,AG$33&gt;=$I8),$H8*$G$31,
AND(AG$36=$H$27,AG$33&gt;=$I8),$H8*$H$31,
AND(AG$36=$I$27,AG$33&gt;=$I8),$H8*$I$31,
TRUE, 0
)</f>
        <v>0</v>
      </c>
      <c r="AH42" s="153">
        <f t="array" ref="AH42">IFS(AND(AH$36=$E$27,AH$33&gt;=$I8),$H8*$E$31,
AND(AH$36=$F$27,AH$33&gt;=$I8),$H8*$F$31,
AND(AH$36=$G$27,AH$33&gt;=$I8),$H8*$G$31,
AND(AH$36=$H$27,AH$33&gt;=$I8),$H8*$H$31,
AND(AH$36=$I$27,AH$33&gt;=$I8),$H8*$I$31,
TRUE, 0
)</f>
        <v>116640</v>
      </c>
      <c r="AI42" s="153">
        <f t="array" ref="AI42">IFS(AND(AI$36=$E$27,AI$33&gt;=$I8),$H8*$E$31,
AND(AI$36=$F$27,AI$33&gt;=$I8),$H8*$F$31,
AND(AI$36=$G$27,AI$33&gt;=$I8),$H8*$G$31,
AND(AI$36=$H$27,AI$33&gt;=$I8),$H8*$H$31,
AND(AI$36=$I$27,AI$33&gt;=$I8),$H8*$I$31,
TRUE, 0
)</f>
        <v>116640</v>
      </c>
      <c r="AJ42" s="153">
        <f t="array" ref="AJ42">IFS(AND(AJ$36=$E$27,AJ$33&gt;=$I8),$H8*$E$31,
AND(AJ$36=$F$27,AJ$33&gt;=$I8),$H8*$F$31,
AND(AJ$36=$G$27,AJ$33&gt;=$I8),$H8*$G$31,
AND(AJ$36=$H$27,AJ$33&gt;=$I8),$H8*$H$31,
AND(AJ$36=$I$27,AJ$33&gt;=$I8),$H8*$I$31,
TRUE, 0
)</f>
        <v>116640</v>
      </c>
      <c r="AK42" s="153">
        <f t="array" ref="AK42">IFS(AND(AK$36=$E$27,AK$33&gt;=$I8),$H8*$E$31,
AND(AK$36=$F$27,AK$33&gt;=$I8),$H8*$F$31,
AND(AK$36=$G$27,AK$33&gt;=$I8),$H8*$G$31,
AND(AK$36=$H$27,AK$33&gt;=$I8),$H8*$H$31,
AND(AK$36=$I$27,AK$33&gt;=$I8),$H8*$I$31,
TRUE, 0
)</f>
        <v>116640</v>
      </c>
      <c r="AL42" s="153">
        <f t="array" ref="AL42">IFS(AND(AL$36=$E$27,AL$33&gt;=$I8),$H8*$E$31,
AND(AL$36=$F$27,AL$33&gt;=$I8),$H8*$F$31,
AND(AL$36=$G$27,AL$33&gt;=$I8),$H8*$G$31,
AND(AL$36=$H$27,AL$33&gt;=$I8),$H8*$H$31,
AND(AL$36=$I$27,AL$33&gt;=$I8),$H8*$I$31,
TRUE, 0
)</f>
        <v>116640</v>
      </c>
      <c r="AM42" s="153">
        <f t="array" ref="AM42">IFS(AND(AM$36=$E$27,AM$33&gt;=$I8),$H8*$E$31,
AND(AM$36=$F$27,AM$33&gt;=$I8),$H8*$F$31,
AND(AM$36=$G$27,AM$33&gt;=$I8),$H8*$G$31,
AND(AM$36=$H$27,AM$33&gt;=$I8),$H8*$H$31,
AND(AM$36=$I$27,AM$33&gt;=$I8),$H8*$I$31,
TRUE, 0
)</f>
        <v>116640</v>
      </c>
      <c r="AN42" s="153">
        <f t="array" ref="AN42">IFS(AND(AN$36=$E$27,AN$33&gt;=$I8),$H8*$E$31,
AND(AN$36=$F$27,AN$33&gt;=$I8),$H8*$F$31,
AND(AN$36=$G$27,AN$33&gt;=$I8),$H8*$G$31,
AND(AN$36=$H$27,AN$33&gt;=$I8),$H8*$H$31,
AND(AN$36=$I$27,AN$33&gt;=$I8),$H8*$I$31,
TRUE, 0
)</f>
        <v>116640</v>
      </c>
      <c r="AO42" s="153">
        <f t="array" ref="AO42">IFS(AND(AO$36=$E$27,AO$33&gt;=$I8),$H8*$E$31,
AND(AO$36=$F$27,AO$33&gt;=$I8),$H8*$F$31,
AND(AO$36=$G$27,AO$33&gt;=$I8),$H8*$G$31,
AND(AO$36=$H$27,AO$33&gt;=$I8),$H8*$H$31,
AND(AO$36=$I$27,AO$33&gt;=$I8),$H8*$I$31,
TRUE, 0
)</f>
        <v>125971.2</v>
      </c>
      <c r="AP42" s="153">
        <f t="array" ref="AP42">IFS(AND(AP$36=$E$27,AP$33&gt;=$I8),$H8*$E$31,
AND(AP$36=$F$27,AP$33&gt;=$I8),$H8*$F$31,
AND(AP$36=$G$27,AP$33&gt;=$I8),$H8*$G$31,
AND(AP$36=$H$27,AP$33&gt;=$I8),$H8*$H$31,
AND(AP$36=$I$27,AP$33&gt;=$I8),$H8*$I$31,
TRUE, 0
)</f>
        <v>125971.2</v>
      </c>
      <c r="AQ42" s="153">
        <f t="array" ref="AQ42">IFS(AND(AQ$36=$E$27,AQ$33&gt;=$I8),$H8*$E$31,
AND(AQ$36=$F$27,AQ$33&gt;=$I8),$H8*$F$31,
AND(AQ$36=$G$27,AQ$33&gt;=$I8),$H8*$G$31,
AND(AQ$36=$H$27,AQ$33&gt;=$I8),$H8*$H$31,
AND(AQ$36=$I$27,AQ$33&gt;=$I8),$H8*$I$31,
TRUE, 0
)</f>
        <v>125971.2</v>
      </c>
      <c r="AR42" s="153">
        <f t="array" ref="AR42">IFS(AND(AR$36=$E$27,AR$33&gt;=$I8),$H8*$E$31,
AND(AR$36=$F$27,AR$33&gt;=$I8),$H8*$F$31,
AND(AR$36=$G$27,AR$33&gt;=$I8),$H8*$G$31,
AND(AR$36=$H$27,AR$33&gt;=$I8),$H8*$H$31,
AND(AR$36=$I$27,AR$33&gt;=$I8),$H8*$I$31,
TRUE, 0
)</f>
        <v>125971.2</v>
      </c>
      <c r="AS42" s="153">
        <f t="array" ref="AS42">IFS(AND(AS$36=$E$27,AS$33&gt;=$I8),$H8*$E$31,
AND(AS$36=$F$27,AS$33&gt;=$I8),$H8*$F$31,
AND(AS$36=$G$27,AS$33&gt;=$I8),$H8*$G$31,
AND(AS$36=$H$27,AS$33&gt;=$I8),$H8*$H$31,
AND(AS$36=$I$27,AS$33&gt;=$I8),$H8*$I$31,
TRUE, 0
)</f>
        <v>125971.2</v>
      </c>
      <c r="AT42" s="153">
        <f t="array" ref="AT42">IFS(AND(AT$36=$E$27,AT$33&gt;=$I8),$H8*$E$31,
AND(AT$36=$F$27,AT$33&gt;=$I8),$H8*$F$31,
AND(AT$36=$G$27,AT$33&gt;=$I8),$H8*$G$31,
AND(AT$36=$H$27,AT$33&gt;=$I8),$H8*$H$31,
AND(AT$36=$I$27,AT$33&gt;=$I8),$H8*$I$31,
TRUE, 0
)</f>
        <v>125971.2</v>
      </c>
      <c r="AU42" s="153">
        <f t="array" ref="AU42">IFS(AND(AU$36=$E$27,AU$33&gt;=$I8),$H8*$E$31,
AND(AU$36=$F$27,AU$33&gt;=$I8),$H8*$F$31,
AND(AU$36=$G$27,AU$33&gt;=$I8),$H8*$G$31,
AND(AU$36=$H$27,AU$33&gt;=$I8),$H8*$H$31,
AND(AU$36=$I$27,AU$33&gt;=$I8),$H8*$I$31,
TRUE, 0
)</f>
        <v>125971.2</v>
      </c>
      <c r="AV42" s="153">
        <f t="array" ref="AV42">IFS(AND(AV$36=$E$27,AV$33&gt;=$I8),$H8*$E$31,
AND(AV$36=$F$27,AV$33&gt;=$I8),$H8*$F$31,
AND(AV$36=$G$27,AV$33&gt;=$I8),$H8*$G$31,
AND(AV$36=$H$27,AV$33&gt;=$I8),$H8*$H$31,
AND(AV$36=$I$27,AV$33&gt;=$I8),$H8*$I$31,
TRUE, 0
)</f>
        <v>125971.2</v>
      </c>
      <c r="AW42" s="153">
        <f t="array" ref="AW42">IFS(AND(AW$36=$E$27,AW$33&gt;=$I8),$H8*$E$31,
AND(AW$36=$F$27,AW$33&gt;=$I8),$H8*$F$31,
AND(AW$36=$G$27,AW$33&gt;=$I8),$H8*$G$31,
AND(AW$36=$H$27,AW$33&gt;=$I8),$H8*$H$31,
AND(AW$36=$I$27,AW$33&gt;=$I8),$H8*$I$31,
TRUE, 0
)</f>
        <v>125971.2</v>
      </c>
      <c r="AX42" s="153">
        <f t="array" ref="AX42">IFS(AND(AX$36=$E$27,AX$33&gt;=$I8),$H8*$E$31,
AND(AX$36=$F$27,AX$33&gt;=$I8),$H8*$F$31,
AND(AX$36=$G$27,AX$33&gt;=$I8),$H8*$G$31,
AND(AX$36=$H$27,AX$33&gt;=$I8),$H8*$H$31,
AND(AX$36=$I$27,AX$33&gt;=$I8),$H8*$I$31,
TRUE, 0
)</f>
        <v>125971.2</v>
      </c>
      <c r="AY42" s="153">
        <f t="array" ref="AY42">IFS(AND(AY$36=$E$27,AY$33&gt;=$I8),$H8*$E$31,
AND(AY$36=$F$27,AY$33&gt;=$I8),$H8*$F$31,
AND(AY$36=$G$27,AY$33&gt;=$I8),$H8*$G$31,
AND(AY$36=$H$27,AY$33&gt;=$I8),$H8*$H$31,
AND(AY$36=$I$27,AY$33&gt;=$I8),$H8*$I$31,
TRUE, 0
)</f>
        <v>125971.2</v>
      </c>
      <c r="AZ42" s="153">
        <f t="array" ref="AZ42">IFS(AND(AZ$36=$E$27,AZ$33&gt;=$I8),$H8*$E$31,
AND(AZ$36=$F$27,AZ$33&gt;=$I8),$H8*$F$31,
AND(AZ$36=$G$27,AZ$33&gt;=$I8),$H8*$G$31,
AND(AZ$36=$H$27,AZ$33&gt;=$I8),$H8*$H$31,
AND(AZ$36=$I$27,AZ$33&gt;=$I8),$H8*$I$31,
TRUE, 0
)</f>
        <v>125971.2</v>
      </c>
      <c r="BA42" s="153">
        <f t="array" ref="BA42">IFS(AND(BA$36=$E$27,BA$33&gt;=$I8),$H8*$E$31,
AND(BA$36=$F$27,BA$33&gt;=$I8),$H8*$F$31,
AND(BA$36=$G$27,BA$33&gt;=$I8),$H8*$G$31,
AND(BA$36=$H$27,BA$33&gt;=$I8),$H8*$H$31,
AND(BA$36=$I$27,BA$33&gt;=$I8),$H8*$I$31,
TRUE, 0
)</f>
        <v>136048.896</v>
      </c>
      <c r="BB42" s="153">
        <f t="array" ref="BB42">IFS(AND(BB$36=$E$27,BB$33&gt;=$I8),$H8*$E$31,
AND(BB$36=$F$27,BB$33&gt;=$I8),$H8*$F$31,
AND(BB$36=$G$27,BB$33&gt;=$I8),$H8*$G$31,
AND(BB$36=$H$27,BB$33&gt;=$I8),$H8*$H$31,
AND(BB$36=$I$27,BB$33&gt;=$I8),$H8*$I$31,
TRUE, 0
)</f>
        <v>136048.896</v>
      </c>
      <c r="BC42" s="153">
        <f t="array" ref="BC42">IFS(AND(BC$36=$E$27,BC$33&gt;=$I8),$H8*$E$31,
AND(BC$36=$F$27,BC$33&gt;=$I8),$H8*$F$31,
AND(BC$36=$G$27,BC$33&gt;=$I8),$H8*$G$31,
AND(BC$36=$H$27,BC$33&gt;=$I8),$H8*$H$31,
AND(BC$36=$I$27,BC$33&gt;=$I8),$H8*$I$31,
TRUE, 0
)</f>
        <v>136048.896</v>
      </c>
      <c r="BD42" s="153">
        <f t="array" ref="BD42">IFS(AND(BD$36=$E$27,BD$33&gt;=$I8),$H8*$E$31,
AND(BD$36=$F$27,BD$33&gt;=$I8),$H8*$F$31,
AND(BD$36=$G$27,BD$33&gt;=$I8),$H8*$G$31,
AND(BD$36=$H$27,BD$33&gt;=$I8),$H8*$H$31,
AND(BD$36=$I$27,BD$33&gt;=$I8),$H8*$I$31,
TRUE, 0
)</f>
        <v>136048.896</v>
      </c>
      <c r="BE42" s="153">
        <f t="array" ref="BE42">IFS(AND(BE$36=$E$27,BE$33&gt;=$I8),$H8*$E$31,
AND(BE$36=$F$27,BE$33&gt;=$I8),$H8*$F$31,
AND(BE$36=$G$27,BE$33&gt;=$I8),$H8*$G$31,
AND(BE$36=$H$27,BE$33&gt;=$I8),$H8*$H$31,
AND(BE$36=$I$27,BE$33&gt;=$I8),$H8*$I$31,
TRUE, 0
)</f>
        <v>136048.896</v>
      </c>
      <c r="BF42" s="153">
        <f t="array" ref="BF42">IFS(AND(BF$36=$E$27,BF$33&gt;=$I8),$H8*$E$31,
AND(BF$36=$F$27,BF$33&gt;=$I8),$H8*$F$31,
AND(BF$36=$G$27,BF$33&gt;=$I8),$H8*$G$31,
AND(BF$36=$H$27,BF$33&gt;=$I8),$H8*$H$31,
AND(BF$36=$I$27,BF$33&gt;=$I8),$H8*$I$31,
TRUE, 0
)</f>
        <v>136048.896</v>
      </c>
      <c r="BG42" s="153">
        <f t="array" ref="BG42">IFS(AND(BG$36=$E$27,BG$33&gt;=$I8),$H8*$E$31,
AND(BG$36=$F$27,BG$33&gt;=$I8),$H8*$F$31,
AND(BG$36=$G$27,BG$33&gt;=$I8),$H8*$G$31,
AND(BG$36=$H$27,BG$33&gt;=$I8),$H8*$H$31,
AND(BG$36=$I$27,BG$33&gt;=$I8),$H8*$I$31,
TRUE, 0
)</f>
        <v>136048.896</v>
      </c>
      <c r="BH42" s="153">
        <f t="array" ref="BH42">IFS(AND(BH$36=$E$27,BH$33&gt;=$I8),$H8*$E$31,
AND(BH$36=$F$27,BH$33&gt;=$I8),$H8*$F$31,
AND(BH$36=$G$27,BH$33&gt;=$I8),$H8*$G$31,
AND(BH$36=$H$27,BH$33&gt;=$I8),$H8*$H$31,
AND(BH$36=$I$27,BH$33&gt;=$I8),$H8*$I$31,
TRUE, 0
)</f>
        <v>136048.896</v>
      </c>
      <c r="BI42" s="153">
        <f t="array" ref="BI42">IFS(AND(BI$36=$E$27,BI$33&gt;=$I8),$H8*$E$31,
AND(BI$36=$F$27,BI$33&gt;=$I8),$H8*$F$31,
AND(BI$36=$G$27,BI$33&gt;=$I8),$H8*$G$31,
AND(BI$36=$H$27,BI$33&gt;=$I8),$H8*$H$31,
AND(BI$36=$I$27,BI$33&gt;=$I8),$H8*$I$31,
TRUE, 0
)</f>
        <v>136048.896</v>
      </c>
      <c r="BJ42" s="153">
        <f t="array" ref="BJ42">IFS(AND(BJ$36=$E$27,BJ$33&gt;=$I8),$H8*$E$31,
AND(BJ$36=$F$27,BJ$33&gt;=$I8),$H8*$F$31,
AND(BJ$36=$G$27,BJ$33&gt;=$I8),$H8*$G$31,
AND(BJ$36=$H$27,BJ$33&gt;=$I8),$H8*$H$31,
AND(BJ$36=$I$27,BJ$33&gt;=$I8),$H8*$I$31,
TRUE, 0
)</f>
        <v>136048.896</v>
      </c>
      <c r="BK42" s="153">
        <f t="array" ref="BK42">IFS(AND(BK$36=$E$27,BK$33&gt;=$I8),$H8*$E$31,
AND(BK$36=$F$27,BK$33&gt;=$I8),$H8*$F$31,
AND(BK$36=$G$27,BK$33&gt;=$I8),$H8*$G$31,
AND(BK$36=$H$27,BK$33&gt;=$I8),$H8*$H$31,
AND(BK$36=$I$27,BK$33&gt;=$I8),$H8*$I$31,
TRUE, 0
)</f>
        <v>136048.896</v>
      </c>
      <c r="BL42" s="140">
        <f t="array" ref="BL42">IFS(AND(BL$36=$E$27,BL$33&gt;=$I8),$H8*$E$31,
AND(BL$36=$F$27,BL$33&gt;=$I8),$H8*$F$31,
AND(BL$36=$G$27,BL$33&gt;=$I8),$H8*$G$31,
AND(BL$36=$H$27,BL$33&gt;=$I8),$H8*$H$31,
AND(BL$36=$I$27,BL$33&gt;=$I8),$H8*$I$31,
TRUE, 0
)</f>
        <v>136048.896</v>
      </c>
    </row>
    <row r="43" ht="15.75" customHeight="1">
      <c r="D43" s="57" t="s">
        <v>185</v>
      </c>
      <c r="E43" s="153">
        <f t="array" ref="E43">IFS(AND(E$36=$E$27,E$33&gt;=$I9),$H9*$E$31,
AND(E$36=$F$27,E$33&gt;=$I9),$H9*$F$31,
AND(E$36=$G$27,E$33&gt;=$I9),$H9*$G$31,
AND(E$36=$H$27,E$33&gt;=$I9),$H9*$H$31,
AND(E$36=$I$27,E$33&gt;=$I9),$H9*$I$31,
TRUE, 0
)</f>
        <v>60000</v>
      </c>
      <c r="F43" s="153">
        <f t="array" ref="F43">IFS(AND(F$36=$E$27,F$33&gt;=$I9),$H9*$E$31,
AND(F$36=$F$27,F$33&gt;=$I9),$H9*$F$31,
AND(F$36=$G$27,F$33&gt;=$I9),$H9*$G$31,
AND(F$36=$H$27,F$33&gt;=$I9),$H9*$H$31,
AND(F$36=$I$27,F$33&gt;=$I9),$H9*$I$31,
TRUE, 0
)</f>
        <v>60000</v>
      </c>
      <c r="G43" s="153">
        <f t="array" ref="G43">IFS(AND(G$36=$E$27,G$33&gt;=$I9),$H9*$E$31,
AND(G$36=$F$27,G$33&gt;=$I9),$H9*$F$31,
AND(G$36=$G$27,G$33&gt;=$I9),$H9*$G$31,
AND(G$36=$H$27,G$33&gt;=$I9),$H9*$H$31,
AND(G$36=$I$27,G$33&gt;=$I9),$H9*$I$31,
TRUE, 0
)</f>
        <v>60000</v>
      </c>
      <c r="H43" s="153">
        <f t="array" ref="H43">IFS(AND(H$36=$E$27,H$33&gt;=$I9),$H9*$E$31,
AND(H$36=$F$27,H$33&gt;=$I9),$H9*$F$31,
AND(H$36=$G$27,H$33&gt;=$I9),$H9*$G$31,
AND(H$36=$H$27,H$33&gt;=$I9),$H9*$H$31,
AND(H$36=$I$27,H$33&gt;=$I9),$H9*$I$31,
TRUE, 0
)</f>
        <v>60000</v>
      </c>
      <c r="I43" s="153">
        <f t="array" ref="I43">IFS(AND(I$36=$E$27,I$33&gt;=$I9),$H9*$E$31,
AND(I$36=$F$27,I$33&gt;=$I9),$H9*$F$31,
AND(I$36=$G$27,I$33&gt;=$I9),$H9*$G$31,
AND(I$36=$H$27,I$33&gt;=$I9),$H9*$H$31,
AND(I$36=$I$27,I$33&gt;=$I9),$H9*$I$31,
TRUE, 0
)</f>
        <v>60000</v>
      </c>
      <c r="J43" s="153">
        <f t="array" ref="J43">IFS(AND(J$36=$E$27,J$33&gt;=$I9),$H9*$E$31,
AND(J$36=$F$27,J$33&gt;=$I9),$H9*$F$31,
AND(J$36=$G$27,J$33&gt;=$I9),$H9*$G$31,
AND(J$36=$H$27,J$33&gt;=$I9),$H9*$H$31,
AND(J$36=$I$27,J$33&gt;=$I9),$H9*$I$31,
TRUE, 0
)</f>
        <v>60000</v>
      </c>
      <c r="K43" s="153">
        <f t="array" ref="K43">IFS(AND(K$36=$E$27,K$33&gt;=$I9),$H9*$E$31,
AND(K$36=$F$27,K$33&gt;=$I9),$H9*$F$31,
AND(K$36=$G$27,K$33&gt;=$I9),$H9*$G$31,
AND(K$36=$H$27,K$33&gt;=$I9),$H9*$H$31,
AND(K$36=$I$27,K$33&gt;=$I9),$H9*$I$31,
TRUE, 0
)</f>
        <v>60000</v>
      </c>
      <c r="L43" s="153">
        <f t="array" ref="L43">IFS(AND(L$36=$E$27,L$33&gt;=$I9),$H9*$E$31,
AND(L$36=$F$27,L$33&gt;=$I9),$H9*$F$31,
AND(L$36=$G$27,L$33&gt;=$I9),$H9*$G$31,
AND(L$36=$H$27,L$33&gt;=$I9),$H9*$H$31,
AND(L$36=$I$27,L$33&gt;=$I9),$H9*$I$31,
TRUE, 0
)</f>
        <v>60000</v>
      </c>
      <c r="M43" s="153">
        <f t="array" ref="M43">IFS(AND(M$36=$E$27,M$33&gt;=$I9),$H9*$E$31,
AND(M$36=$F$27,M$33&gt;=$I9),$H9*$F$31,
AND(M$36=$G$27,M$33&gt;=$I9),$H9*$G$31,
AND(M$36=$H$27,M$33&gt;=$I9),$H9*$H$31,
AND(M$36=$I$27,M$33&gt;=$I9),$H9*$I$31,
TRUE, 0
)</f>
        <v>60000</v>
      </c>
      <c r="N43" s="153">
        <f t="array" ref="N43">IFS(AND(N$36=$E$27,N$33&gt;=$I9),$H9*$E$31,
AND(N$36=$F$27,N$33&gt;=$I9),$H9*$F$31,
AND(N$36=$G$27,N$33&gt;=$I9),$H9*$G$31,
AND(N$36=$H$27,N$33&gt;=$I9),$H9*$H$31,
AND(N$36=$I$27,N$33&gt;=$I9),$H9*$I$31,
TRUE, 0
)</f>
        <v>60000</v>
      </c>
      <c r="O43" s="153">
        <f t="array" ref="O43">IFS(AND(O$36=$E$27,O$33&gt;=$I9),$H9*$E$31,
AND(O$36=$F$27,O$33&gt;=$I9),$H9*$F$31,
AND(O$36=$G$27,O$33&gt;=$I9),$H9*$G$31,
AND(O$36=$H$27,O$33&gt;=$I9),$H9*$H$31,
AND(O$36=$I$27,O$33&gt;=$I9),$H9*$I$31,
TRUE, 0
)</f>
        <v>60000</v>
      </c>
      <c r="P43" s="153">
        <f t="array" ref="P43">IFS(AND(P$36=$E$27,P$33&gt;=$I9),$H9*$E$31,
AND(P$36=$F$27,P$33&gt;=$I9),$H9*$F$31,
AND(P$36=$G$27,P$33&gt;=$I9),$H9*$G$31,
AND(P$36=$H$27,P$33&gt;=$I9),$H9*$H$31,
AND(P$36=$I$27,P$33&gt;=$I9),$H9*$I$31,
TRUE, 0
)</f>
        <v>60000</v>
      </c>
      <c r="Q43" s="153">
        <f t="array" ref="Q43">IFS(AND(Q$36=$E$27,Q$33&gt;=$I9),$H9*$E$31,
AND(Q$36=$F$27,Q$33&gt;=$I9),$H9*$F$31,
AND(Q$36=$G$27,Q$33&gt;=$I9),$H9*$G$31,
AND(Q$36=$H$27,Q$33&gt;=$I9),$H9*$H$31,
AND(Q$36=$I$27,Q$33&gt;=$I9),$H9*$I$31,
TRUE, 0
)</f>
        <v>64800</v>
      </c>
      <c r="R43" s="153">
        <f t="array" ref="R43">IFS(AND(R$36=$E$27,R$33&gt;=$I9),$H9*$E$31,
AND(R$36=$F$27,R$33&gt;=$I9),$H9*$F$31,
AND(R$36=$G$27,R$33&gt;=$I9),$H9*$G$31,
AND(R$36=$H$27,R$33&gt;=$I9),$H9*$H$31,
AND(R$36=$I$27,R$33&gt;=$I9),$H9*$I$31,
TRUE, 0
)</f>
        <v>64800</v>
      </c>
      <c r="S43" s="153">
        <f t="array" ref="S43">IFS(AND(S$36=$E$27,S$33&gt;=$I9),$H9*$E$31,
AND(S$36=$F$27,S$33&gt;=$I9),$H9*$F$31,
AND(S$36=$G$27,S$33&gt;=$I9),$H9*$G$31,
AND(S$36=$H$27,S$33&gt;=$I9),$H9*$H$31,
AND(S$36=$I$27,S$33&gt;=$I9),$H9*$I$31,
TRUE, 0
)</f>
        <v>64800</v>
      </c>
      <c r="T43" s="153">
        <f t="array" ref="T43">IFS(AND(T$36=$E$27,T$33&gt;=$I9),$H9*$E$31,
AND(T$36=$F$27,T$33&gt;=$I9),$H9*$F$31,
AND(T$36=$G$27,T$33&gt;=$I9),$H9*$G$31,
AND(T$36=$H$27,T$33&gt;=$I9),$H9*$H$31,
AND(T$36=$I$27,T$33&gt;=$I9),$H9*$I$31,
TRUE, 0
)</f>
        <v>64800</v>
      </c>
      <c r="U43" s="153">
        <f t="array" ref="U43">IFS(AND(U$36=$E$27,U$33&gt;=$I9),$H9*$E$31,
AND(U$36=$F$27,U$33&gt;=$I9),$H9*$F$31,
AND(U$36=$G$27,U$33&gt;=$I9),$H9*$G$31,
AND(U$36=$H$27,U$33&gt;=$I9),$H9*$H$31,
AND(U$36=$I$27,U$33&gt;=$I9),$H9*$I$31,
TRUE, 0
)</f>
        <v>64800</v>
      </c>
      <c r="V43" s="153">
        <f t="array" ref="V43">IFS(AND(V$36=$E$27,V$33&gt;=$I9),$H9*$E$31,
AND(V$36=$F$27,V$33&gt;=$I9),$H9*$F$31,
AND(V$36=$G$27,V$33&gt;=$I9),$H9*$G$31,
AND(V$36=$H$27,V$33&gt;=$I9),$H9*$H$31,
AND(V$36=$I$27,V$33&gt;=$I9),$H9*$I$31,
TRUE, 0
)</f>
        <v>64800</v>
      </c>
      <c r="W43" s="153">
        <f t="array" ref="W43">IFS(AND(W$36=$E$27,W$33&gt;=$I9),$H9*$E$31,
AND(W$36=$F$27,W$33&gt;=$I9),$H9*$F$31,
AND(W$36=$G$27,W$33&gt;=$I9),$H9*$G$31,
AND(W$36=$H$27,W$33&gt;=$I9),$H9*$H$31,
AND(W$36=$I$27,W$33&gt;=$I9),$H9*$I$31,
TRUE, 0
)</f>
        <v>64800</v>
      </c>
      <c r="X43" s="153">
        <f t="array" ref="X43">IFS(AND(X$36=$E$27,X$33&gt;=$I9),$H9*$E$31,
AND(X$36=$F$27,X$33&gt;=$I9),$H9*$F$31,
AND(X$36=$G$27,X$33&gt;=$I9),$H9*$G$31,
AND(X$36=$H$27,X$33&gt;=$I9),$H9*$H$31,
AND(X$36=$I$27,X$33&gt;=$I9),$H9*$I$31,
TRUE, 0
)</f>
        <v>64800</v>
      </c>
      <c r="Y43" s="153">
        <f t="array" ref="Y43">IFS(AND(Y$36=$E$27,Y$33&gt;=$I9),$H9*$E$31,
AND(Y$36=$F$27,Y$33&gt;=$I9),$H9*$F$31,
AND(Y$36=$G$27,Y$33&gt;=$I9),$H9*$G$31,
AND(Y$36=$H$27,Y$33&gt;=$I9),$H9*$H$31,
AND(Y$36=$I$27,Y$33&gt;=$I9),$H9*$I$31,
TRUE, 0
)</f>
        <v>64800</v>
      </c>
      <c r="Z43" s="153">
        <f t="array" ref="Z43">IFS(AND(Z$36=$E$27,Z$33&gt;=$I9),$H9*$E$31,
AND(Z$36=$F$27,Z$33&gt;=$I9),$H9*$F$31,
AND(Z$36=$G$27,Z$33&gt;=$I9),$H9*$G$31,
AND(Z$36=$H$27,Z$33&gt;=$I9),$H9*$H$31,
AND(Z$36=$I$27,Z$33&gt;=$I9),$H9*$I$31,
TRUE, 0
)</f>
        <v>64800</v>
      </c>
      <c r="AA43" s="153">
        <f t="array" ref="AA43">IFS(AND(AA$36=$E$27,AA$33&gt;=$I9),$H9*$E$31,
AND(AA$36=$F$27,AA$33&gt;=$I9),$H9*$F$31,
AND(AA$36=$G$27,AA$33&gt;=$I9),$H9*$G$31,
AND(AA$36=$H$27,AA$33&gt;=$I9),$H9*$H$31,
AND(AA$36=$I$27,AA$33&gt;=$I9),$H9*$I$31,
TRUE, 0
)</f>
        <v>64800</v>
      </c>
      <c r="AB43" s="153">
        <f t="array" ref="AB43">IFS(AND(AB$36=$E$27,AB$33&gt;=$I9),$H9*$E$31,
AND(AB$36=$F$27,AB$33&gt;=$I9),$H9*$F$31,
AND(AB$36=$G$27,AB$33&gt;=$I9),$H9*$G$31,
AND(AB$36=$H$27,AB$33&gt;=$I9),$H9*$H$31,
AND(AB$36=$I$27,AB$33&gt;=$I9),$H9*$I$31,
TRUE, 0
)</f>
        <v>64800</v>
      </c>
      <c r="AC43" s="153">
        <f t="array" ref="AC43">IFS(AND(AC$36=$E$27,AC$33&gt;=$I9),$H9*$E$31,
AND(AC$36=$F$27,AC$33&gt;=$I9),$H9*$F$31,
AND(AC$36=$G$27,AC$33&gt;=$I9),$H9*$G$31,
AND(AC$36=$H$27,AC$33&gt;=$I9),$H9*$H$31,
AND(AC$36=$I$27,AC$33&gt;=$I9),$H9*$I$31,
TRUE, 0
)</f>
        <v>69984</v>
      </c>
      <c r="AD43" s="153">
        <f t="array" ref="AD43">IFS(AND(AD$36=$E$27,AD$33&gt;=$I9),$H9*$E$31,
AND(AD$36=$F$27,AD$33&gt;=$I9),$H9*$F$31,
AND(AD$36=$G$27,AD$33&gt;=$I9),$H9*$G$31,
AND(AD$36=$H$27,AD$33&gt;=$I9),$H9*$H$31,
AND(AD$36=$I$27,AD$33&gt;=$I9),$H9*$I$31,
TRUE, 0
)</f>
        <v>69984</v>
      </c>
      <c r="AE43" s="153">
        <f t="array" ref="AE43">IFS(AND(AE$36=$E$27,AE$33&gt;=$I9),$H9*$E$31,
AND(AE$36=$F$27,AE$33&gt;=$I9),$H9*$F$31,
AND(AE$36=$G$27,AE$33&gt;=$I9),$H9*$G$31,
AND(AE$36=$H$27,AE$33&gt;=$I9),$H9*$H$31,
AND(AE$36=$I$27,AE$33&gt;=$I9),$H9*$I$31,
TRUE, 0
)</f>
        <v>69984</v>
      </c>
      <c r="AF43" s="153">
        <f t="array" ref="AF43">IFS(AND(AF$36=$E$27,AF$33&gt;=$I9),$H9*$E$31,
AND(AF$36=$F$27,AF$33&gt;=$I9),$H9*$F$31,
AND(AF$36=$G$27,AF$33&gt;=$I9),$H9*$G$31,
AND(AF$36=$H$27,AF$33&gt;=$I9),$H9*$H$31,
AND(AF$36=$I$27,AF$33&gt;=$I9),$H9*$I$31,
TRUE, 0
)</f>
        <v>69984</v>
      </c>
      <c r="AG43" s="153">
        <f t="array" ref="AG43">IFS(AND(AG$36=$E$27,AG$33&gt;=$I9),$H9*$E$31,
AND(AG$36=$F$27,AG$33&gt;=$I9),$H9*$F$31,
AND(AG$36=$G$27,AG$33&gt;=$I9),$H9*$G$31,
AND(AG$36=$H$27,AG$33&gt;=$I9),$H9*$H$31,
AND(AG$36=$I$27,AG$33&gt;=$I9),$H9*$I$31,
TRUE, 0
)</f>
        <v>69984</v>
      </c>
      <c r="AH43" s="153">
        <f t="array" ref="AH43">IFS(AND(AH$36=$E$27,AH$33&gt;=$I9),$H9*$E$31,
AND(AH$36=$F$27,AH$33&gt;=$I9),$H9*$F$31,
AND(AH$36=$G$27,AH$33&gt;=$I9),$H9*$G$31,
AND(AH$36=$H$27,AH$33&gt;=$I9),$H9*$H$31,
AND(AH$36=$I$27,AH$33&gt;=$I9),$H9*$I$31,
TRUE, 0
)</f>
        <v>69984</v>
      </c>
      <c r="AI43" s="153">
        <f t="array" ref="AI43">IFS(AND(AI$36=$E$27,AI$33&gt;=$I9),$H9*$E$31,
AND(AI$36=$F$27,AI$33&gt;=$I9),$H9*$F$31,
AND(AI$36=$G$27,AI$33&gt;=$I9),$H9*$G$31,
AND(AI$36=$H$27,AI$33&gt;=$I9),$H9*$H$31,
AND(AI$36=$I$27,AI$33&gt;=$I9),$H9*$I$31,
TRUE, 0
)</f>
        <v>69984</v>
      </c>
      <c r="AJ43" s="153">
        <f t="array" ref="AJ43">IFS(AND(AJ$36=$E$27,AJ$33&gt;=$I9),$H9*$E$31,
AND(AJ$36=$F$27,AJ$33&gt;=$I9),$H9*$F$31,
AND(AJ$36=$G$27,AJ$33&gt;=$I9),$H9*$G$31,
AND(AJ$36=$H$27,AJ$33&gt;=$I9),$H9*$H$31,
AND(AJ$36=$I$27,AJ$33&gt;=$I9),$H9*$I$31,
TRUE, 0
)</f>
        <v>69984</v>
      </c>
      <c r="AK43" s="153">
        <f t="array" ref="AK43">IFS(AND(AK$36=$E$27,AK$33&gt;=$I9),$H9*$E$31,
AND(AK$36=$F$27,AK$33&gt;=$I9),$H9*$F$31,
AND(AK$36=$G$27,AK$33&gt;=$I9),$H9*$G$31,
AND(AK$36=$H$27,AK$33&gt;=$I9),$H9*$H$31,
AND(AK$36=$I$27,AK$33&gt;=$I9),$H9*$I$31,
TRUE, 0
)</f>
        <v>69984</v>
      </c>
      <c r="AL43" s="153">
        <f t="array" ref="AL43">IFS(AND(AL$36=$E$27,AL$33&gt;=$I9),$H9*$E$31,
AND(AL$36=$F$27,AL$33&gt;=$I9),$H9*$F$31,
AND(AL$36=$G$27,AL$33&gt;=$I9),$H9*$G$31,
AND(AL$36=$H$27,AL$33&gt;=$I9),$H9*$H$31,
AND(AL$36=$I$27,AL$33&gt;=$I9),$H9*$I$31,
TRUE, 0
)</f>
        <v>69984</v>
      </c>
      <c r="AM43" s="153">
        <f t="array" ref="AM43">IFS(AND(AM$36=$E$27,AM$33&gt;=$I9),$H9*$E$31,
AND(AM$36=$F$27,AM$33&gt;=$I9),$H9*$F$31,
AND(AM$36=$G$27,AM$33&gt;=$I9),$H9*$G$31,
AND(AM$36=$H$27,AM$33&gt;=$I9),$H9*$H$31,
AND(AM$36=$I$27,AM$33&gt;=$I9),$H9*$I$31,
TRUE, 0
)</f>
        <v>69984</v>
      </c>
      <c r="AN43" s="153">
        <f t="array" ref="AN43">IFS(AND(AN$36=$E$27,AN$33&gt;=$I9),$H9*$E$31,
AND(AN$36=$F$27,AN$33&gt;=$I9),$H9*$F$31,
AND(AN$36=$G$27,AN$33&gt;=$I9),$H9*$G$31,
AND(AN$36=$H$27,AN$33&gt;=$I9),$H9*$H$31,
AND(AN$36=$I$27,AN$33&gt;=$I9),$H9*$I$31,
TRUE, 0
)</f>
        <v>69984</v>
      </c>
      <c r="AO43" s="153">
        <f t="array" ref="AO43">IFS(AND(AO$36=$E$27,AO$33&gt;=$I9),$H9*$E$31,
AND(AO$36=$F$27,AO$33&gt;=$I9),$H9*$F$31,
AND(AO$36=$G$27,AO$33&gt;=$I9),$H9*$G$31,
AND(AO$36=$H$27,AO$33&gt;=$I9),$H9*$H$31,
AND(AO$36=$I$27,AO$33&gt;=$I9),$H9*$I$31,
TRUE, 0
)</f>
        <v>75582.72</v>
      </c>
      <c r="AP43" s="153">
        <f t="array" ref="AP43">IFS(AND(AP$36=$E$27,AP$33&gt;=$I9),$H9*$E$31,
AND(AP$36=$F$27,AP$33&gt;=$I9),$H9*$F$31,
AND(AP$36=$G$27,AP$33&gt;=$I9),$H9*$G$31,
AND(AP$36=$H$27,AP$33&gt;=$I9),$H9*$H$31,
AND(AP$36=$I$27,AP$33&gt;=$I9),$H9*$I$31,
TRUE, 0
)</f>
        <v>75582.72</v>
      </c>
      <c r="AQ43" s="153">
        <f t="array" ref="AQ43">IFS(AND(AQ$36=$E$27,AQ$33&gt;=$I9),$H9*$E$31,
AND(AQ$36=$F$27,AQ$33&gt;=$I9),$H9*$F$31,
AND(AQ$36=$G$27,AQ$33&gt;=$I9),$H9*$G$31,
AND(AQ$36=$H$27,AQ$33&gt;=$I9),$H9*$H$31,
AND(AQ$36=$I$27,AQ$33&gt;=$I9),$H9*$I$31,
TRUE, 0
)</f>
        <v>75582.72</v>
      </c>
      <c r="AR43" s="153">
        <f t="array" ref="AR43">IFS(AND(AR$36=$E$27,AR$33&gt;=$I9),$H9*$E$31,
AND(AR$36=$F$27,AR$33&gt;=$I9),$H9*$F$31,
AND(AR$36=$G$27,AR$33&gt;=$I9),$H9*$G$31,
AND(AR$36=$H$27,AR$33&gt;=$I9),$H9*$H$31,
AND(AR$36=$I$27,AR$33&gt;=$I9),$H9*$I$31,
TRUE, 0
)</f>
        <v>75582.72</v>
      </c>
      <c r="AS43" s="153">
        <f t="array" ref="AS43">IFS(AND(AS$36=$E$27,AS$33&gt;=$I9),$H9*$E$31,
AND(AS$36=$F$27,AS$33&gt;=$I9),$H9*$F$31,
AND(AS$36=$G$27,AS$33&gt;=$I9),$H9*$G$31,
AND(AS$36=$H$27,AS$33&gt;=$I9),$H9*$H$31,
AND(AS$36=$I$27,AS$33&gt;=$I9),$H9*$I$31,
TRUE, 0
)</f>
        <v>75582.72</v>
      </c>
      <c r="AT43" s="153">
        <f t="array" ref="AT43">IFS(AND(AT$36=$E$27,AT$33&gt;=$I9),$H9*$E$31,
AND(AT$36=$F$27,AT$33&gt;=$I9),$H9*$F$31,
AND(AT$36=$G$27,AT$33&gt;=$I9),$H9*$G$31,
AND(AT$36=$H$27,AT$33&gt;=$I9),$H9*$H$31,
AND(AT$36=$I$27,AT$33&gt;=$I9),$H9*$I$31,
TRUE, 0
)</f>
        <v>75582.72</v>
      </c>
      <c r="AU43" s="153">
        <f t="array" ref="AU43">IFS(AND(AU$36=$E$27,AU$33&gt;=$I9),$H9*$E$31,
AND(AU$36=$F$27,AU$33&gt;=$I9),$H9*$F$31,
AND(AU$36=$G$27,AU$33&gt;=$I9),$H9*$G$31,
AND(AU$36=$H$27,AU$33&gt;=$I9),$H9*$H$31,
AND(AU$36=$I$27,AU$33&gt;=$I9),$H9*$I$31,
TRUE, 0
)</f>
        <v>75582.72</v>
      </c>
      <c r="AV43" s="153">
        <f t="array" ref="AV43">IFS(AND(AV$36=$E$27,AV$33&gt;=$I9),$H9*$E$31,
AND(AV$36=$F$27,AV$33&gt;=$I9),$H9*$F$31,
AND(AV$36=$G$27,AV$33&gt;=$I9),$H9*$G$31,
AND(AV$36=$H$27,AV$33&gt;=$I9),$H9*$H$31,
AND(AV$36=$I$27,AV$33&gt;=$I9),$H9*$I$31,
TRUE, 0
)</f>
        <v>75582.72</v>
      </c>
      <c r="AW43" s="153">
        <f t="array" ref="AW43">IFS(AND(AW$36=$E$27,AW$33&gt;=$I9),$H9*$E$31,
AND(AW$36=$F$27,AW$33&gt;=$I9),$H9*$F$31,
AND(AW$36=$G$27,AW$33&gt;=$I9),$H9*$G$31,
AND(AW$36=$H$27,AW$33&gt;=$I9),$H9*$H$31,
AND(AW$36=$I$27,AW$33&gt;=$I9),$H9*$I$31,
TRUE, 0
)</f>
        <v>75582.72</v>
      </c>
      <c r="AX43" s="153">
        <f t="array" ref="AX43">IFS(AND(AX$36=$E$27,AX$33&gt;=$I9),$H9*$E$31,
AND(AX$36=$F$27,AX$33&gt;=$I9),$H9*$F$31,
AND(AX$36=$G$27,AX$33&gt;=$I9),$H9*$G$31,
AND(AX$36=$H$27,AX$33&gt;=$I9),$H9*$H$31,
AND(AX$36=$I$27,AX$33&gt;=$I9),$H9*$I$31,
TRUE, 0
)</f>
        <v>75582.72</v>
      </c>
      <c r="AY43" s="153">
        <f t="array" ref="AY43">IFS(AND(AY$36=$E$27,AY$33&gt;=$I9),$H9*$E$31,
AND(AY$36=$F$27,AY$33&gt;=$I9),$H9*$F$31,
AND(AY$36=$G$27,AY$33&gt;=$I9),$H9*$G$31,
AND(AY$36=$H$27,AY$33&gt;=$I9),$H9*$H$31,
AND(AY$36=$I$27,AY$33&gt;=$I9),$H9*$I$31,
TRUE, 0
)</f>
        <v>75582.72</v>
      </c>
      <c r="AZ43" s="153">
        <f t="array" ref="AZ43">IFS(AND(AZ$36=$E$27,AZ$33&gt;=$I9),$H9*$E$31,
AND(AZ$36=$F$27,AZ$33&gt;=$I9),$H9*$F$31,
AND(AZ$36=$G$27,AZ$33&gt;=$I9),$H9*$G$31,
AND(AZ$36=$H$27,AZ$33&gt;=$I9),$H9*$H$31,
AND(AZ$36=$I$27,AZ$33&gt;=$I9),$H9*$I$31,
TRUE, 0
)</f>
        <v>75582.72</v>
      </c>
      <c r="BA43" s="153">
        <f t="array" ref="BA43">IFS(AND(BA$36=$E$27,BA$33&gt;=$I9),$H9*$E$31,
AND(BA$36=$F$27,BA$33&gt;=$I9),$H9*$F$31,
AND(BA$36=$G$27,BA$33&gt;=$I9),$H9*$G$31,
AND(BA$36=$H$27,BA$33&gt;=$I9),$H9*$H$31,
AND(BA$36=$I$27,BA$33&gt;=$I9),$H9*$I$31,
TRUE, 0
)</f>
        <v>81629.3376</v>
      </c>
      <c r="BB43" s="153">
        <f t="array" ref="BB43">IFS(AND(BB$36=$E$27,BB$33&gt;=$I9),$H9*$E$31,
AND(BB$36=$F$27,BB$33&gt;=$I9),$H9*$F$31,
AND(BB$36=$G$27,BB$33&gt;=$I9),$H9*$G$31,
AND(BB$36=$H$27,BB$33&gt;=$I9),$H9*$H$31,
AND(BB$36=$I$27,BB$33&gt;=$I9),$H9*$I$31,
TRUE, 0
)</f>
        <v>81629.3376</v>
      </c>
      <c r="BC43" s="153">
        <f t="array" ref="BC43">IFS(AND(BC$36=$E$27,BC$33&gt;=$I9),$H9*$E$31,
AND(BC$36=$F$27,BC$33&gt;=$I9),$H9*$F$31,
AND(BC$36=$G$27,BC$33&gt;=$I9),$H9*$G$31,
AND(BC$36=$H$27,BC$33&gt;=$I9),$H9*$H$31,
AND(BC$36=$I$27,BC$33&gt;=$I9),$H9*$I$31,
TRUE, 0
)</f>
        <v>81629.3376</v>
      </c>
      <c r="BD43" s="153">
        <f t="array" ref="BD43">IFS(AND(BD$36=$E$27,BD$33&gt;=$I9),$H9*$E$31,
AND(BD$36=$F$27,BD$33&gt;=$I9),$H9*$F$31,
AND(BD$36=$G$27,BD$33&gt;=$I9),$H9*$G$31,
AND(BD$36=$H$27,BD$33&gt;=$I9),$H9*$H$31,
AND(BD$36=$I$27,BD$33&gt;=$I9),$H9*$I$31,
TRUE, 0
)</f>
        <v>81629.3376</v>
      </c>
      <c r="BE43" s="153">
        <f t="array" ref="BE43">IFS(AND(BE$36=$E$27,BE$33&gt;=$I9),$H9*$E$31,
AND(BE$36=$F$27,BE$33&gt;=$I9),$H9*$F$31,
AND(BE$36=$G$27,BE$33&gt;=$I9),$H9*$G$31,
AND(BE$36=$H$27,BE$33&gt;=$I9),$H9*$H$31,
AND(BE$36=$I$27,BE$33&gt;=$I9),$H9*$I$31,
TRUE, 0
)</f>
        <v>81629.3376</v>
      </c>
      <c r="BF43" s="153">
        <f t="array" ref="BF43">IFS(AND(BF$36=$E$27,BF$33&gt;=$I9),$H9*$E$31,
AND(BF$36=$F$27,BF$33&gt;=$I9),$H9*$F$31,
AND(BF$36=$G$27,BF$33&gt;=$I9),$H9*$G$31,
AND(BF$36=$H$27,BF$33&gt;=$I9),$H9*$H$31,
AND(BF$36=$I$27,BF$33&gt;=$I9),$H9*$I$31,
TRUE, 0
)</f>
        <v>81629.3376</v>
      </c>
      <c r="BG43" s="153">
        <f t="array" ref="BG43">IFS(AND(BG$36=$E$27,BG$33&gt;=$I9),$H9*$E$31,
AND(BG$36=$F$27,BG$33&gt;=$I9),$H9*$F$31,
AND(BG$36=$G$27,BG$33&gt;=$I9),$H9*$G$31,
AND(BG$36=$H$27,BG$33&gt;=$I9),$H9*$H$31,
AND(BG$36=$I$27,BG$33&gt;=$I9),$H9*$I$31,
TRUE, 0
)</f>
        <v>81629.3376</v>
      </c>
      <c r="BH43" s="153">
        <f t="array" ref="BH43">IFS(AND(BH$36=$E$27,BH$33&gt;=$I9),$H9*$E$31,
AND(BH$36=$F$27,BH$33&gt;=$I9),$H9*$F$31,
AND(BH$36=$G$27,BH$33&gt;=$I9),$H9*$G$31,
AND(BH$36=$H$27,BH$33&gt;=$I9),$H9*$H$31,
AND(BH$36=$I$27,BH$33&gt;=$I9),$H9*$I$31,
TRUE, 0
)</f>
        <v>81629.3376</v>
      </c>
      <c r="BI43" s="153">
        <f t="array" ref="BI43">IFS(AND(BI$36=$E$27,BI$33&gt;=$I9),$H9*$E$31,
AND(BI$36=$F$27,BI$33&gt;=$I9),$H9*$F$31,
AND(BI$36=$G$27,BI$33&gt;=$I9),$H9*$G$31,
AND(BI$36=$H$27,BI$33&gt;=$I9),$H9*$H$31,
AND(BI$36=$I$27,BI$33&gt;=$I9),$H9*$I$31,
TRUE, 0
)</f>
        <v>81629.3376</v>
      </c>
      <c r="BJ43" s="153">
        <f t="array" ref="BJ43">IFS(AND(BJ$36=$E$27,BJ$33&gt;=$I9),$H9*$E$31,
AND(BJ$36=$F$27,BJ$33&gt;=$I9),$H9*$F$31,
AND(BJ$36=$G$27,BJ$33&gt;=$I9),$H9*$G$31,
AND(BJ$36=$H$27,BJ$33&gt;=$I9),$H9*$H$31,
AND(BJ$36=$I$27,BJ$33&gt;=$I9),$H9*$I$31,
TRUE, 0
)</f>
        <v>81629.3376</v>
      </c>
      <c r="BK43" s="153">
        <f t="array" ref="BK43">IFS(AND(BK$36=$E$27,BK$33&gt;=$I9),$H9*$E$31,
AND(BK$36=$F$27,BK$33&gt;=$I9),$H9*$F$31,
AND(BK$36=$G$27,BK$33&gt;=$I9),$H9*$G$31,
AND(BK$36=$H$27,BK$33&gt;=$I9),$H9*$H$31,
AND(BK$36=$I$27,BK$33&gt;=$I9),$H9*$I$31,
TRUE, 0
)</f>
        <v>81629.3376</v>
      </c>
      <c r="BL43" s="140">
        <f t="array" ref="BL43">IFS(AND(BL$36=$E$27,BL$33&gt;=$I9),$H9*$E$31,
AND(BL$36=$F$27,BL$33&gt;=$I9),$H9*$F$31,
AND(BL$36=$G$27,BL$33&gt;=$I9),$H9*$G$31,
AND(BL$36=$H$27,BL$33&gt;=$I9),$H9*$H$31,
AND(BL$36=$I$27,BL$33&gt;=$I9),$H9*$I$31,
TRUE, 0
)</f>
        <v>81629.3376</v>
      </c>
    </row>
    <row r="44" ht="15.75" customHeight="1">
      <c r="D44" s="57" t="s">
        <v>187</v>
      </c>
      <c r="E44" s="153">
        <f t="shared" ref="E44:BL44" si="7">IFS(
AND(E$36=$E$27,E$33&gt;=$I10),$H10*$E$31,
AND(E$36=$F$27,E$33&gt;=$I10),$H10*$F$31,
AND(E$36=$G$27,E$33&gt;=$I10),$H10*$G$31,
AND(E$36=$H$27,E$33&gt;=$I10),$H10*$H$31,
AND(E$36=$I$27,E$33&gt;=$I10),$H10*$I$31,
TRUE, 0
)</f>
        <v>0</v>
      </c>
      <c r="F44" s="153">
        <f t="shared" si="7"/>
        <v>0</v>
      </c>
      <c r="G44" s="153">
        <f t="shared" si="7"/>
        <v>0</v>
      </c>
      <c r="H44" s="153">
        <f t="shared" si="7"/>
        <v>0</v>
      </c>
      <c r="I44" s="153">
        <f t="shared" si="7"/>
        <v>90000</v>
      </c>
      <c r="J44" s="153">
        <f t="shared" si="7"/>
        <v>90000</v>
      </c>
      <c r="K44" s="153">
        <f t="shared" si="7"/>
        <v>90000</v>
      </c>
      <c r="L44" s="153">
        <f t="shared" si="7"/>
        <v>90000</v>
      </c>
      <c r="M44" s="153">
        <f t="shared" si="7"/>
        <v>90000</v>
      </c>
      <c r="N44" s="153">
        <f t="shared" si="7"/>
        <v>90000</v>
      </c>
      <c r="O44" s="153">
        <f t="shared" si="7"/>
        <v>90000</v>
      </c>
      <c r="P44" s="153">
        <f t="shared" si="7"/>
        <v>90000</v>
      </c>
      <c r="Q44" s="153">
        <f t="shared" si="7"/>
        <v>97200</v>
      </c>
      <c r="R44" s="153">
        <f t="shared" si="7"/>
        <v>97200</v>
      </c>
      <c r="S44" s="153">
        <f t="shared" si="7"/>
        <v>97200</v>
      </c>
      <c r="T44" s="153">
        <f t="shared" si="7"/>
        <v>97200</v>
      </c>
      <c r="U44" s="153">
        <f t="shared" si="7"/>
        <v>97200</v>
      </c>
      <c r="V44" s="153">
        <f t="shared" si="7"/>
        <v>97200</v>
      </c>
      <c r="W44" s="153">
        <f t="shared" si="7"/>
        <v>97200</v>
      </c>
      <c r="X44" s="153">
        <f t="shared" si="7"/>
        <v>97200</v>
      </c>
      <c r="Y44" s="153">
        <f t="shared" si="7"/>
        <v>97200</v>
      </c>
      <c r="Z44" s="153">
        <f t="shared" si="7"/>
        <v>97200</v>
      </c>
      <c r="AA44" s="153">
        <f t="shared" si="7"/>
        <v>97200</v>
      </c>
      <c r="AB44" s="153">
        <f t="shared" si="7"/>
        <v>97200</v>
      </c>
      <c r="AC44" s="153">
        <f t="shared" si="7"/>
        <v>104976</v>
      </c>
      <c r="AD44" s="153">
        <f t="shared" si="7"/>
        <v>104976</v>
      </c>
      <c r="AE44" s="153">
        <f t="shared" si="7"/>
        <v>104976</v>
      </c>
      <c r="AF44" s="153">
        <f t="shared" si="7"/>
        <v>104976</v>
      </c>
      <c r="AG44" s="153">
        <f t="shared" si="7"/>
        <v>104976</v>
      </c>
      <c r="AH44" s="153">
        <f t="shared" si="7"/>
        <v>104976</v>
      </c>
      <c r="AI44" s="153">
        <f t="shared" si="7"/>
        <v>104976</v>
      </c>
      <c r="AJ44" s="153">
        <f t="shared" si="7"/>
        <v>104976</v>
      </c>
      <c r="AK44" s="153">
        <f t="shared" si="7"/>
        <v>104976</v>
      </c>
      <c r="AL44" s="153">
        <f t="shared" si="7"/>
        <v>104976</v>
      </c>
      <c r="AM44" s="153">
        <f t="shared" si="7"/>
        <v>104976</v>
      </c>
      <c r="AN44" s="153">
        <f t="shared" si="7"/>
        <v>104976</v>
      </c>
      <c r="AO44" s="153">
        <f t="shared" si="7"/>
        <v>113374.08</v>
      </c>
      <c r="AP44" s="153">
        <f t="shared" si="7"/>
        <v>113374.08</v>
      </c>
      <c r="AQ44" s="153">
        <f t="shared" si="7"/>
        <v>113374.08</v>
      </c>
      <c r="AR44" s="153">
        <f t="shared" si="7"/>
        <v>113374.08</v>
      </c>
      <c r="AS44" s="153">
        <f t="shared" si="7"/>
        <v>113374.08</v>
      </c>
      <c r="AT44" s="153">
        <f t="shared" si="7"/>
        <v>113374.08</v>
      </c>
      <c r="AU44" s="153">
        <f t="shared" si="7"/>
        <v>113374.08</v>
      </c>
      <c r="AV44" s="153">
        <f t="shared" si="7"/>
        <v>113374.08</v>
      </c>
      <c r="AW44" s="153">
        <f t="shared" si="7"/>
        <v>113374.08</v>
      </c>
      <c r="AX44" s="153">
        <f t="shared" si="7"/>
        <v>113374.08</v>
      </c>
      <c r="AY44" s="153">
        <f t="shared" si="7"/>
        <v>113374.08</v>
      </c>
      <c r="AZ44" s="153">
        <f t="shared" si="7"/>
        <v>113374.08</v>
      </c>
      <c r="BA44" s="153">
        <f t="shared" si="7"/>
        <v>122444.0064</v>
      </c>
      <c r="BB44" s="153">
        <f t="shared" si="7"/>
        <v>122444.0064</v>
      </c>
      <c r="BC44" s="153">
        <f t="shared" si="7"/>
        <v>122444.0064</v>
      </c>
      <c r="BD44" s="153">
        <f t="shared" si="7"/>
        <v>122444.0064</v>
      </c>
      <c r="BE44" s="153">
        <f t="shared" si="7"/>
        <v>122444.0064</v>
      </c>
      <c r="BF44" s="153">
        <f t="shared" si="7"/>
        <v>122444.0064</v>
      </c>
      <c r="BG44" s="153">
        <f t="shared" si="7"/>
        <v>122444.0064</v>
      </c>
      <c r="BH44" s="153">
        <f t="shared" si="7"/>
        <v>122444.0064</v>
      </c>
      <c r="BI44" s="153">
        <f t="shared" si="7"/>
        <v>122444.0064</v>
      </c>
      <c r="BJ44" s="153">
        <f t="shared" si="7"/>
        <v>122444.0064</v>
      </c>
      <c r="BK44" s="153">
        <f t="shared" si="7"/>
        <v>122444.0064</v>
      </c>
      <c r="BL44" s="140">
        <f t="shared" si="7"/>
        <v>122444.0064</v>
      </c>
    </row>
    <row r="45" ht="15.75" customHeight="1">
      <c r="D45" s="57" t="s">
        <v>189</v>
      </c>
      <c r="E45" s="153">
        <f t="shared" ref="E45:BL45" si="8">IFS(
AND(E$36=$E$27,E$33&gt;=$I11),$H11*$E$31,
AND(E$36=$F$27,E$33&gt;=$I11),$H11*$F$31,
AND(E$36=$G$27,E$33&gt;=$I11),$H11*$G$31,
AND(E$36=$H$27,E$33&gt;=$I11),$H11*$H$31,
AND(E$36=$I$27,E$33&gt;=$I11),$H11*$I$31,
TRUE, 0
)</f>
        <v>0</v>
      </c>
      <c r="F45" s="153">
        <f t="shared" si="8"/>
        <v>0</v>
      </c>
      <c r="G45" s="153">
        <f t="shared" si="8"/>
        <v>0</v>
      </c>
      <c r="H45" s="153">
        <f t="shared" si="8"/>
        <v>0</v>
      </c>
      <c r="I45" s="153">
        <f t="shared" si="8"/>
        <v>0</v>
      </c>
      <c r="J45" s="153">
        <f t="shared" si="8"/>
        <v>120000</v>
      </c>
      <c r="K45" s="153">
        <f t="shared" si="8"/>
        <v>120000</v>
      </c>
      <c r="L45" s="153">
        <f t="shared" si="8"/>
        <v>120000</v>
      </c>
      <c r="M45" s="153">
        <f t="shared" si="8"/>
        <v>120000</v>
      </c>
      <c r="N45" s="153">
        <f t="shared" si="8"/>
        <v>120000</v>
      </c>
      <c r="O45" s="153">
        <f t="shared" si="8"/>
        <v>120000</v>
      </c>
      <c r="P45" s="153">
        <f t="shared" si="8"/>
        <v>120000</v>
      </c>
      <c r="Q45" s="153">
        <f t="shared" si="8"/>
        <v>129600</v>
      </c>
      <c r="R45" s="153">
        <f t="shared" si="8"/>
        <v>129600</v>
      </c>
      <c r="S45" s="153">
        <f t="shared" si="8"/>
        <v>129600</v>
      </c>
      <c r="T45" s="153">
        <f t="shared" si="8"/>
        <v>129600</v>
      </c>
      <c r="U45" s="153">
        <f t="shared" si="8"/>
        <v>129600</v>
      </c>
      <c r="V45" s="153">
        <f t="shared" si="8"/>
        <v>129600</v>
      </c>
      <c r="W45" s="153">
        <f t="shared" si="8"/>
        <v>129600</v>
      </c>
      <c r="X45" s="153">
        <f t="shared" si="8"/>
        <v>129600</v>
      </c>
      <c r="Y45" s="153">
        <f t="shared" si="8"/>
        <v>129600</v>
      </c>
      <c r="Z45" s="153">
        <f t="shared" si="8"/>
        <v>129600</v>
      </c>
      <c r="AA45" s="153">
        <f t="shared" si="8"/>
        <v>129600</v>
      </c>
      <c r="AB45" s="153">
        <f t="shared" si="8"/>
        <v>129600</v>
      </c>
      <c r="AC45" s="153">
        <f t="shared" si="8"/>
        <v>139968</v>
      </c>
      <c r="AD45" s="153">
        <f t="shared" si="8"/>
        <v>139968</v>
      </c>
      <c r="AE45" s="153">
        <f t="shared" si="8"/>
        <v>139968</v>
      </c>
      <c r="AF45" s="153">
        <f t="shared" si="8"/>
        <v>139968</v>
      </c>
      <c r="AG45" s="153">
        <f t="shared" si="8"/>
        <v>139968</v>
      </c>
      <c r="AH45" s="153">
        <f t="shared" si="8"/>
        <v>139968</v>
      </c>
      <c r="AI45" s="153">
        <f t="shared" si="8"/>
        <v>139968</v>
      </c>
      <c r="AJ45" s="153">
        <f t="shared" si="8"/>
        <v>139968</v>
      </c>
      <c r="AK45" s="153">
        <f t="shared" si="8"/>
        <v>139968</v>
      </c>
      <c r="AL45" s="153">
        <f t="shared" si="8"/>
        <v>139968</v>
      </c>
      <c r="AM45" s="153">
        <f t="shared" si="8"/>
        <v>139968</v>
      </c>
      <c r="AN45" s="153">
        <f t="shared" si="8"/>
        <v>139968</v>
      </c>
      <c r="AO45" s="153">
        <f t="shared" si="8"/>
        <v>151165.44</v>
      </c>
      <c r="AP45" s="153">
        <f t="shared" si="8"/>
        <v>151165.44</v>
      </c>
      <c r="AQ45" s="153">
        <f t="shared" si="8"/>
        <v>151165.44</v>
      </c>
      <c r="AR45" s="153">
        <f t="shared" si="8"/>
        <v>151165.44</v>
      </c>
      <c r="AS45" s="153">
        <f t="shared" si="8"/>
        <v>151165.44</v>
      </c>
      <c r="AT45" s="153">
        <f t="shared" si="8"/>
        <v>151165.44</v>
      </c>
      <c r="AU45" s="153">
        <f t="shared" si="8"/>
        <v>151165.44</v>
      </c>
      <c r="AV45" s="153">
        <f t="shared" si="8"/>
        <v>151165.44</v>
      </c>
      <c r="AW45" s="153">
        <f t="shared" si="8"/>
        <v>151165.44</v>
      </c>
      <c r="AX45" s="153">
        <f t="shared" si="8"/>
        <v>151165.44</v>
      </c>
      <c r="AY45" s="153">
        <f t="shared" si="8"/>
        <v>151165.44</v>
      </c>
      <c r="AZ45" s="153">
        <f t="shared" si="8"/>
        <v>151165.44</v>
      </c>
      <c r="BA45" s="153">
        <f t="shared" si="8"/>
        <v>163258.6752</v>
      </c>
      <c r="BB45" s="153">
        <f t="shared" si="8"/>
        <v>163258.6752</v>
      </c>
      <c r="BC45" s="153">
        <f t="shared" si="8"/>
        <v>163258.6752</v>
      </c>
      <c r="BD45" s="153">
        <f t="shared" si="8"/>
        <v>163258.6752</v>
      </c>
      <c r="BE45" s="153">
        <f t="shared" si="8"/>
        <v>163258.6752</v>
      </c>
      <c r="BF45" s="153">
        <f t="shared" si="8"/>
        <v>163258.6752</v>
      </c>
      <c r="BG45" s="153">
        <f t="shared" si="8"/>
        <v>163258.6752</v>
      </c>
      <c r="BH45" s="153">
        <f t="shared" si="8"/>
        <v>163258.6752</v>
      </c>
      <c r="BI45" s="153">
        <f t="shared" si="8"/>
        <v>163258.6752</v>
      </c>
      <c r="BJ45" s="153">
        <f t="shared" si="8"/>
        <v>163258.6752</v>
      </c>
      <c r="BK45" s="153">
        <f t="shared" si="8"/>
        <v>163258.6752</v>
      </c>
      <c r="BL45" s="140">
        <f t="shared" si="8"/>
        <v>163258.6752</v>
      </c>
    </row>
    <row r="46" ht="15.75" customHeight="1">
      <c r="D46" s="57" t="s">
        <v>190</v>
      </c>
      <c r="E46" s="153">
        <f t="shared" ref="E46:BL46" si="9">IFS(
AND(E$36=$E$27,E$33&gt;=$I12),$H12*$E$31,
AND(E$36=$F$27,E$33&gt;=$I12),$H12*$F$31,
AND(E$36=$G$27,E$33&gt;=$I12),$H12*$G$31,
AND(E$36=$H$27,E$33&gt;=$I12),$H12*$H$31,
AND(E$36=$I$27,E$33&gt;=$I12),$H12*$I$31,
TRUE, 0
)</f>
        <v>0</v>
      </c>
      <c r="F46" s="153">
        <f t="shared" si="9"/>
        <v>0</v>
      </c>
      <c r="G46" s="153">
        <f t="shared" si="9"/>
        <v>0</v>
      </c>
      <c r="H46" s="153">
        <f t="shared" si="9"/>
        <v>0</v>
      </c>
      <c r="I46" s="153">
        <f t="shared" si="9"/>
        <v>0</v>
      </c>
      <c r="J46" s="153">
        <f t="shared" si="9"/>
        <v>80000</v>
      </c>
      <c r="K46" s="153">
        <f t="shared" si="9"/>
        <v>80000</v>
      </c>
      <c r="L46" s="153">
        <f t="shared" si="9"/>
        <v>80000</v>
      </c>
      <c r="M46" s="153">
        <f t="shared" si="9"/>
        <v>80000</v>
      </c>
      <c r="N46" s="153">
        <f t="shared" si="9"/>
        <v>80000</v>
      </c>
      <c r="O46" s="153">
        <f t="shared" si="9"/>
        <v>80000</v>
      </c>
      <c r="P46" s="153">
        <f t="shared" si="9"/>
        <v>80000</v>
      </c>
      <c r="Q46" s="153">
        <f t="shared" si="9"/>
        <v>86400</v>
      </c>
      <c r="R46" s="153">
        <f t="shared" si="9"/>
        <v>86400</v>
      </c>
      <c r="S46" s="153">
        <f t="shared" si="9"/>
        <v>86400</v>
      </c>
      <c r="T46" s="153">
        <f t="shared" si="9"/>
        <v>86400</v>
      </c>
      <c r="U46" s="153">
        <f t="shared" si="9"/>
        <v>86400</v>
      </c>
      <c r="V46" s="153">
        <f t="shared" si="9"/>
        <v>86400</v>
      </c>
      <c r="W46" s="153">
        <f t="shared" si="9"/>
        <v>86400</v>
      </c>
      <c r="X46" s="153">
        <f t="shared" si="9"/>
        <v>86400</v>
      </c>
      <c r="Y46" s="153">
        <f t="shared" si="9"/>
        <v>86400</v>
      </c>
      <c r="Z46" s="153">
        <f t="shared" si="9"/>
        <v>86400</v>
      </c>
      <c r="AA46" s="153">
        <f t="shared" si="9"/>
        <v>86400</v>
      </c>
      <c r="AB46" s="153">
        <f t="shared" si="9"/>
        <v>86400</v>
      </c>
      <c r="AC46" s="153">
        <f t="shared" si="9"/>
        <v>93312</v>
      </c>
      <c r="AD46" s="153">
        <f t="shared" si="9"/>
        <v>93312</v>
      </c>
      <c r="AE46" s="153">
        <f t="shared" si="9"/>
        <v>93312</v>
      </c>
      <c r="AF46" s="153">
        <f t="shared" si="9"/>
        <v>93312</v>
      </c>
      <c r="AG46" s="153">
        <f t="shared" si="9"/>
        <v>93312</v>
      </c>
      <c r="AH46" s="153">
        <f t="shared" si="9"/>
        <v>93312</v>
      </c>
      <c r="AI46" s="153">
        <f t="shared" si="9"/>
        <v>93312</v>
      </c>
      <c r="AJ46" s="153">
        <f t="shared" si="9"/>
        <v>93312</v>
      </c>
      <c r="AK46" s="153">
        <f t="shared" si="9"/>
        <v>93312</v>
      </c>
      <c r="AL46" s="153">
        <f t="shared" si="9"/>
        <v>93312</v>
      </c>
      <c r="AM46" s="153">
        <f t="shared" si="9"/>
        <v>93312</v>
      </c>
      <c r="AN46" s="153">
        <f t="shared" si="9"/>
        <v>93312</v>
      </c>
      <c r="AO46" s="153">
        <f t="shared" si="9"/>
        <v>100776.96</v>
      </c>
      <c r="AP46" s="153">
        <f t="shared" si="9"/>
        <v>100776.96</v>
      </c>
      <c r="AQ46" s="153">
        <f t="shared" si="9"/>
        <v>100776.96</v>
      </c>
      <c r="AR46" s="153">
        <f t="shared" si="9"/>
        <v>100776.96</v>
      </c>
      <c r="AS46" s="153">
        <f t="shared" si="9"/>
        <v>100776.96</v>
      </c>
      <c r="AT46" s="153">
        <f t="shared" si="9"/>
        <v>100776.96</v>
      </c>
      <c r="AU46" s="153">
        <f t="shared" si="9"/>
        <v>100776.96</v>
      </c>
      <c r="AV46" s="153">
        <f t="shared" si="9"/>
        <v>100776.96</v>
      </c>
      <c r="AW46" s="153">
        <f t="shared" si="9"/>
        <v>100776.96</v>
      </c>
      <c r="AX46" s="153">
        <f t="shared" si="9"/>
        <v>100776.96</v>
      </c>
      <c r="AY46" s="153">
        <f t="shared" si="9"/>
        <v>100776.96</v>
      </c>
      <c r="AZ46" s="153">
        <f t="shared" si="9"/>
        <v>100776.96</v>
      </c>
      <c r="BA46" s="153">
        <f t="shared" si="9"/>
        <v>108839.1168</v>
      </c>
      <c r="BB46" s="153">
        <f t="shared" si="9"/>
        <v>108839.1168</v>
      </c>
      <c r="BC46" s="153">
        <f t="shared" si="9"/>
        <v>108839.1168</v>
      </c>
      <c r="BD46" s="153">
        <f t="shared" si="9"/>
        <v>108839.1168</v>
      </c>
      <c r="BE46" s="153">
        <f t="shared" si="9"/>
        <v>108839.1168</v>
      </c>
      <c r="BF46" s="153">
        <f t="shared" si="9"/>
        <v>108839.1168</v>
      </c>
      <c r="BG46" s="153">
        <f t="shared" si="9"/>
        <v>108839.1168</v>
      </c>
      <c r="BH46" s="153">
        <f t="shared" si="9"/>
        <v>108839.1168</v>
      </c>
      <c r="BI46" s="153">
        <f t="shared" si="9"/>
        <v>108839.1168</v>
      </c>
      <c r="BJ46" s="153">
        <f t="shared" si="9"/>
        <v>108839.1168</v>
      </c>
      <c r="BK46" s="153">
        <f t="shared" si="9"/>
        <v>108839.1168</v>
      </c>
      <c r="BL46" s="140">
        <f t="shared" si="9"/>
        <v>108839.1168</v>
      </c>
    </row>
    <row r="47" ht="15.75" customHeight="1">
      <c r="D47" s="35" t="s">
        <v>191</v>
      </c>
      <c r="E47" s="153">
        <f t="shared" ref="E47:BL47" si="10">IFS(
AND(E$36=$E$27,E$33&gt;=$I13),$H13*$E$31,
AND(E$36=$F$27,E$33&gt;=$I13),$H13*$F$31,
AND(E$36=$G$27,E$33&gt;=$I13),$H13*$G$31,
AND(E$36=$H$27,E$33&gt;=$I13),$H13*$H$31,
AND(E$36=$I$27,E$33&gt;=$I13),$H13*$I$31,
TRUE, 0
)</f>
        <v>0</v>
      </c>
      <c r="F47" s="153">
        <f t="shared" si="10"/>
        <v>0</v>
      </c>
      <c r="G47" s="153">
        <f t="shared" si="10"/>
        <v>0</v>
      </c>
      <c r="H47" s="153">
        <f t="shared" si="10"/>
        <v>0</v>
      </c>
      <c r="I47" s="153">
        <f t="shared" si="10"/>
        <v>0</v>
      </c>
      <c r="J47" s="153">
        <f t="shared" si="10"/>
        <v>120000</v>
      </c>
      <c r="K47" s="153">
        <f t="shared" si="10"/>
        <v>120000</v>
      </c>
      <c r="L47" s="153">
        <f t="shared" si="10"/>
        <v>120000</v>
      </c>
      <c r="M47" s="153">
        <f t="shared" si="10"/>
        <v>120000</v>
      </c>
      <c r="N47" s="153">
        <f t="shared" si="10"/>
        <v>120000</v>
      </c>
      <c r="O47" s="153">
        <f t="shared" si="10"/>
        <v>120000</v>
      </c>
      <c r="P47" s="153">
        <f t="shared" si="10"/>
        <v>120000</v>
      </c>
      <c r="Q47" s="153">
        <f t="shared" si="10"/>
        <v>129600</v>
      </c>
      <c r="R47" s="153">
        <f t="shared" si="10"/>
        <v>129600</v>
      </c>
      <c r="S47" s="153">
        <f t="shared" si="10"/>
        <v>129600</v>
      </c>
      <c r="T47" s="153">
        <f t="shared" si="10"/>
        <v>129600</v>
      </c>
      <c r="U47" s="153">
        <f t="shared" si="10"/>
        <v>129600</v>
      </c>
      <c r="V47" s="153">
        <f t="shared" si="10"/>
        <v>129600</v>
      </c>
      <c r="W47" s="153">
        <f t="shared" si="10"/>
        <v>129600</v>
      </c>
      <c r="X47" s="153">
        <f t="shared" si="10"/>
        <v>129600</v>
      </c>
      <c r="Y47" s="153">
        <f t="shared" si="10"/>
        <v>129600</v>
      </c>
      <c r="Z47" s="153">
        <f t="shared" si="10"/>
        <v>129600</v>
      </c>
      <c r="AA47" s="153">
        <f t="shared" si="10"/>
        <v>129600</v>
      </c>
      <c r="AB47" s="153">
        <f t="shared" si="10"/>
        <v>129600</v>
      </c>
      <c r="AC47" s="153">
        <f t="shared" si="10"/>
        <v>139968</v>
      </c>
      <c r="AD47" s="153">
        <f t="shared" si="10"/>
        <v>139968</v>
      </c>
      <c r="AE47" s="153">
        <f t="shared" si="10"/>
        <v>139968</v>
      </c>
      <c r="AF47" s="153">
        <f t="shared" si="10"/>
        <v>139968</v>
      </c>
      <c r="AG47" s="153">
        <f t="shared" si="10"/>
        <v>139968</v>
      </c>
      <c r="AH47" s="153">
        <f t="shared" si="10"/>
        <v>139968</v>
      </c>
      <c r="AI47" s="153">
        <f t="shared" si="10"/>
        <v>139968</v>
      </c>
      <c r="AJ47" s="153">
        <f t="shared" si="10"/>
        <v>139968</v>
      </c>
      <c r="AK47" s="153">
        <f t="shared" si="10"/>
        <v>139968</v>
      </c>
      <c r="AL47" s="153">
        <f t="shared" si="10"/>
        <v>139968</v>
      </c>
      <c r="AM47" s="153">
        <f t="shared" si="10"/>
        <v>139968</v>
      </c>
      <c r="AN47" s="153">
        <f t="shared" si="10"/>
        <v>139968</v>
      </c>
      <c r="AO47" s="153">
        <f t="shared" si="10"/>
        <v>151165.44</v>
      </c>
      <c r="AP47" s="153">
        <f t="shared" si="10"/>
        <v>151165.44</v>
      </c>
      <c r="AQ47" s="153">
        <f t="shared" si="10"/>
        <v>151165.44</v>
      </c>
      <c r="AR47" s="153">
        <f t="shared" si="10"/>
        <v>151165.44</v>
      </c>
      <c r="AS47" s="153">
        <f t="shared" si="10"/>
        <v>151165.44</v>
      </c>
      <c r="AT47" s="153">
        <f t="shared" si="10"/>
        <v>151165.44</v>
      </c>
      <c r="AU47" s="153">
        <f t="shared" si="10"/>
        <v>151165.44</v>
      </c>
      <c r="AV47" s="153">
        <f t="shared" si="10"/>
        <v>151165.44</v>
      </c>
      <c r="AW47" s="153">
        <f t="shared" si="10"/>
        <v>151165.44</v>
      </c>
      <c r="AX47" s="153">
        <f t="shared" si="10"/>
        <v>151165.44</v>
      </c>
      <c r="AY47" s="153">
        <f t="shared" si="10"/>
        <v>151165.44</v>
      </c>
      <c r="AZ47" s="153">
        <f t="shared" si="10"/>
        <v>151165.44</v>
      </c>
      <c r="BA47" s="153">
        <f t="shared" si="10"/>
        <v>163258.6752</v>
      </c>
      <c r="BB47" s="153">
        <f t="shared" si="10"/>
        <v>163258.6752</v>
      </c>
      <c r="BC47" s="153">
        <f t="shared" si="10"/>
        <v>163258.6752</v>
      </c>
      <c r="BD47" s="153">
        <f t="shared" si="10"/>
        <v>163258.6752</v>
      </c>
      <c r="BE47" s="153">
        <f t="shared" si="10"/>
        <v>163258.6752</v>
      </c>
      <c r="BF47" s="153">
        <f t="shared" si="10"/>
        <v>163258.6752</v>
      </c>
      <c r="BG47" s="153">
        <f t="shared" si="10"/>
        <v>163258.6752</v>
      </c>
      <c r="BH47" s="153">
        <f t="shared" si="10"/>
        <v>163258.6752</v>
      </c>
      <c r="BI47" s="153">
        <f t="shared" si="10"/>
        <v>163258.6752</v>
      </c>
      <c r="BJ47" s="153">
        <f t="shared" si="10"/>
        <v>163258.6752</v>
      </c>
      <c r="BK47" s="153">
        <f t="shared" si="10"/>
        <v>163258.6752</v>
      </c>
      <c r="BL47" s="140">
        <f t="shared" si="10"/>
        <v>163258.6752</v>
      </c>
    </row>
    <row r="48" ht="15.75" customHeight="1">
      <c r="D48" s="35" t="s">
        <v>192</v>
      </c>
      <c r="E48" s="153">
        <f t="shared" ref="E48:BL48" si="11">IFS(
AND(E$36=$E$27,E$33&gt;=$I14),$H14*$E$31,
AND(E$36=$F$27,E$33&gt;=$I14),$H14*$F$31,
AND(E$36=$G$27,E$33&gt;=$I14),$H14*$G$31,
AND(E$36=$H$27,E$33&gt;=$I14),$H14*$H$31,
AND(E$36=$I$27,E$33&gt;=$I14),$H14*$I$31,
TRUE, 0
)</f>
        <v>0</v>
      </c>
      <c r="F48" s="153">
        <f t="shared" si="11"/>
        <v>0</v>
      </c>
      <c r="G48" s="153">
        <f t="shared" si="11"/>
        <v>0</v>
      </c>
      <c r="H48" s="153">
        <f t="shared" si="11"/>
        <v>0</v>
      </c>
      <c r="I48" s="153">
        <f t="shared" si="11"/>
        <v>0</v>
      </c>
      <c r="J48" s="153">
        <f t="shared" si="11"/>
        <v>0</v>
      </c>
      <c r="K48" s="153">
        <f t="shared" si="11"/>
        <v>140000</v>
      </c>
      <c r="L48" s="153">
        <f t="shared" si="11"/>
        <v>140000</v>
      </c>
      <c r="M48" s="153">
        <f t="shared" si="11"/>
        <v>140000</v>
      </c>
      <c r="N48" s="153">
        <f t="shared" si="11"/>
        <v>140000</v>
      </c>
      <c r="O48" s="153">
        <f t="shared" si="11"/>
        <v>140000</v>
      </c>
      <c r="P48" s="153">
        <f t="shared" si="11"/>
        <v>140000</v>
      </c>
      <c r="Q48" s="153">
        <f t="shared" si="11"/>
        <v>151200</v>
      </c>
      <c r="R48" s="153">
        <f t="shared" si="11"/>
        <v>151200</v>
      </c>
      <c r="S48" s="153">
        <f t="shared" si="11"/>
        <v>151200</v>
      </c>
      <c r="T48" s="153">
        <f t="shared" si="11"/>
        <v>151200</v>
      </c>
      <c r="U48" s="153">
        <f t="shared" si="11"/>
        <v>151200</v>
      </c>
      <c r="V48" s="153">
        <f t="shared" si="11"/>
        <v>151200</v>
      </c>
      <c r="W48" s="153">
        <f t="shared" si="11"/>
        <v>151200</v>
      </c>
      <c r="X48" s="153">
        <f t="shared" si="11"/>
        <v>151200</v>
      </c>
      <c r="Y48" s="153">
        <f t="shared" si="11"/>
        <v>151200</v>
      </c>
      <c r="Z48" s="153">
        <f t="shared" si="11"/>
        <v>151200</v>
      </c>
      <c r="AA48" s="153">
        <f t="shared" si="11"/>
        <v>151200</v>
      </c>
      <c r="AB48" s="153">
        <f t="shared" si="11"/>
        <v>151200</v>
      </c>
      <c r="AC48" s="153">
        <f t="shared" si="11"/>
        <v>163296</v>
      </c>
      <c r="AD48" s="153">
        <f t="shared" si="11"/>
        <v>163296</v>
      </c>
      <c r="AE48" s="153">
        <f t="shared" si="11"/>
        <v>163296</v>
      </c>
      <c r="AF48" s="153">
        <f t="shared" si="11"/>
        <v>163296</v>
      </c>
      <c r="AG48" s="153">
        <f t="shared" si="11"/>
        <v>163296</v>
      </c>
      <c r="AH48" s="153">
        <f t="shared" si="11"/>
        <v>163296</v>
      </c>
      <c r="AI48" s="153">
        <f t="shared" si="11"/>
        <v>163296</v>
      </c>
      <c r="AJ48" s="153">
        <f t="shared" si="11"/>
        <v>163296</v>
      </c>
      <c r="AK48" s="153">
        <f t="shared" si="11"/>
        <v>163296</v>
      </c>
      <c r="AL48" s="153">
        <f t="shared" si="11"/>
        <v>163296</v>
      </c>
      <c r="AM48" s="153">
        <f t="shared" si="11"/>
        <v>163296</v>
      </c>
      <c r="AN48" s="153">
        <f t="shared" si="11"/>
        <v>163296</v>
      </c>
      <c r="AO48" s="153">
        <f t="shared" si="11"/>
        <v>176359.68</v>
      </c>
      <c r="AP48" s="153">
        <f t="shared" si="11"/>
        <v>176359.68</v>
      </c>
      <c r="AQ48" s="153">
        <f t="shared" si="11"/>
        <v>176359.68</v>
      </c>
      <c r="AR48" s="153">
        <f t="shared" si="11"/>
        <v>176359.68</v>
      </c>
      <c r="AS48" s="153">
        <f t="shared" si="11"/>
        <v>176359.68</v>
      </c>
      <c r="AT48" s="153">
        <f t="shared" si="11"/>
        <v>176359.68</v>
      </c>
      <c r="AU48" s="153">
        <f t="shared" si="11"/>
        <v>176359.68</v>
      </c>
      <c r="AV48" s="153">
        <f t="shared" si="11"/>
        <v>176359.68</v>
      </c>
      <c r="AW48" s="153">
        <f t="shared" si="11"/>
        <v>176359.68</v>
      </c>
      <c r="AX48" s="153">
        <f t="shared" si="11"/>
        <v>176359.68</v>
      </c>
      <c r="AY48" s="153">
        <f t="shared" si="11"/>
        <v>176359.68</v>
      </c>
      <c r="AZ48" s="153">
        <f t="shared" si="11"/>
        <v>176359.68</v>
      </c>
      <c r="BA48" s="153">
        <f t="shared" si="11"/>
        <v>190468.4544</v>
      </c>
      <c r="BB48" s="153">
        <f t="shared" si="11"/>
        <v>190468.4544</v>
      </c>
      <c r="BC48" s="153">
        <f t="shared" si="11"/>
        <v>190468.4544</v>
      </c>
      <c r="BD48" s="153">
        <f t="shared" si="11"/>
        <v>190468.4544</v>
      </c>
      <c r="BE48" s="153">
        <f t="shared" si="11"/>
        <v>190468.4544</v>
      </c>
      <c r="BF48" s="153">
        <f t="shared" si="11"/>
        <v>190468.4544</v>
      </c>
      <c r="BG48" s="153">
        <f t="shared" si="11"/>
        <v>190468.4544</v>
      </c>
      <c r="BH48" s="153">
        <f t="shared" si="11"/>
        <v>190468.4544</v>
      </c>
      <c r="BI48" s="153">
        <f t="shared" si="11"/>
        <v>190468.4544</v>
      </c>
      <c r="BJ48" s="153">
        <f t="shared" si="11"/>
        <v>190468.4544</v>
      </c>
      <c r="BK48" s="153">
        <f t="shared" si="11"/>
        <v>190468.4544</v>
      </c>
      <c r="BL48" s="140">
        <f t="shared" si="11"/>
        <v>190468.4544</v>
      </c>
    </row>
    <row r="49" ht="15.75" customHeight="1">
      <c r="D49" s="35" t="s">
        <v>193</v>
      </c>
      <c r="E49" s="153">
        <f t="shared" ref="E49:BL49" si="12">IFS(
AND(E$36=$E$27,E$33&gt;=$I15),$H15*$E$31,
AND(E$36=$F$27,E$33&gt;=$I15),$H15*$F$31,
AND(E$36=$G$27,E$33&gt;=$I15),$H15*$G$31,
AND(E$36=$H$27,E$33&gt;=$I15),$H15*$H$31,
AND(E$36=$I$27,E$33&gt;=$I15),$H15*$I$31,
TRUE, 0
)</f>
        <v>0</v>
      </c>
      <c r="F49" s="153">
        <f t="shared" si="12"/>
        <v>0</v>
      </c>
      <c r="G49" s="153">
        <f t="shared" si="12"/>
        <v>0</v>
      </c>
      <c r="H49" s="153">
        <f t="shared" si="12"/>
        <v>0</v>
      </c>
      <c r="I49" s="153">
        <f t="shared" si="12"/>
        <v>0</v>
      </c>
      <c r="J49" s="153">
        <f t="shared" si="12"/>
        <v>0</v>
      </c>
      <c r="K49" s="153">
        <f t="shared" si="12"/>
        <v>50000</v>
      </c>
      <c r="L49" s="153">
        <f t="shared" si="12"/>
        <v>50000</v>
      </c>
      <c r="M49" s="153">
        <f t="shared" si="12"/>
        <v>50000</v>
      </c>
      <c r="N49" s="153">
        <f t="shared" si="12"/>
        <v>50000</v>
      </c>
      <c r="O49" s="153">
        <f t="shared" si="12"/>
        <v>50000</v>
      </c>
      <c r="P49" s="153">
        <f t="shared" si="12"/>
        <v>50000</v>
      </c>
      <c r="Q49" s="153">
        <f t="shared" si="12"/>
        <v>54000</v>
      </c>
      <c r="R49" s="153">
        <f t="shared" si="12"/>
        <v>54000</v>
      </c>
      <c r="S49" s="153">
        <f t="shared" si="12"/>
        <v>54000</v>
      </c>
      <c r="T49" s="153">
        <f t="shared" si="12"/>
        <v>54000</v>
      </c>
      <c r="U49" s="153">
        <f t="shared" si="12"/>
        <v>54000</v>
      </c>
      <c r="V49" s="153">
        <f t="shared" si="12"/>
        <v>54000</v>
      </c>
      <c r="W49" s="153">
        <f t="shared" si="12"/>
        <v>54000</v>
      </c>
      <c r="X49" s="153">
        <f t="shared" si="12"/>
        <v>54000</v>
      </c>
      <c r="Y49" s="153">
        <f t="shared" si="12"/>
        <v>54000</v>
      </c>
      <c r="Z49" s="153">
        <f t="shared" si="12"/>
        <v>54000</v>
      </c>
      <c r="AA49" s="153">
        <f t="shared" si="12"/>
        <v>54000</v>
      </c>
      <c r="AB49" s="153">
        <f t="shared" si="12"/>
        <v>54000</v>
      </c>
      <c r="AC49" s="153">
        <f t="shared" si="12"/>
        <v>58320</v>
      </c>
      <c r="AD49" s="153">
        <f t="shared" si="12"/>
        <v>58320</v>
      </c>
      <c r="AE49" s="153">
        <f t="shared" si="12"/>
        <v>58320</v>
      </c>
      <c r="AF49" s="153">
        <f t="shared" si="12"/>
        <v>58320</v>
      </c>
      <c r="AG49" s="153">
        <f t="shared" si="12"/>
        <v>58320</v>
      </c>
      <c r="AH49" s="153">
        <f t="shared" si="12"/>
        <v>58320</v>
      </c>
      <c r="AI49" s="153">
        <f t="shared" si="12"/>
        <v>58320</v>
      </c>
      <c r="AJ49" s="153">
        <f t="shared" si="12"/>
        <v>58320</v>
      </c>
      <c r="AK49" s="153">
        <f t="shared" si="12"/>
        <v>58320</v>
      </c>
      <c r="AL49" s="153">
        <f t="shared" si="12"/>
        <v>58320</v>
      </c>
      <c r="AM49" s="153">
        <f t="shared" si="12"/>
        <v>58320</v>
      </c>
      <c r="AN49" s="153">
        <f t="shared" si="12"/>
        <v>58320</v>
      </c>
      <c r="AO49" s="153">
        <f t="shared" si="12"/>
        <v>62985.6</v>
      </c>
      <c r="AP49" s="153">
        <f t="shared" si="12"/>
        <v>62985.6</v>
      </c>
      <c r="AQ49" s="153">
        <f t="shared" si="12"/>
        <v>62985.6</v>
      </c>
      <c r="AR49" s="153">
        <f t="shared" si="12"/>
        <v>62985.6</v>
      </c>
      <c r="AS49" s="153">
        <f t="shared" si="12"/>
        <v>62985.6</v>
      </c>
      <c r="AT49" s="153">
        <f t="shared" si="12"/>
        <v>62985.6</v>
      </c>
      <c r="AU49" s="153">
        <f t="shared" si="12"/>
        <v>62985.6</v>
      </c>
      <c r="AV49" s="153">
        <f t="shared" si="12"/>
        <v>62985.6</v>
      </c>
      <c r="AW49" s="153">
        <f t="shared" si="12"/>
        <v>62985.6</v>
      </c>
      <c r="AX49" s="153">
        <f t="shared" si="12"/>
        <v>62985.6</v>
      </c>
      <c r="AY49" s="153">
        <f t="shared" si="12"/>
        <v>62985.6</v>
      </c>
      <c r="AZ49" s="153">
        <f t="shared" si="12"/>
        <v>62985.6</v>
      </c>
      <c r="BA49" s="153">
        <f t="shared" si="12"/>
        <v>68024.448</v>
      </c>
      <c r="BB49" s="153">
        <f t="shared" si="12"/>
        <v>68024.448</v>
      </c>
      <c r="BC49" s="153">
        <f t="shared" si="12"/>
        <v>68024.448</v>
      </c>
      <c r="BD49" s="153">
        <f t="shared" si="12"/>
        <v>68024.448</v>
      </c>
      <c r="BE49" s="153">
        <f t="shared" si="12"/>
        <v>68024.448</v>
      </c>
      <c r="BF49" s="153">
        <f t="shared" si="12"/>
        <v>68024.448</v>
      </c>
      <c r="BG49" s="153">
        <f t="shared" si="12"/>
        <v>68024.448</v>
      </c>
      <c r="BH49" s="153">
        <f t="shared" si="12"/>
        <v>68024.448</v>
      </c>
      <c r="BI49" s="153">
        <f t="shared" si="12"/>
        <v>68024.448</v>
      </c>
      <c r="BJ49" s="153">
        <f t="shared" si="12"/>
        <v>68024.448</v>
      </c>
      <c r="BK49" s="153">
        <f t="shared" si="12"/>
        <v>68024.448</v>
      </c>
      <c r="BL49" s="140">
        <f t="shared" si="12"/>
        <v>68024.448</v>
      </c>
    </row>
    <row r="50" ht="15.75" customHeight="1">
      <c r="D50" s="57" t="s">
        <v>194</v>
      </c>
      <c r="E50" s="153">
        <f t="shared" ref="E50:BL50" si="13">IFS(
AND(E$36=$E$27,E$33&gt;=$I16),$H16*$E$31,
AND(E$36=$F$27,E$33&gt;=$I16),$H16*$F$31,
AND(E$36=$G$27,E$33&gt;=$I16),$H16*$G$31,
AND(E$36=$H$27,E$33&gt;=$I16),$H16*$H$31,
AND(E$36=$I$27,E$33&gt;=$I16),$H16*$I$31,
TRUE, 0
)</f>
        <v>0</v>
      </c>
      <c r="F50" s="153">
        <f t="shared" si="13"/>
        <v>0</v>
      </c>
      <c r="G50" s="153">
        <f t="shared" si="13"/>
        <v>0</v>
      </c>
      <c r="H50" s="153">
        <f t="shared" si="13"/>
        <v>0</v>
      </c>
      <c r="I50" s="153">
        <f t="shared" si="13"/>
        <v>0</v>
      </c>
      <c r="J50" s="153">
        <f t="shared" si="13"/>
        <v>0</v>
      </c>
      <c r="K50" s="153">
        <f t="shared" si="13"/>
        <v>0</v>
      </c>
      <c r="L50" s="153">
        <f t="shared" si="13"/>
        <v>60000</v>
      </c>
      <c r="M50" s="153">
        <f t="shared" si="13"/>
        <v>60000</v>
      </c>
      <c r="N50" s="153">
        <f t="shared" si="13"/>
        <v>60000</v>
      </c>
      <c r="O50" s="153">
        <f t="shared" si="13"/>
        <v>60000</v>
      </c>
      <c r="P50" s="153">
        <f t="shared" si="13"/>
        <v>60000</v>
      </c>
      <c r="Q50" s="153">
        <f t="shared" si="13"/>
        <v>64800</v>
      </c>
      <c r="R50" s="153">
        <f t="shared" si="13"/>
        <v>64800</v>
      </c>
      <c r="S50" s="153">
        <f t="shared" si="13"/>
        <v>64800</v>
      </c>
      <c r="T50" s="153">
        <f t="shared" si="13"/>
        <v>64800</v>
      </c>
      <c r="U50" s="153">
        <f t="shared" si="13"/>
        <v>64800</v>
      </c>
      <c r="V50" s="153">
        <f t="shared" si="13"/>
        <v>64800</v>
      </c>
      <c r="W50" s="153">
        <f t="shared" si="13"/>
        <v>64800</v>
      </c>
      <c r="X50" s="153">
        <f t="shared" si="13"/>
        <v>64800</v>
      </c>
      <c r="Y50" s="153">
        <f t="shared" si="13"/>
        <v>64800</v>
      </c>
      <c r="Z50" s="153">
        <f t="shared" si="13"/>
        <v>64800</v>
      </c>
      <c r="AA50" s="153">
        <f t="shared" si="13"/>
        <v>64800</v>
      </c>
      <c r="AB50" s="153">
        <f t="shared" si="13"/>
        <v>64800</v>
      </c>
      <c r="AC50" s="153">
        <f t="shared" si="13"/>
        <v>69984</v>
      </c>
      <c r="AD50" s="153">
        <f t="shared" si="13"/>
        <v>69984</v>
      </c>
      <c r="AE50" s="153">
        <f t="shared" si="13"/>
        <v>69984</v>
      </c>
      <c r="AF50" s="153">
        <f t="shared" si="13"/>
        <v>69984</v>
      </c>
      <c r="AG50" s="153">
        <f t="shared" si="13"/>
        <v>69984</v>
      </c>
      <c r="AH50" s="153">
        <f t="shared" si="13"/>
        <v>69984</v>
      </c>
      <c r="AI50" s="153">
        <f t="shared" si="13"/>
        <v>69984</v>
      </c>
      <c r="AJ50" s="153">
        <f t="shared" si="13"/>
        <v>69984</v>
      </c>
      <c r="AK50" s="153">
        <f t="shared" si="13"/>
        <v>69984</v>
      </c>
      <c r="AL50" s="153">
        <f t="shared" si="13"/>
        <v>69984</v>
      </c>
      <c r="AM50" s="153">
        <f t="shared" si="13"/>
        <v>69984</v>
      </c>
      <c r="AN50" s="153">
        <f t="shared" si="13"/>
        <v>69984</v>
      </c>
      <c r="AO50" s="153">
        <f t="shared" si="13"/>
        <v>75582.72</v>
      </c>
      <c r="AP50" s="153">
        <f t="shared" si="13"/>
        <v>75582.72</v>
      </c>
      <c r="AQ50" s="153">
        <f t="shared" si="13"/>
        <v>75582.72</v>
      </c>
      <c r="AR50" s="153">
        <f t="shared" si="13"/>
        <v>75582.72</v>
      </c>
      <c r="AS50" s="153">
        <f t="shared" si="13"/>
        <v>75582.72</v>
      </c>
      <c r="AT50" s="153">
        <f t="shared" si="13"/>
        <v>75582.72</v>
      </c>
      <c r="AU50" s="153">
        <f t="shared" si="13"/>
        <v>75582.72</v>
      </c>
      <c r="AV50" s="153">
        <f t="shared" si="13"/>
        <v>75582.72</v>
      </c>
      <c r="AW50" s="153">
        <f t="shared" si="13"/>
        <v>75582.72</v>
      </c>
      <c r="AX50" s="153">
        <f t="shared" si="13"/>
        <v>75582.72</v>
      </c>
      <c r="AY50" s="153">
        <f t="shared" si="13"/>
        <v>75582.72</v>
      </c>
      <c r="AZ50" s="153">
        <f t="shared" si="13"/>
        <v>75582.72</v>
      </c>
      <c r="BA50" s="153">
        <f t="shared" si="13"/>
        <v>81629.3376</v>
      </c>
      <c r="BB50" s="153">
        <f t="shared" si="13"/>
        <v>81629.3376</v>
      </c>
      <c r="BC50" s="153">
        <f t="shared" si="13"/>
        <v>81629.3376</v>
      </c>
      <c r="BD50" s="153">
        <f t="shared" si="13"/>
        <v>81629.3376</v>
      </c>
      <c r="BE50" s="153">
        <f t="shared" si="13"/>
        <v>81629.3376</v>
      </c>
      <c r="BF50" s="153">
        <f t="shared" si="13"/>
        <v>81629.3376</v>
      </c>
      <c r="BG50" s="153">
        <f t="shared" si="13"/>
        <v>81629.3376</v>
      </c>
      <c r="BH50" s="153">
        <f t="shared" si="13"/>
        <v>81629.3376</v>
      </c>
      <c r="BI50" s="153">
        <f t="shared" si="13"/>
        <v>81629.3376</v>
      </c>
      <c r="BJ50" s="153">
        <f t="shared" si="13"/>
        <v>81629.3376</v>
      </c>
      <c r="BK50" s="153">
        <f t="shared" si="13"/>
        <v>81629.3376</v>
      </c>
      <c r="BL50" s="140">
        <f t="shared" si="13"/>
        <v>81629.3376</v>
      </c>
    </row>
    <row r="51" ht="15.75" customHeight="1">
      <c r="D51" s="57" t="s">
        <v>196</v>
      </c>
      <c r="E51" s="153">
        <f t="shared" ref="E51:BL51" si="14">IFS(
AND(E$36=$E$27,E$33&gt;=$I17),$H17*$E$31,
AND(E$36=$F$27,E$33&gt;=$I17),$H17*$F$31,
AND(E$36=$G$27,E$33&gt;=$I17),$H17*$G$31,
AND(E$36=$H$27,E$33&gt;=$I17),$H17*$H$31,
AND(E$36=$I$27,E$33&gt;=$I17),$H17*$I$31,
TRUE, 0
)</f>
        <v>50000</v>
      </c>
      <c r="F51" s="153">
        <f t="shared" si="14"/>
        <v>50000</v>
      </c>
      <c r="G51" s="153">
        <f t="shared" si="14"/>
        <v>50000</v>
      </c>
      <c r="H51" s="153">
        <f t="shared" si="14"/>
        <v>50000</v>
      </c>
      <c r="I51" s="153">
        <f t="shared" si="14"/>
        <v>50000</v>
      </c>
      <c r="J51" s="153">
        <f t="shared" si="14"/>
        <v>50000</v>
      </c>
      <c r="K51" s="153">
        <f t="shared" si="14"/>
        <v>50000</v>
      </c>
      <c r="L51" s="153">
        <f t="shared" si="14"/>
        <v>50000</v>
      </c>
      <c r="M51" s="153">
        <f t="shared" si="14"/>
        <v>50000</v>
      </c>
      <c r="N51" s="153">
        <f t="shared" si="14"/>
        <v>50000</v>
      </c>
      <c r="O51" s="153">
        <f t="shared" si="14"/>
        <v>50000</v>
      </c>
      <c r="P51" s="153">
        <f t="shared" si="14"/>
        <v>50000</v>
      </c>
      <c r="Q51" s="153">
        <f t="shared" si="14"/>
        <v>54000</v>
      </c>
      <c r="R51" s="153">
        <f t="shared" si="14"/>
        <v>54000</v>
      </c>
      <c r="S51" s="153">
        <f t="shared" si="14"/>
        <v>54000</v>
      </c>
      <c r="T51" s="153">
        <f t="shared" si="14"/>
        <v>54000</v>
      </c>
      <c r="U51" s="153">
        <f t="shared" si="14"/>
        <v>54000</v>
      </c>
      <c r="V51" s="153">
        <f t="shared" si="14"/>
        <v>54000</v>
      </c>
      <c r="W51" s="153">
        <f t="shared" si="14"/>
        <v>54000</v>
      </c>
      <c r="X51" s="153">
        <f t="shared" si="14"/>
        <v>54000</v>
      </c>
      <c r="Y51" s="153">
        <f t="shared" si="14"/>
        <v>54000</v>
      </c>
      <c r="Z51" s="153">
        <f t="shared" si="14"/>
        <v>54000</v>
      </c>
      <c r="AA51" s="153">
        <f t="shared" si="14"/>
        <v>54000</v>
      </c>
      <c r="AB51" s="153">
        <f t="shared" si="14"/>
        <v>54000</v>
      </c>
      <c r="AC51" s="153">
        <f t="shared" si="14"/>
        <v>58320</v>
      </c>
      <c r="AD51" s="153">
        <f t="shared" si="14"/>
        <v>58320</v>
      </c>
      <c r="AE51" s="153">
        <f t="shared" si="14"/>
        <v>58320</v>
      </c>
      <c r="AF51" s="153">
        <f t="shared" si="14"/>
        <v>58320</v>
      </c>
      <c r="AG51" s="153">
        <f t="shared" si="14"/>
        <v>58320</v>
      </c>
      <c r="AH51" s="153">
        <f t="shared" si="14"/>
        <v>58320</v>
      </c>
      <c r="AI51" s="153">
        <f t="shared" si="14"/>
        <v>58320</v>
      </c>
      <c r="AJ51" s="153">
        <f t="shared" si="14"/>
        <v>58320</v>
      </c>
      <c r="AK51" s="153">
        <f t="shared" si="14"/>
        <v>58320</v>
      </c>
      <c r="AL51" s="153">
        <f t="shared" si="14"/>
        <v>58320</v>
      </c>
      <c r="AM51" s="153">
        <f t="shared" si="14"/>
        <v>58320</v>
      </c>
      <c r="AN51" s="153">
        <f t="shared" si="14"/>
        <v>58320</v>
      </c>
      <c r="AO51" s="153">
        <f t="shared" si="14"/>
        <v>62985.6</v>
      </c>
      <c r="AP51" s="153">
        <f t="shared" si="14"/>
        <v>62985.6</v>
      </c>
      <c r="AQ51" s="153">
        <f t="shared" si="14"/>
        <v>62985.6</v>
      </c>
      <c r="AR51" s="153">
        <f t="shared" si="14"/>
        <v>62985.6</v>
      </c>
      <c r="AS51" s="153">
        <f t="shared" si="14"/>
        <v>62985.6</v>
      </c>
      <c r="AT51" s="153">
        <f t="shared" si="14"/>
        <v>62985.6</v>
      </c>
      <c r="AU51" s="153">
        <f t="shared" si="14"/>
        <v>62985.6</v>
      </c>
      <c r="AV51" s="153">
        <f t="shared" si="14"/>
        <v>62985.6</v>
      </c>
      <c r="AW51" s="153">
        <f t="shared" si="14"/>
        <v>62985.6</v>
      </c>
      <c r="AX51" s="153">
        <f t="shared" si="14"/>
        <v>62985.6</v>
      </c>
      <c r="AY51" s="153">
        <f t="shared" si="14"/>
        <v>62985.6</v>
      </c>
      <c r="AZ51" s="153">
        <f t="shared" si="14"/>
        <v>62985.6</v>
      </c>
      <c r="BA51" s="153">
        <f t="shared" si="14"/>
        <v>68024.448</v>
      </c>
      <c r="BB51" s="153">
        <f t="shared" si="14"/>
        <v>68024.448</v>
      </c>
      <c r="BC51" s="153">
        <f t="shared" si="14"/>
        <v>68024.448</v>
      </c>
      <c r="BD51" s="153">
        <f t="shared" si="14"/>
        <v>68024.448</v>
      </c>
      <c r="BE51" s="153">
        <f t="shared" si="14"/>
        <v>68024.448</v>
      </c>
      <c r="BF51" s="153">
        <f t="shared" si="14"/>
        <v>68024.448</v>
      </c>
      <c r="BG51" s="153">
        <f t="shared" si="14"/>
        <v>68024.448</v>
      </c>
      <c r="BH51" s="153">
        <f t="shared" si="14"/>
        <v>68024.448</v>
      </c>
      <c r="BI51" s="153">
        <f t="shared" si="14"/>
        <v>68024.448</v>
      </c>
      <c r="BJ51" s="153">
        <f t="shared" si="14"/>
        <v>68024.448</v>
      </c>
      <c r="BK51" s="153">
        <f t="shared" si="14"/>
        <v>68024.448</v>
      </c>
      <c r="BL51" s="140">
        <f t="shared" si="14"/>
        <v>68024.448</v>
      </c>
    </row>
    <row r="52" ht="15.75" customHeight="1">
      <c r="D52" s="57" t="s">
        <v>198</v>
      </c>
      <c r="E52" s="153">
        <f t="shared" ref="E52:BL52" si="15">IFS(
AND(E$36=$E$27,E$33&gt;=$I18),$H18*$E$31,
AND(E$36=$F$27,E$33&gt;=$I18),$H18*$F$31,
AND(E$36=$G$27,E$33&gt;=$I18),$H18*$G$31,
AND(E$36=$H$27,E$33&gt;=$I18),$H18*$H$31,
AND(E$36=$I$27,E$33&gt;=$I18),$H18*$I$31,
TRUE, 0
)</f>
        <v>0</v>
      </c>
      <c r="F52" s="153">
        <f t="shared" si="15"/>
        <v>0</v>
      </c>
      <c r="G52" s="153">
        <f t="shared" si="15"/>
        <v>0</v>
      </c>
      <c r="H52" s="153">
        <f t="shared" si="15"/>
        <v>0</v>
      </c>
      <c r="I52" s="153">
        <f t="shared" si="15"/>
        <v>0</v>
      </c>
      <c r="J52" s="153">
        <f t="shared" si="15"/>
        <v>0</v>
      </c>
      <c r="K52" s="153">
        <f t="shared" si="15"/>
        <v>75000</v>
      </c>
      <c r="L52" s="153">
        <f t="shared" si="15"/>
        <v>75000</v>
      </c>
      <c r="M52" s="153">
        <f t="shared" si="15"/>
        <v>75000</v>
      </c>
      <c r="N52" s="153">
        <f t="shared" si="15"/>
        <v>75000</v>
      </c>
      <c r="O52" s="153">
        <f t="shared" si="15"/>
        <v>75000</v>
      </c>
      <c r="P52" s="153">
        <f t="shared" si="15"/>
        <v>75000</v>
      </c>
      <c r="Q52" s="153">
        <f t="shared" si="15"/>
        <v>81000</v>
      </c>
      <c r="R52" s="153">
        <f t="shared" si="15"/>
        <v>81000</v>
      </c>
      <c r="S52" s="153">
        <f t="shared" si="15"/>
        <v>81000</v>
      </c>
      <c r="T52" s="153">
        <f t="shared" si="15"/>
        <v>81000</v>
      </c>
      <c r="U52" s="153">
        <f t="shared" si="15"/>
        <v>81000</v>
      </c>
      <c r="V52" s="153">
        <f t="shared" si="15"/>
        <v>81000</v>
      </c>
      <c r="W52" s="153">
        <f t="shared" si="15"/>
        <v>81000</v>
      </c>
      <c r="X52" s="153">
        <f t="shared" si="15"/>
        <v>81000</v>
      </c>
      <c r="Y52" s="153">
        <f t="shared" si="15"/>
        <v>81000</v>
      </c>
      <c r="Z52" s="153">
        <f t="shared" si="15"/>
        <v>81000</v>
      </c>
      <c r="AA52" s="153">
        <f t="shared" si="15"/>
        <v>81000</v>
      </c>
      <c r="AB52" s="153">
        <f t="shared" si="15"/>
        <v>81000</v>
      </c>
      <c r="AC52" s="153">
        <f t="shared" si="15"/>
        <v>87480</v>
      </c>
      <c r="AD52" s="153">
        <f t="shared" si="15"/>
        <v>87480</v>
      </c>
      <c r="AE52" s="153">
        <f t="shared" si="15"/>
        <v>87480</v>
      </c>
      <c r="AF52" s="153">
        <f t="shared" si="15"/>
        <v>87480</v>
      </c>
      <c r="AG52" s="153">
        <f t="shared" si="15"/>
        <v>87480</v>
      </c>
      <c r="AH52" s="153">
        <f t="shared" si="15"/>
        <v>87480</v>
      </c>
      <c r="AI52" s="153">
        <f t="shared" si="15"/>
        <v>87480</v>
      </c>
      <c r="AJ52" s="153">
        <f t="shared" si="15"/>
        <v>87480</v>
      </c>
      <c r="AK52" s="153">
        <f t="shared" si="15"/>
        <v>87480</v>
      </c>
      <c r="AL52" s="153">
        <f t="shared" si="15"/>
        <v>87480</v>
      </c>
      <c r="AM52" s="153">
        <f t="shared" si="15"/>
        <v>87480</v>
      </c>
      <c r="AN52" s="153">
        <f t="shared" si="15"/>
        <v>87480</v>
      </c>
      <c r="AO52" s="153">
        <f t="shared" si="15"/>
        <v>94478.4</v>
      </c>
      <c r="AP52" s="153">
        <f t="shared" si="15"/>
        <v>94478.4</v>
      </c>
      <c r="AQ52" s="153">
        <f t="shared" si="15"/>
        <v>94478.4</v>
      </c>
      <c r="AR52" s="153">
        <f t="shared" si="15"/>
        <v>94478.4</v>
      </c>
      <c r="AS52" s="153">
        <f t="shared" si="15"/>
        <v>94478.4</v>
      </c>
      <c r="AT52" s="153">
        <f t="shared" si="15"/>
        <v>94478.4</v>
      </c>
      <c r="AU52" s="153">
        <f t="shared" si="15"/>
        <v>94478.4</v>
      </c>
      <c r="AV52" s="153">
        <f t="shared" si="15"/>
        <v>94478.4</v>
      </c>
      <c r="AW52" s="153">
        <f t="shared" si="15"/>
        <v>94478.4</v>
      </c>
      <c r="AX52" s="153">
        <f t="shared" si="15"/>
        <v>94478.4</v>
      </c>
      <c r="AY52" s="153">
        <f t="shared" si="15"/>
        <v>94478.4</v>
      </c>
      <c r="AZ52" s="153">
        <f t="shared" si="15"/>
        <v>94478.4</v>
      </c>
      <c r="BA52" s="153">
        <f t="shared" si="15"/>
        <v>102036.672</v>
      </c>
      <c r="BB52" s="153">
        <f t="shared" si="15"/>
        <v>102036.672</v>
      </c>
      <c r="BC52" s="153">
        <f t="shared" si="15"/>
        <v>102036.672</v>
      </c>
      <c r="BD52" s="153">
        <f t="shared" si="15"/>
        <v>102036.672</v>
      </c>
      <c r="BE52" s="153">
        <f t="shared" si="15"/>
        <v>102036.672</v>
      </c>
      <c r="BF52" s="153">
        <f t="shared" si="15"/>
        <v>102036.672</v>
      </c>
      <c r="BG52" s="153">
        <f t="shared" si="15"/>
        <v>102036.672</v>
      </c>
      <c r="BH52" s="153">
        <f t="shared" si="15"/>
        <v>102036.672</v>
      </c>
      <c r="BI52" s="153">
        <f t="shared" si="15"/>
        <v>102036.672</v>
      </c>
      <c r="BJ52" s="153">
        <f t="shared" si="15"/>
        <v>102036.672</v>
      </c>
      <c r="BK52" s="153">
        <f t="shared" si="15"/>
        <v>102036.672</v>
      </c>
      <c r="BL52" s="140">
        <f t="shared" si="15"/>
        <v>102036.672</v>
      </c>
    </row>
    <row r="53" ht="15.75" customHeight="1">
      <c r="D53" s="57" t="s">
        <v>200</v>
      </c>
      <c r="E53" s="153">
        <f t="shared" ref="E53:BL53" si="16">IFS(
AND(E$36=$E$27,E$33&gt;=$I19),$G19* E$39 * $E$31,
AND(E$36=$F$27,E$33&gt;=$I19),$G19* E$39 * $F$31,
AND(E$36=$G$27,E$33&gt;=$I19),$G19* E$39 * $G$31,
AND(E$36=$H$27,E$33&gt;=$I19),$G19* E$39 * $H$31,
AND(E$36=$I$27,E$33&gt;=$I19),$G19* E$39 * $I$31,
TRUE, 0
)</f>
        <v>0</v>
      </c>
      <c r="F53" s="153">
        <f t="shared" si="16"/>
        <v>0</v>
      </c>
      <c r="G53" s="153">
        <f t="shared" si="16"/>
        <v>0</v>
      </c>
      <c r="H53" s="153">
        <f t="shared" si="16"/>
        <v>0</v>
      </c>
      <c r="I53" s="153">
        <f t="shared" si="16"/>
        <v>0</v>
      </c>
      <c r="J53" s="153">
        <f t="shared" si="16"/>
        <v>12000</v>
      </c>
      <c r="K53" s="153">
        <f t="shared" si="16"/>
        <v>18000</v>
      </c>
      <c r="L53" s="153">
        <f t="shared" si="16"/>
        <v>24000</v>
      </c>
      <c r="M53" s="153">
        <f t="shared" si="16"/>
        <v>30000</v>
      </c>
      <c r="N53" s="153">
        <f t="shared" si="16"/>
        <v>36000</v>
      </c>
      <c r="O53" s="153">
        <f t="shared" si="16"/>
        <v>42000</v>
      </c>
      <c r="P53" s="153">
        <f t="shared" si="16"/>
        <v>48000</v>
      </c>
      <c r="Q53" s="153">
        <f t="shared" si="16"/>
        <v>58320</v>
      </c>
      <c r="R53" s="153">
        <f t="shared" si="16"/>
        <v>64800</v>
      </c>
      <c r="S53" s="153">
        <f t="shared" si="16"/>
        <v>71280</v>
      </c>
      <c r="T53" s="153">
        <f t="shared" si="16"/>
        <v>77760</v>
      </c>
      <c r="U53" s="153">
        <f t="shared" si="16"/>
        <v>84240</v>
      </c>
      <c r="V53" s="153">
        <f t="shared" si="16"/>
        <v>90720</v>
      </c>
      <c r="W53" s="153">
        <f t="shared" si="16"/>
        <v>97200</v>
      </c>
      <c r="X53" s="153">
        <f t="shared" si="16"/>
        <v>103680</v>
      </c>
      <c r="Y53" s="153">
        <f t="shared" si="16"/>
        <v>110160</v>
      </c>
      <c r="Z53" s="153">
        <f t="shared" si="16"/>
        <v>116640</v>
      </c>
      <c r="AA53" s="153">
        <f t="shared" si="16"/>
        <v>123120</v>
      </c>
      <c r="AB53" s="153">
        <f t="shared" si="16"/>
        <v>129600</v>
      </c>
      <c r="AC53" s="153">
        <f t="shared" si="16"/>
        <v>146966.4</v>
      </c>
      <c r="AD53" s="153">
        <f t="shared" si="16"/>
        <v>153964.8</v>
      </c>
      <c r="AE53" s="153">
        <f t="shared" si="16"/>
        <v>160963.2</v>
      </c>
      <c r="AF53" s="153">
        <f t="shared" si="16"/>
        <v>167961.6</v>
      </c>
      <c r="AG53" s="153">
        <f t="shared" si="16"/>
        <v>174960</v>
      </c>
      <c r="AH53" s="153">
        <f t="shared" si="16"/>
        <v>181958.4</v>
      </c>
      <c r="AI53" s="153">
        <f t="shared" si="16"/>
        <v>188956.8</v>
      </c>
      <c r="AJ53" s="153">
        <f t="shared" si="16"/>
        <v>195955.2</v>
      </c>
      <c r="AK53" s="153">
        <f t="shared" si="16"/>
        <v>202953.6</v>
      </c>
      <c r="AL53" s="153">
        <f t="shared" si="16"/>
        <v>209952</v>
      </c>
      <c r="AM53" s="153">
        <f t="shared" si="16"/>
        <v>216950.4</v>
      </c>
      <c r="AN53" s="153">
        <f t="shared" si="16"/>
        <v>223948.8</v>
      </c>
      <c r="AO53" s="153">
        <f t="shared" si="16"/>
        <v>264539.52</v>
      </c>
      <c r="AP53" s="153">
        <f t="shared" si="16"/>
        <v>287214.336</v>
      </c>
      <c r="AQ53" s="153">
        <f t="shared" si="16"/>
        <v>309889.152</v>
      </c>
      <c r="AR53" s="153">
        <f t="shared" si="16"/>
        <v>332563.968</v>
      </c>
      <c r="AS53" s="153">
        <f t="shared" si="16"/>
        <v>355238.784</v>
      </c>
      <c r="AT53" s="153">
        <f t="shared" si="16"/>
        <v>377913.6</v>
      </c>
      <c r="AU53" s="153">
        <f t="shared" si="16"/>
        <v>400588.416</v>
      </c>
      <c r="AV53" s="153">
        <f t="shared" si="16"/>
        <v>423263.232</v>
      </c>
      <c r="AW53" s="153">
        <f t="shared" si="16"/>
        <v>423263.232</v>
      </c>
      <c r="AX53" s="153">
        <f t="shared" si="16"/>
        <v>423263.232</v>
      </c>
      <c r="AY53" s="153">
        <f t="shared" si="16"/>
        <v>423263.232</v>
      </c>
      <c r="AZ53" s="153">
        <f t="shared" si="16"/>
        <v>423263.232</v>
      </c>
      <c r="BA53" s="153">
        <f t="shared" si="16"/>
        <v>457124.2906</v>
      </c>
      <c r="BB53" s="153">
        <f t="shared" si="16"/>
        <v>457124.2906</v>
      </c>
      <c r="BC53" s="153">
        <f t="shared" si="16"/>
        <v>457124.2906</v>
      </c>
      <c r="BD53" s="153">
        <f t="shared" si="16"/>
        <v>457124.2906</v>
      </c>
      <c r="BE53" s="153">
        <f t="shared" si="16"/>
        <v>457124.2906</v>
      </c>
      <c r="BF53" s="153">
        <f t="shared" si="16"/>
        <v>457124.2906</v>
      </c>
      <c r="BG53" s="153">
        <f t="shared" si="16"/>
        <v>457124.2906</v>
      </c>
      <c r="BH53" s="153">
        <f t="shared" si="16"/>
        <v>457124.2906</v>
      </c>
      <c r="BI53" s="153">
        <f t="shared" si="16"/>
        <v>457124.2906</v>
      </c>
      <c r="BJ53" s="153">
        <f t="shared" si="16"/>
        <v>457124.2906</v>
      </c>
      <c r="BK53" s="153">
        <f t="shared" si="16"/>
        <v>457124.2906</v>
      </c>
      <c r="BL53" s="140">
        <f t="shared" si="16"/>
        <v>457124.2906</v>
      </c>
    </row>
    <row r="54" ht="15.75" customHeight="1">
      <c r="D54" s="57" t="s">
        <v>202</v>
      </c>
      <c r="E54" s="153">
        <f t="shared" ref="E54:BL54" si="17">IFS(
AND(E$36=$E$27,E$33&gt;=$I20),$H20*$E$31,
AND(E$36=$F$27,E$33&gt;=$I20),$H20*$F$31,
AND(E$36=$G$27,E$33&gt;=$I20),$H20*$G$31,
AND(E$36=$H$27,E$33&gt;=$I20),$H20*$H$31,
AND(E$36=$I$27,E$33&gt;=$I20),$H20*$I$31,
TRUE, 0
)</f>
        <v>0</v>
      </c>
      <c r="F54" s="153">
        <f t="shared" si="17"/>
        <v>0</v>
      </c>
      <c r="G54" s="153">
        <f t="shared" si="17"/>
        <v>0</v>
      </c>
      <c r="H54" s="153">
        <f t="shared" si="17"/>
        <v>0</v>
      </c>
      <c r="I54" s="153">
        <f t="shared" si="17"/>
        <v>60000</v>
      </c>
      <c r="J54" s="153">
        <f t="shared" si="17"/>
        <v>60000</v>
      </c>
      <c r="K54" s="153">
        <f t="shared" si="17"/>
        <v>60000</v>
      </c>
      <c r="L54" s="153">
        <f t="shared" si="17"/>
        <v>60000</v>
      </c>
      <c r="M54" s="153">
        <f t="shared" si="17"/>
        <v>60000</v>
      </c>
      <c r="N54" s="153">
        <f t="shared" si="17"/>
        <v>60000</v>
      </c>
      <c r="O54" s="153">
        <f t="shared" si="17"/>
        <v>60000</v>
      </c>
      <c r="P54" s="153">
        <f t="shared" si="17"/>
        <v>60000</v>
      </c>
      <c r="Q54" s="153">
        <f t="shared" si="17"/>
        <v>64800</v>
      </c>
      <c r="R54" s="153">
        <f t="shared" si="17"/>
        <v>64800</v>
      </c>
      <c r="S54" s="153">
        <f t="shared" si="17"/>
        <v>64800</v>
      </c>
      <c r="T54" s="153">
        <f t="shared" si="17"/>
        <v>64800</v>
      </c>
      <c r="U54" s="153">
        <f t="shared" si="17"/>
        <v>64800</v>
      </c>
      <c r="V54" s="153">
        <f t="shared" si="17"/>
        <v>64800</v>
      </c>
      <c r="W54" s="153">
        <f t="shared" si="17"/>
        <v>64800</v>
      </c>
      <c r="X54" s="153">
        <f t="shared" si="17"/>
        <v>64800</v>
      </c>
      <c r="Y54" s="153">
        <f t="shared" si="17"/>
        <v>64800</v>
      </c>
      <c r="Z54" s="153">
        <f t="shared" si="17"/>
        <v>64800</v>
      </c>
      <c r="AA54" s="153">
        <f t="shared" si="17"/>
        <v>64800</v>
      </c>
      <c r="AB54" s="153">
        <f t="shared" si="17"/>
        <v>64800</v>
      </c>
      <c r="AC54" s="153">
        <f t="shared" si="17"/>
        <v>69984</v>
      </c>
      <c r="AD54" s="153">
        <f t="shared" si="17"/>
        <v>69984</v>
      </c>
      <c r="AE54" s="153">
        <f t="shared" si="17"/>
        <v>69984</v>
      </c>
      <c r="AF54" s="153">
        <f t="shared" si="17"/>
        <v>69984</v>
      </c>
      <c r="AG54" s="153">
        <f t="shared" si="17"/>
        <v>69984</v>
      </c>
      <c r="AH54" s="153">
        <f t="shared" si="17"/>
        <v>69984</v>
      </c>
      <c r="AI54" s="153">
        <f t="shared" si="17"/>
        <v>69984</v>
      </c>
      <c r="AJ54" s="153">
        <f t="shared" si="17"/>
        <v>69984</v>
      </c>
      <c r="AK54" s="153">
        <f t="shared" si="17"/>
        <v>69984</v>
      </c>
      <c r="AL54" s="153">
        <f t="shared" si="17"/>
        <v>69984</v>
      </c>
      <c r="AM54" s="153">
        <f t="shared" si="17"/>
        <v>69984</v>
      </c>
      <c r="AN54" s="153">
        <f t="shared" si="17"/>
        <v>69984</v>
      </c>
      <c r="AO54" s="153">
        <f t="shared" si="17"/>
        <v>75582.72</v>
      </c>
      <c r="AP54" s="153">
        <f t="shared" si="17"/>
        <v>75582.72</v>
      </c>
      <c r="AQ54" s="153">
        <f t="shared" si="17"/>
        <v>75582.72</v>
      </c>
      <c r="AR54" s="153">
        <f t="shared" si="17"/>
        <v>75582.72</v>
      </c>
      <c r="AS54" s="153">
        <f t="shared" si="17"/>
        <v>75582.72</v>
      </c>
      <c r="AT54" s="153">
        <f t="shared" si="17"/>
        <v>75582.72</v>
      </c>
      <c r="AU54" s="153">
        <f t="shared" si="17"/>
        <v>75582.72</v>
      </c>
      <c r="AV54" s="153">
        <f t="shared" si="17"/>
        <v>75582.72</v>
      </c>
      <c r="AW54" s="153">
        <f t="shared" si="17"/>
        <v>75582.72</v>
      </c>
      <c r="AX54" s="153">
        <f t="shared" si="17"/>
        <v>75582.72</v>
      </c>
      <c r="AY54" s="153">
        <f t="shared" si="17"/>
        <v>75582.72</v>
      </c>
      <c r="AZ54" s="153">
        <f t="shared" si="17"/>
        <v>75582.72</v>
      </c>
      <c r="BA54" s="153">
        <f t="shared" si="17"/>
        <v>81629.3376</v>
      </c>
      <c r="BB54" s="153">
        <f t="shared" si="17"/>
        <v>81629.3376</v>
      </c>
      <c r="BC54" s="153">
        <f t="shared" si="17"/>
        <v>81629.3376</v>
      </c>
      <c r="BD54" s="153">
        <f t="shared" si="17"/>
        <v>81629.3376</v>
      </c>
      <c r="BE54" s="153">
        <f t="shared" si="17"/>
        <v>81629.3376</v>
      </c>
      <c r="BF54" s="153">
        <f t="shared" si="17"/>
        <v>81629.3376</v>
      </c>
      <c r="BG54" s="153">
        <f t="shared" si="17"/>
        <v>81629.3376</v>
      </c>
      <c r="BH54" s="153">
        <f t="shared" si="17"/>
        <v>81629.3376</v>
      </c>
      <c r="BI54" s="153">
        <f t="shared" si="17"/>
        <v>81629.3376</v>
      </c>
      <c r="BJ54" s="153">
        <f t="shared" si="17"/>
        <v>81629.3376</v>
      </c>
      <c r="BK54" s="153">
        <f t="shared" si="17"/>
        <v>81629.3376</v>
      </c>
      <c r="BL54" s="140">
        <f t="shared" si="17"/>
        <v>81629.3376</v>
      </c>
    </row>
    <row r="55" ht="15.75" customHeight="1">
      <c r="D55" s="57" t="s">
        <v>203</v>
      </c>
      <c r="E55" s="153">
        <f t="shared" ref="E55:BL55" si="18">IFS(
AND(E$36=$E$27,E$33&gt;=$I21),$H21*$E$31,
AND(E$36=$F$27,E$33&gt;=$I21),$H21*$F$31,
AND(E$36=$G$27,E$33&gt;=$I21),$H21*$G$31,
AND(E$36=$H$27,E$33&gt;=$I21),$H21*$H$31,
AND(E$36=$I$27,E$33&gt;=$I21),$H21*$I$31,
TRUE, 0
)</f>
        <v>0</v>
      </c>
      <c r="F55" s="153">
        <f t="shared" si="18"/>
        <v>0</v>
      </c>
      <c r="G55" s="153">
        <f t="shared" si="18"/>
        <v>0</v>
      </c>
      <c r="H55" s="153">
        <f t="shared" si="18"/>
        <v>0</v>
      </c>
      <c r="I55" s="153">
        <f t="shared" si="18"/>
        <v>30000</v>
      </c>
      <c r="J55" s="153">
        <f t="shared" si="18"/>
        <v>30000</v>
      </c>
      <c r="K55" s="153">
        <f t="shared" si="18"/>
        <v>30000</v>
      </c>
      <c r="L55" s="153">
        <f t="shared" si="18"/>
        <v>30000</v>
      </c>
      <c r="M55" s="153">
        <f t="shared" si="18"/>
        <v>30000</v>
      </c>
      <c r="N55" s="153">
        <f t="shared" si="18"/>
        <v>30000</v>
      </c>
      <c r="O55" s="153">
        <f t="shared" si="18"/>
        <v>30000</v>
      </c>
      <c r="P55" s="153">
        <f t="shared" si="18"/>
        <v>30000</v>
      </c>
      <c r="Q55" s="153">
        <f t="shared" si="18"/>
        <v>32400</v>
      </c>
      <c r="R55" s="153">
        <f t="shared" si="18"/>
        <v>32400</v>
      </c>
      <c r="S55" s="153">
        <f t="shared" si="18"/>
        <v>32400</v>
      </c>
      <c r="T55" s="153">
        <f t="shared" si="18"/>
        <v>32400</v>
      </c>
      <c r="U55" s="153">
        <f t="shared" si="18"/>
        <v>32400</v>
      </c>
      <c r="V55" s="153">
        <f t="shared" si="18"/>
        <v>32400</v>
      </c>
      <c r="W55" s="153">
        <f t="shared" si="18"/>
        <v>32400</v>
      </c>
      <c r="X55" s="153">
        <f t="shared" si="18"/>
        <v>32400</v>
      </c>
      <c r="Y55" s="153">
        <f t="shared" si="18"/>
        <v>32400</v>
      </c>
      <c r="Z55" s="153">
        <f t="shared" si="18"/>
        <v>32400</v>
      </c>
      <c r="AA55" s="153">
        <f t="shared" si="18"/>
        <v>32400</v>
      </c>
      <c r="AB55" s="153">
        <f t="shared" si="18"/>
        <v>32400</v>
      </c>
      <c r="AC55" s="153">
        <f t="shared" si="18"/>
        <v>34992</v>
      </c>
      <c r="AD55" s="153">
        <f t="shared" si="18"/>
        <v>34992</v>
      </c>
      <c r="AE55" s="153">
        <f t="shared" si="18"/>
        <v>34992</v>
      </c>
      <c r="AF55" s="153">
        <f t="shared" si="18"/>
        <v>34992</v>
      </c>
      <c r="AG55" s="153">
        <f t="shared" si="18"/>
        <v>34992</v>
      </c>
      <c r="AH55" s="153">
        <f t="shared" si="18"/>
        <v>34992</v>
      </c>
      <c r="AI55" s="153">
        <f t="shared" si="18"/>
        <v>34992</v>
      </c>
      <c r="AJ55" s="153">
        <f t="shared" si="18"/>
        <v>34992</v>
      </c>
      <c r="AK55" s="153">
        <f t="shared" si="18"/>
        <v>34992</v>
      </c>
      <c r="AL55" s="153">
        <f t="shared" si="18"/>
        <v>34992</v>
      </c>
      <c r="AM55" s="153">
        <f t="shared" si="18"/>
        <v>34992</v>
      </c>
      <c r="AN55" s="153">
        <f t="shared" si="18"/>
        <v>34992</v>
      </c>
      <c r="AO55" s="153">
        <f t="shared" si="18"/>
        <v>37791.36</v>
      </c>
      <c r="AP55" s="153">
        <f t="shared" si="18"/>
        <v>37791.36</v>
      </c>
      <c r="AQ55" s="153">
        <f t="shared" si="18"/>
        <v>37791.36</v>
      </c>
      <c r="AR55" s="153">
        <f t="shared" si="18"/>
        <v>37791.36</v>
      </c>
      <c r="AS55" s="153">
        <f t="shared" si="18"/>
        <v>37791.36</v>
      </c>
      <c r="AT55" s="153">
        <f t="shared" si="18"/>
        <v>37791.36</v>
      </c>
      <c r="AU55" s="153">
        <f t="shared" si="18"/>
        <v>37791.36</v>
      </c>
      <c r="AV55" s="153">
        <f t="shared" si="18"/>
        <v>37791.36</v>
      </c>
      <c r="AW55" s="153">
        <f t="shared" si="18"/>
        <v>37791.36</v>
      </c>
      <c r="AX55" s="153">
        <f t="shared" si="18"/>
        <v>37791.36</v>
      </c>
      <c r="AY55" s="153">
        <f t="shared" si="18"/>
        <v>37791.36</v>
      </c>
      <c r="AZ55" s="153">
        <f t="shared" si="18"/>
        <v>37791.36</v>
      </c>
      <c r="BA55" s="153">
        <f t="shared" si="18"/>
        <v>40814.6688</v>
      </c>
      <c r="BB55" s="153">
        <f t="shared" si="18"/>
        <v>40814.6688</v>
      </c>
      <c r="BC55" s="153">
        <f t="shared" si="18"/>
        <v>40814.6688</v>
      </c>
      <c r="BD55" s="153">
        <f t="shared" si="18"/>
        <v>40814.6688</v>
      </c>
      <c r="BE55" s="153">
        <f t="shared" si="18"/>
        <v>40814.6688</v>
      </c>
      <c r="BF55" s="153">
        <f t="shared" si="18"/>
        <v>40814.6688</v>
      </c>
      <c r="BG55" s="153">
        <f t="shared" si="18"/>
        <v>40814.6688</v>
      </c>
      <c r="BH55" s="153">
        <f t="shared" si="18"/>
        <v>40814.6688</v>
      </c>
      <c r="BI55" s="153">
        <f t="shared" si="18"/>
        <v>40814.6688</v>
      </c>
      <c r="BJ55" s="153">
        <f t="shared" si="18"/>
        <v>40814.6688</v>
      </c>
      <c r="BK55" s="153">
        <f t="shared" si="18"/>
        <v>40814.6688</v>
      </c>
      <c r="BL55" s="140">
        <f t="shared" si="18"/>
        <v>40814.6688</v>
      </c>
    </row>
    <row r="56" ht="15.75" customHeight="1">
      <c r="D56" s="57" t="s">
        <v>205</v>
      </c>
      <c r="E56" s="153">
        <f t="shared" ref="E56:BL56" si="19">IFS(
AND(E$36=$E$27,E$33&gt;=$I22),$H22*$E$31,
AND(E$36=$F$27,E$33&gt;=$I22),$H22*$F$31,
AND(E$36=$G$27,E$33&gt;=$I22),$H22*$G$31,
AND(E$36=$H$27,E$33&gt;=$I22),$H22*$H$31,
AND(E$36=$I$27,E$33&gt;=$I22),$H22*$I$31,
TRUE, 0
)</f>
        <v>60000</v>
      </c>
      <c r="F56" s="153">
        <f t="shared" si="19"/>
        <v>60000</v>
      </c>
      <c r="G56" s="153">
        <f t="shared" si="19"/>
        <v>60000</v>
      </c>
      <c r="H56" s="153">
        <f t="shared" si="19"/>
        <v>60000</v>
      </c>
      <c r="I56" s="153">
        <f t="shared" si="19"/>
        <v>60000</v>
      </c>
      <c r="J56" s="153">
        <f t="shared" si="19"/>
        <v>60000</v>
      </c>
      <c r="K56" s="153">
        <f t="shared" si="19"/>
        <v>60000</v>
      </c>
      <c r="L56" s="153">
        <f t="shared" si="19"/>
        <v>60000</v>
      </c>
      <c r="M56" s="153">
        <f t="shared" si="19"/>
        <v>60000</v>
      </c>
      <c r="N56" s="153">
        <f t="shared" si="19"/>
        <v>60000</v>
      </c>
      <c r="O56" s="153">
        <f t="shared" si="19"/>
        <v>60000</v>
      </c>
      <c r="P56" s="153">
        <f t="shared" si="19"/>
        <v>60000</v>
      </c>
      <c r="Q56" s="153">
        <f t="shared" si="19"/>
        <v>64800</v>
      </c>
      <c r="R56" s="153">
        <f t="shared" si="19"/>
        <v>64800</v>
      </c>
      <c r="S56" s="153">
        <f t="shared" si="19"/>
        <v>64800</v>
      </c>
      <c r="T56" s="153">
        <f t="shared" si="19"/>
        <v>64800</v>
      </c>
      <c r="U56" s="153">
        <f t="shared" si="19"/>
        <v>64800</v>
      </c>
      <c r="V56" s="153">
        <f t="shared" si="19"/>
        <v>64800</v>
      </c>
      <c r="W56" s="153">
        <f t="shared" si="19"/>
        <v>64800</v>
      </c>
      <c r="X56" s="153">
        <f t="shared" si="19"/>
        <v>64800</v>
      </c>
      <c r="Y56" s="153">
        <f t="shared" si="19"/>
        <v>64800</v>
      </c>
      <c r="Z56" s="153">
        <f t="shared" si="19"/>
        <v>64800</v>
      </c>
      <c r="AA56" s="153">
        <f t="shared" si="19"/>
        <v>64800</v>
      </c>
      <c r="AB56" s="153">
        <f t="shared" si="19"/>
        <v>64800</v>
      </c>
      <c r="AC56" s="153">
        <f t="shared" si="19"/>
        <v>69984</v>
      </c>
      <c r="AD56" s="153">
        <f t="shared" si="19"/>
        <v>69984</v>
      </c>
      <c r="AE56" s="153">
        <f t="shared" si="19"/>
        <v>69984</v>
      </c>
      <c r="AF56" s="153">
        <f t="shared" si="19"/>
        <v>69984</v>
      </c>
      <c r="AG56" s="153">
        <f t="shared" si="19"/>
        <v>69984</v>
      </c>
      <c r="AH56" s="153">
        <f t="shared" si="19"/>
        <v>69984</v>
      </c>
      <c r="AI56" s="153">
        <f t="shared" si="19"/>
        <v>69984</v>
      </c>
      <c r="AJ56" s="153">
        <f t="shared" si="19"/>
        <v>69984</v>
      </c>
      <c r="AK56" s="153">
        <f t="shared" si="19"/>
        <v>69984</v>
      </c>
      <c r="AL56" s="153">
        <f t="shared" si="19"/>
        <v>69984</v>
      </c>
      <c r="AM56" s="153">
        <f t="shared" si="19"/>
        <v>69984</v>
      </c>
      <c r="AN56" s="153">
        <f t="shared" si="19"/>
        <v>69984</v>
      </c>
      <c r="AO56" s="153">
        <f t="shared" si="19"/>
        <v>75582.72</v>
      </c>
      <c r="AP56" s="153">
        <f t="shared" si="19"/>
        <v>75582.72</v>
      </c>
      <c r="AQ56" s="153">
        <f t="shared" si="19"/>
        <v>75582.72</v>
      </c>
      <c r="AR56" s="153">
        <f t="shared" si="19"/>
        <v>75582.72</v>
      </c>
      <c r="AS56" s="153">
        <f t="shared" si="19"/>
        <v>75582.72</v>
      </c>
      <c r="AT56" s="153">
        <f t="shared" si="19"/>
        <v>75582.72</v>
      </c>
      <c r="AU56" s="153">
        <f t="shared" si="19"/>
        <v>75582.72</v>
      </c>
      <c r="AV56" s="153">
        <f t="shared" si="19"/>
        <v>75582.72</v>
      </c>
      <c r="AW56" s="153">
        <f t="shared" si="19"/>
        <v>75582.72</v>
      </c>
      <c r="AX56" s="153">
        <f t="shared" si="19"/>
        <v>75582.72</v>
      </c>
      <c r="AY56" s="153">
        <f t="shared" si="19"/>
        <v>75582.72</v>
      </c>
      <c r="AZ56" s="153">
        <f t="shared" si="19"/>
        <v>75582.72</v>
      </c>
      <c r="BA56" s="153">
        <f t="shared" si="19"/>
        <v>81629.3376</v>
      </c>
      <c r="BB56" s="153">
        <f t="shared" si="19"/>
        <v>81629.3376</v>
      </c>
      <c r="BC56" s="153">
        <f t="shared" si="19"/>
        <v>81629.3376</v>
      </c>
      <c r="BD56" s="153">
        <f t="shared" si="19"/>
        <v>81629.3376</v>
      </c>
      <c r="BE56" s="153">
        <f t="shared" si="19"/>
        <v>81629.3376</v>
      </c>
      <c r="BF56" s="153">
        <f t="shared" si="19"/>
        <v>81629.3376</v>
      </c>
      <c r="BG56" s="153">
        <f t="shared" si="19"/>
        <v>81629.3376</v>
      </c>
      <c r="BH56" s="153">
        <f t="shared" si="19"/>
        <v>81629.3376</v>
      </c>
      <c r="BI56" s="153">
        <f t="shared" si="19"/>
        <v>81629.3376</v>
      </c>
      <c r="BJ56" s="153">
        <f t="shared" si="19"/>
        <v>81629.3376</v>
      </c>
      <c r="BK56" s="153">
        <f t="shared" si="19"/>
        <v>81629.3376</v>
      </c>
      <c r="BL56" s="140">
        <f t="shared" si="19"/>
        <v>81629.3376</v>
      </c>
    </row>
    <row r="57" ht="15.75" customHeight="1">
      <c r="D57" s="57" t="s">
        <v>206</v>
      </c>
      <c r="E57" s="153">
        <f t="shared" ref="E57:BL57" si="20">IFS(
AND(E$36=$E$27,E$33&gt;=$I23),$H23*$E$31,
AND(E$36=$F$27,E$33&gt;=$I23),$H23*$F$31,
AND(E$36=$G$27,E$33&gt;=$I23),$H23*$G$31,
AND(E$36=$H$27,E$33&gt;=$I23),$H23*$H$31,
AND(E$36=$I$27,E$33&gt;=$I23),$H23*$I$31,
TRUE, 0
)</f>
        <v>60000</v>
      </c>
      <c r="F57" s="153">
        <f t="shared" si="20"/>
        <v>60000</v>
      </c>
      <c r="G57" s="153">
        <f t="shared" si="20"/>
        <v>60000</v>
      </c>
      <c r="H57" s="153">
        <f t="shared" si="20"/>
        <v>60000</v>
      </c>
      <c r="I57" s="153">
        <f t="shared" si="20"/>
        <v>60000</v>
      </c>
      <c r="J57" s="153">
        <f t="shared" si="20"/>
        <v>60000</v>
      </c>
      <c r="K57" s="153">
        <f t="shared" si="20"/>
        <v>60000</v>
      </c>
      <c r="L57" s="153">
        <f t="shared" si="20"/>
        <v>60000</v>
      </c>
      <c r="M57" s="153">
        <f t="shared" si="20"/>
        <v>60000</v>
      </c>
      <c r="N57" s="153">
        <f t="shared" si="20"/>
        <v>60000</v>
      </c>
      <c r="O57" s="153">
        <f t="shared" si="20"/>
        <v>60000</v>
      </c>
      <c r="P57" s="153">
        <f t="shared" si="20"/>
        <v>60000</v>
      </c>
      <c r="Q57" s="153">
        <f t="shared" si="20"/>
        <v>64800</v>
      </c>
      <c r="R57" s="153">
        <f t="shared" si="20"/>
        <v>64800</v>
      </c>
      <c r="S57" s="153">
        <f t="shared" si="20"/>
        <v>64800</v>
      </c>
      <c r="T57" s="153">
        <f t="shared" si="20"/>
        <v>64800</v>
      </c>
      <c r="U57" s="153">
        <f t="shared" si="20"/>
        <v>64800</v>
      </c>
      <c r="V57" s="153">
        <f t="shared" si="20"/>
        <v>64800</v>
      </c>
      <c r="W57" s="153">
        <f t="shared" si="20"/>
        <v>64800</v>
      </c>
      <c r="X57" s="153">
        <f t="shared" si="20"/>
        <v>64800</v>
      </c>
      <c r="Y57" s="153">
        <f t="shared" si="20"/>
        <v>64800</v>
      </c>
      <c r="Z57" s="153">
        <f t="shared" si="20"/>
        <v>64800</v>
      </c>
      <c r="AA57" s="153">
        <f t="shared" si="20"/>
        <v>64800</v>
      </c>
      <c r="AB57" s="153">
        <f t="shared" si="20"/>
        <v>64800</v>
      </c>
      <c r="AC57" s="153">
        <f t="shared" si="20"/>
        <v>69984</v>
      </c>
      <c r="AD57" s="153">
        <f t="shared" si="20"/>
        <v>69984</v>
      </c>
      <c r="AE57" s="153">
        <f t="shared" si="20"/>
        <v>69984</v>
      </c>
      <c r="AF57" s="153">
        <f t="shared" si="20"/>
        <v>69984</v>
      </c>
      <c r="AG57" s="153">
        <f t="shared" si="20"/>
        <v>69984</v>
      </c>
      <c r="AH57" s="153">
        <f t="shared" si="20"/>
        <v>69984</v>
      </c>
      <c r="AI57" s="153">
        <f t="shared" si="20"/>
        <v>69984</v>
      </c>
      <c r="AJ57" s="153">
        <f t="shared" si="20"/>
        <v>69984</v>
      </c>
      <c r="AK57" s="153">
        <f t="shared" si="20"/>
        <v>69984</v>
      </c>
      <c r="AL57" s="153">
        <f t="shared" si="20"/>
        <v>69984</v>
      </c>
      <c r="AM57" s="153">
        <f t="shared" si="20"/>
        <v>69984</v>
      </c>
      <c r="AN57" s="153">
        <f t="shared" si="20"/>
        <v>69984</v>
      </c>
      <c r="AO57" s="153">
        <f t="shared" si="20"/>
        <v>75582.72</v>
      </c>
      <c r="AP57" s="153">
        <f t="shared" si="20"/>
        <v>75582.72</v>
      </c>
      <c r="AQ57" s="153">
        <f t="shared" si="20"/>
        <v>75582.72</v>
      </c>
      <c r="AR57" s="153">
        <f t="shared" si="20"/>
        <v>75582.72</v>
      </c>
      <c r="AS57" s="153">
        <f t="shared" si="20"/>
        <v>75582.72</v>
      </c>
      <c r="AT57" s="153">
        <f t="shared" si="20"/>
        <v>75582.72</v>
      </c>
      <c r="AU57" s="153">
        <f t="shared" si="20"/>
        <v>75582.72</v>
      </c>
      <c r="AV57" s="153">
        <f t="shared" si="20"/>
        <v>75582.72</v>
      </c>
      <c r="AW57" s="153">
        <f t="shared" si="20"/>
        <v>75582.72</v>
      </c>
      <c r="AX57" s="153">
        <f t="shared" si="20"/>
        <v>75582.72</v>
      </c>
      <c r="AY57" s="153">
        <f t="shared" si="20"/>
        <v>75582.72</v>
      </c>
      <c r="AZ57" s="153">
        <f t="shared" si="20"/>
        <v>75582.72</v>
      </c>
      <c r="BA57" s="153">
        <f t="shared" si="20"/>
        <v>81629.3376</v>
      </c>
      <c r="BB57" s="153">
        <f t="shared" si="20"/>
        <v>81629.3376</v>
      </c>
      <c r="BC57" s="153">
        <f t="shared" si="20"/>
        <v>81629.3376</v>
      </c>
      <c r="BD57" s="153">
        <f t="shared" si="20"/>
        <v>81629.3376</v>
      </c>
      <c r="BE57" s="153">
        <f t="shared" si="20"/>
        <v>81629.3376</v>
      </c>
      <c r="BF57" s="153">
        <f t="shared" si="20"/>
        <v>81629.3376</v>
      </c>
      <c r="BG57" s="153">
        <f t="shared" si="20"/>
        <v>81629.3376</v>
      </c>
      <c r="BH57" s="153">
        <f t="shared" si="20"/>
        <v>81629.3376</v>
      </c>
      <c r="BI57" s="153">
        <f t="shared" si="20"/>
        <v>81629.3376</v>
      </c>
      <c r="BJ57" s="153">
        <f t="shared" si="20"/>
        <v>81629.3376</v>
      </c>
      <c r="BK57" s="153">
        <f t="shared" si="20"/>
        <v>81629.3376</v>
      </c>
      <c r="BL57" s="140">
        <f t="shared" si="20"/>
        <v>81629.3376</v>
      </c>
    </row>
    <row r="58" ht="15.75" customHeight="1">
      <c r="D58" s="57" t="s">
        <v>208</v>
      </c>
      <c r="E58" s="153">
        <f t="shared" ref="E58:BL58" si="21">IFS(
AND(E$36=$E$27,E$33&gt;=$I24),$G24 * E$38 * $E$31,
AND(E$36=$F$27,E$33&gt;=$I24),$G24 * E$38 * $F$31,
AND(E$36=$G$27,E$33&gt;=$I24),$G24 * E$38 * $G$31,
AND(E$36=$H$27,E$33&gt;=$I24),$G24 * E$38 * $H$31,
AND(E$36=$I$27,E$33&gt;=$I24),$G24 * E$38 * $I$31,
TRUE, 0
)</f>
        <v>0</v>
      </c>
      <c r="F58" s="153">
        <f t="shared" si="21"/>
        <v>0</v>
      </c>
      <c r="G58" s="153">
        <f t="shared" si="21"/>
        <v>0</v>
      </c>
      <c r="H58" s="153">
        <f t="shared" si="21"/>
        <v>0</v>
      </c>
      <c r="I58" s="153">
        <f t="shared" si="21"/>
        <v>75000</v>
      </c>
      <c r="J58" s="153">
        <f t="shared" si="21"/>
        <v>150000</v>
      </c>
      <c r="K58" s="153">
        <f t="shared" si="21"/>
        <v>225000</v>
      </c>
      <c r="L58" s="153">
        <f t="shared" si="21"/>
        <v>300000</v>
      </c>
      <c r="M58" s="153">
        <f t="shared" si="21"/>
        <v>375000</v>
      </c>
      <c r="N58" s="153">
        <f t="shared" si="21"/>
        <v>450000</v>
      </c>
      <c r="O58" s="153">
        <f t="shared" si="21"/>
        <v>525000</v>
      </c>
      <c r="P58" s="153">
        <f t="shared" si="21"/>
        <v>600000</v>
      </c>
      <c r="Q58" s="153">
        <f t="shared" si="21"/>
        <v>729000</v>
      </c>
      <c r="R58" s="153">
        <f t="shared" si="21"/>
        <v>810000</v>
      </c>
      <c r="S58" s="153">
        <f t="shared" si="21"/>
        <v>891000</v>
      </c>
      <c r="T58" s="153">
        <f t="shared" si="21"/>
        <v>972000</v>
      </c>
      <c r="U58" s="153">
        <f t="shared" si="21"/>
        <v>1053000</v>
      </c>
      <c r="V58" s="153">
        <f t="shared" si="21"/>
        <v>1134000</v>
      </c>
      <c r="W58" s="153">
        <f t="shared" si="21"/>
        <v>1215000</v>
      </c>
      <c r="X58" s="153">
        <f t="shared" si="21"/>
        <v>1296000</v>
      </c>
      <c r="Y58" s="153">
        <f t="shared" si="21"/>
        <v>1377000</v>
      </c>
      <c r="Z58" s="153">
        <f t="shared" si="21"/>
        <v>1458000</v>
      </c>
      <c r="AA58" s="153">
        <f t="shared" si="21"/>
        <v>1539000</v>
      </c>
      <c r="AB58" s="153">
        <f t="shared" si="21"/>
        <v>1620000</v>
      </c>
      <c r="AC58" s="153">
        <f t="shared" si="21"/>
        <v>1837080</v>
      </c>
      <c r="AD58" s="153">
        <f t="shared" si="21"/>
        <v>1924560</v>
      </c>
      <c r="AE58" s="153">
        <f t="shared" si="21"/>
        <v>2012040</v>
      </c>
      <c r="AF58" s="153">
        <f t="shared" si="21"/>
        <v>2099520</v>
      </c>
      <c r="AG58" s="153">
        <f t="shared" si="21"/>
        <v>2187000</v>
      </c>
      <c r="AH58" s="153">
        <f t="shared" si="21"/>
        <v>2274480</v>
      </c>
      <c r="AI58" s="153">
        <f t="shared" si="21"/>
        <v>2361960</v>
      </c>
      <c r="AJ58" s="153">
        <f t="shared" si="21"/>
        <v>2449440</v>
      </c>
      <c r="AK58" s="153">
        <f t="shared" si="21"/>
        <v>2536920</v>
      </c>
      <c r="AL58" s="153">
        <f t="shared" si="21"/>
        <v>2624400</v>
      </c>
      <c r="AM58" s="153">
        <f t="shared" si="21"/>
        <v>2711880</v>
      </c>
      <c r="AN58" s="153">
        <f t="shared" si="21"/>
        <v>2799360</v>
      </c>
      <c r="AO58" s="153">
        <f t="shared" si="21"/>
        <v>3306744</v>
      </c>
      <c r="AP58" s="153">
        <f t="shared" si="21"/>
        <v>3590179.2</v>
      </c>
      <c r="AQ58" s="153">
        <f t="shared" si="21"/>
        <v>3873614.4</v>
      </c>
      <c r="AR58" s="153">
        <f t="shared" si="21"/>
        <v>4157049.6</v>
      </c>
      <c r="AS58" s="153">
        <f t="shared" si="21"/>
        <v>4440484.8</v>
      </c>
      <c r="AT58" s="153">
        <f t="shared" si="21"/>
        <v>4723920</v>
      </c>
      <c r="AU58" s="153">
        <f t="shared" si="21"/>
        <v>5007355.2</v>
      </c>
      <c r="AV58" s="153">
        <f t="shared" si="21"/>
        <v>5290790.4</v>
      </c>
      <c r="AW58" s="153">
        <f t="shared" si="21"/>
        <v>5290790.4</v>
      </c>
      <c r="AX58" s="153">
        <f t="shared" si="21"/>
        <v>5290790.4</v>
      </c>
      <c r="AY58" s="153">
        <f t="shared" si="21"/>
        <v>5290790.4</v>
      </c>
      <c r="AZ58" s="153">
        <f t="shared" si="21"/>
        <v>5290790.4</v>
      </c>
      <c r="BA58" s="153">
        <f t="shared" si="21"/>
        <v>5714053.632</v>
      </c>
      <c r="BB58" s="153">
        <f t="shared" si="21"/>
        <v>5714053.632</v>
      </c>
      <c r="BC58" s="153">
        <f t="shared" si="21"/>
        <v>5714053.632</v>
      </c>
      <c r="BD58" s="153">
        <f t="shared" si="21"/>
        <v>5714053.632</v>
      </c>
      <c r="BE58" s="153">
        <f t="shared" si="21"/>
        <v>5714053.632</v>
      </c>
      <c r="BF58" s="153">
        <f t="shared" si="21"/>
        <v>5714053.632</v>
      </c>
      <c r="BG58" s="153">
        <f t="shared" si="21"/>
        <v>5714053.632</v>
      </c>
      <c r="BH58" s="153">
        <f t="shared" si="21"/>
        <v>5714053.632</v>
      </c>
      <c r="BI58" s="153">
        <f t="shared" si="21"/>
        <v>5714053.632</v>
      </c>
      <c r="BJ58" s="153">
        <f t="shared" si="21"/>
        <v>5714053.632</v>
      </c>
      <c r="BK58" s="153">
        <f t="shared" si="21"/>
        <v>5714053.632</v>
      </c>
      <c r="BL58" s="140">
        <f t="shared" si="21"/>
        <v>5714053.632</v>
      </c>
    </row>
    <row r="59" ht="15.75" customHeight="1">
      <c r="D59" s="57" t="s">
        <v>209</v>
      </c>
      <c r="E59" s="153">
        <f t="shared" ref="E59:BL59" si="22">IFS(
AND(E$36=$E$27,E$33&gt;=$I25),$G25 * E$40 * $E$31,
AND(E$36=$F$27,E$33&gt;=$I25),$G25* E$40 * $F$31,
AND(E$36=$G$27,E$33&gt;=$I25),$G25* E$40 * $G$31,
AND(E$36=$H$27,E$33&gt;=$I25),$G25* E$40 * $H$31,
AND(E$36=$I$27,E$33&gt;=$I25),$G25* E$40 * $I$31,
TRUE, 0
)</f>
        <v>0</v>
      </c>
      <c r="F59" s="153">
        <f t="shared" si="22"/>
        <v>0</v>
      </c>
      <c r="G59" s="153">
        <f t="shared" si="22"/>
        <v>0</v>
      </c>
      <c r="H59" s="153">
        <f t="shared" si="22"/>
        <v>0</v>
      </c>
      <c r="I59" s="153">
        <f t="shared" si="22"/>
        <v>3000</v>
      </c>
      <c r="J59" s="153">
        <f t="shared" si="22"/>
        <v>6000</v>
      </c>
      <c r="K59" s="153">
        <f t="shared" si="22"/>
        <v>9000</v>
      </c>
      <c r="L59" s="153">
        <f t="shared" si="22"/>
        <v>12000</v>
      </c>
      <c r="M59" s="153">
        <f t="shared" si="22"/>
        <v>15000</v>
      </c>
      <c r="N59" s="153">
        <f t="shared" si="22"/>
        <v>18000</v>
      </c>
      <c r="O59" s="153">
        <f t="shared" si="22"/>
        <v>21000</v>
      </c>
      <c r="P59" s="153">
        <f t="shared" si="22"/>
        <v>24000</v>
      </c>
      <c r="Q59" s="153">
        <f t="shared" si="22"/>
        <v>29160</v>
      </c>
      <c r="R59" s="153">
        <f t="shared" si="22"/>
        <v>32400</v>
      </c>
      <c r="S59" s="153">
        <f t="shared" si="22"/>
        <v>35640</v>
      </c>
      <c r="T59" s="153">
        <f t="shared" si="22"/>
        <v>38880</v>
      </c>
      <c r="U59" s="153">
        <f t="shared" si="22"/>
        <v>42120</v>
      </c>
      <c r="V59" s="153">
        <f t="shared" si="22"/>
        <v>45360</v>
      </c>
      <c r="W59" s="153">
        <f t="shared" si="22"/>
        <v>48600</v>
      </c>
      <c r="X59" s="153">
        <f t="shared" si="22"/>
        <v>51840</v>
      </c>
      <c r="Y59" s="153">
        <f t="shared" si="22"/>
        <v>55080</v>
      </c>
      <c r="Z59" s="153">
        <f t="shared" si="22"/>
        <v>58320</v>
      </c>
      <c r="AA59" s="153">
        <f t="shared" si="22"/>
        <v>61560</v>
      </c>
      <c r="AB59" s="153">
        <f t="shared" si="22"/>
        <v>64800</v>
      </c>
      <c r="AC59" s="153">
        <f t="shared" si="22"/>
        <v>73483.2</v>
      </c>
      <c r="AD59" s="153">
        <f t="shared" si="22"/>
        <v>76982.4</v>
      </c>
      <c r="AE59" s="153">
        <f t="shared" si="22"/>
        <v>80481.6</v>
      </c>
      <c r="AF59" s="153">
        <f t="shared" si="22"/>
        <v>83980.8</v>
      </c>
      <c r="AG59" s="153">
        <f t="shared" si="22"/>
        <v>87480</v>
      </c>
      <c r="AH59" s="153">
        <f t="shared" si="22"/>
        <v>90979.2</v>
      </c>
      <c r="AI59" s="153">
        <f t="shared" si="22"/>
        <v>94478.4</v>
      </c>
      <c r="AJ59" s="153">
        <f t="shared" si="22"/>
        <v>97977.6</v>
      </c>
      <c r="AK59" s="153">
        <f t="shared" si="22"/>
        <v>101476.8</v>
      </c>
      <c r="AL59" s="153">
        <f t="shared" si="22"/>
        <v>104976</v>
      </c>
      <c r="AM59" s="153">
        <f t="shared" si="22"/>
        <v>108475.2</v>
      </c>
      <c r="AN59" s="153">
        <f t="shared" si="22"/>
        <v>111974.4</v>
      </c>
      <c r="AO59" s="153">
        <f t="shared" si="22"/>
        <v>132269.76</v>
      </c>
      <c r="AP59" s="153">
        <f t="shared" si="22"/>
        <v>143607.168</v>
      </c>
      <c r="AQ59" s="153">
        <f t="shared" si="22"/>
        <v>154944.576</v>
      </c>
      <c r="AR59" s="153">
        <f t="shared" si="22"/>
        <v>166281.984</v>
      </c>
      <c r="AS59" s="153">
        <f t="shared" si="22"/>
        <v>177619.392</v>
      </c>
      <c r="AT59" s="153">
        <f t="shared" si="22"/>
        <v>188956.8</v>
      </c>
      <c r="AU59" s="153">
        <f t="shared" si="22"/>
        <v>200294.208</v>
      </c>
      <c r="AV59" s="153">
        <f t="shared" si="22"/>
        <v>211631.616</v>
      </c>
      <c r="AW59" s="153">
        <f t="shared" si="22"/>
        <v>211631.616</v>
      </c>
      <c r="AX59" s="153">
        <f t="shared" si="22"/>
        <v>211631.616</v>
      </c>
      <c r="AY59" s="153">
        <f t="shared" si="22"/>
        <v>211631.616</v>
      </c>
      <c r="AZ59" s="153">
        <f t="shared" si="22"/>
        <v>211631.616</v>
      </c>
      <c r="BA59" s="153">
        <f t="shared" si="22"/>
        <v>228562.1453</v>
      </c>
      <c r="BB59" s="153">
        <f t="shared" si="22"/>
        <v>228562.1453</v>
      </c>
      <c r="BC59" s="153">
        <f t="shared" si="22"/>
        <v>228562.1453</v>
      </c>
      <c r="BD59" s="153">
        <f t="shared" si="22"/>
        <v>228562.1453</v>
      </c>
      <c r="BE59" s="153">
        <f t="shared" si="22"/>
        <v>228562.1453</v>
      </c>
      <c r="BF59" s="153">
        <f t="shared" si="22"/>
        <v>228562.1453</v>
      </c>
      <c r="BG59" s="153">
        <f t="shared" si="22"/>
        <v>228562.1453</v>
      </c>
      <c r="BH59" s="153">
        <f t="shared" si="22"/>
        <v>228562.1453</v>
      </c>
      <c r="BI59" s="153">
        <f t="shared" si="22"/>
        <v>228562.1453</v>
      </c>
      <c r="BJ59" s="153">
        <f t="shared" si="22"/>
        <v>228562.1453</v>
      </c>
      <c r="BK59" s="153">
        <f t="shared" si="22"/>
        <v>228562.1453</v>
      </c>
      <c r="BL59" s="140">
        <f t="shared" si="22"/>
        <v>228562.1453</v>
      </c>
    </row>
    <row r="60" ht="15.75" customHeight="1">
      <c r="D60" s="175" t="s">
        <v>212</v>
      </c>
      <c r="E60" s="176">
        <f t="shared" ref="E60:BL60" si="23">SUM(E42:E59)</f>
        <v>230000</v>
      </c>
      <c r="F60" s="176">
        <f t="shared" si="23"/>
        <v>230000</v>
      </c>
      <c r="G60" s="176">
        <f t="shared" si="23"/>
        <v>230000</v>
      </c>
      <c r="H60" s="176">
        <f t="shared" si="23"/>
        <v>230000</v>
      </c>
      <c r="I60" s="176">
        <f t="shared" si="23"/>
        <v>488000</v>
      </c>
      <c r="J60" s="176">
        <f t="shared" si="23"/>
        <v>898000</v>
      </c>
      <c r="K60" s="176">
        <f t="shared" si="23"/>
        <v>1247000</v>
      </c>
      <c r="L60" s="176">
        <f t="shared" si="23"/>
        <v>1391000</v>
      </c>
      <c r="M60" s="176">
        <f t="shared" si="23"/>
        <v>1475000</v>
      </c>
      <c r="N60" s="176">
        <f t="shared" si="23"/>
        <v>1559000</v>
      </c>
      <c r="O60" s="176">
        <f t="shared" si="23"/>
        <v>1643000</v>
      </c>
      <c r="P60" s="176">
        <f t="shared" si="23"/>
        <v>1727000</v>
      </c>
      <c r="Q60" s="176">
        <f t="shared" si="23"/>
        <v>1955880</v>
      </c>
      <c r="R60" s="176">
        <f t="shared" si="23"/>
        <v>2046600</v>
      </c>
      <c r="S60" s="176">
        <f t="shared" si="23"/>
        <v>2137320</v>
      </c>
      <c r="T60" s="176">
        <f t="shared" si="23"/>
        <v>2228040</v>
      </c>
      <c r="U60" s="176">
        <f t="shared" si="23"/>
        <v>2318760</v>
      </c>
      <c r="V60" s="176">
        <f t="shared" si="23"/>
        <v>2409480</v>
      </c>
      <c r="W60" s="176">
        <f t="shared" si="23"/>
        <v>2500200</v>
      </c>
      <c r="X60" s="176">
        <f t="shared" si="23"/>
        <v>2590920</v>
      </c>
      <c r="Y60" s="176">
        <f t="shared" si="23"/>
        <v>2681640</v>
      </c>
      <c r="Z60" s="176">
        <f t="shared" si="23"/>
        <v>2772360</v>
      </c>
      <c r="AA60" s="176">
        <f t="shared" si="23"/>
        <v>2863080</v>
      </c>
      <c r="AB60" s="176">
        <f t="shared" si="23"/>
        <v>2953800</v>
      </c>
      <c r="AC60" s="176">
        <f t="shared" si="23"/>
        <v>3288081.6</v>
      </c>
      <c r="AD60" s="176">
        <f t="shared" si="23"/>
        <v>3386059.2</v>
      </c>
      <c r="AE60" s="176">
        <f t="shared" si="23"/>
        <v>3484036.8</v>
      </c>
      <c r="AF60" s="176">
        <f t="shared" si="23"/>
        <v>3582014.4</v>
      </c>
      <c r="AG60" s="176">
        <f t="shared" si="23"/>
        <v>3679992</v>
      </c>
      <c r="AH60" s="176">
        <f t="shared" si="23"/>
        <v>3894609.6</v>
      </c>
      <c r="AI60" s="176">
        <f t="shared" si="23"/>
        <v>3992587.2</v>
      </c>
      <c r="AJ60" s="176">
        <f t="shared" si="23"/>
        <v>4090564.8</v>
      </c>
      <c r="AK60" s="176">
        <f t="shared" si="23"/>
        <v>4188542.4</v>
      </c>
      <c r="AL60" s="176">
        <f t="shared" si="23"/>
        <v>4286520</v>
      </c>
      <c r="AM60" s="176">
        <f t="shared" si="23"/>
        <v>4384497.6</v>
      </c>
      <c r="AN60" s="176">
        <f t="shared" si="23"/>
        <v>4482475.2</v>
      </c>
      <c r="AO60" s="176">
        <f t="shared" si="23"/>
        <v>5158520.64</v>
      </c>
      <c r="AP60" s="176">
        <f t="shared" si="23"/>
        <v>5475968.064</v>
      </c>
      <c r="AQ60" s="176">
        <f t="shared" si="23"/>
        <v>5793415.488</v>
      </c>
      <c r="AR60" s="176">
        <f t="shared" si="23"/>
        <v>6110862.912</v>
      </c>
      <c r="AS60" s="176">
        <f t="shared" si="23"/>
        <v>6428310.336</v>
      </c>
      <c r="AT60" s="176">
        <f t="shared" si="23"/>
        <v>6745757.76</v>
      </c>
      <c r="AU60" s="176">
        <f t="shared" si="23"/>
        <v>7063205.184</v>
      </c>
      <c r="AV60" s="176">
        <f t="shared" si="23"/>
        <v>7380652.608</v>
      </c>
      <c r="AW60" s="176">
        <f t="shared" si="23"/>
        <v>7380652.608</v>
      </c>
      <c r="AX60" s="176">
        <f t="shared" si="23"/>
        <v>7380652.608</v>
      </c>
      <c r="AY60" s="176">
        <f t="shared" si="23"/>
        <v>7380652.608</v>
      </c>
      <c r="AZ60" s="176">
        <f t="shared" si="23"/>
        <v>7380652.608</v>
      </c>
      <c r="BA60" s="176">
        <f t="shared" si="23"/>
        <v>7971104.817</v>
      </c>
      <c r="BB60" s="176">
        <f t="shared" si="23"/>
        <v>7971104.817</v>
      </c>
      <c r="BC60" s="176">
        <f t="shared" si="23"/>
        <v>7971104.817</v>
      </c>
      <c r="BD60" s="176">
        <f t="shared" si="23"/>
        <v>7971104.817</v>
      </c>
      <c r="BE60" s="176">
        <f t="shared" si="23"/>
        <v>7971104.817</v>
      </c>
      <c r="BF60" s="176">
        <f t="shared" si="23"/>
        <v>7971104.817</v>
      </c>
      <c r="BG60" s="176">
        <f t="shared" si="23"/>
        <v>7971104.817</v>
      </c>
      <c r="BH60" s="176">
        <f t="shared" si="23"/>
        <v>7971104.817</v>
      </c>
      <c r="BI60" s="176">
        <f t="shared" si="23"/>
        <v>7971104.817</v>
      </c>
      <c r="BJ60" s="176">
        <f t="shared" si="23"/>
        <v>7971104.817</v>
      </c>
      <c r="BK60" s="176">
        <f t="shared" si="23"/>
        <v>7971104.817</v>
      </c>
      <c r="BL60" s="177">
        <f t="shared" si="23"/>
        <v>7971104.817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33:D3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63"/>
    <col customWidth="1" min="4" max="4" width="32.13"/>
    <col customWidth="1" min="5" max="7" width="13.75"/>
    <col customWidth="1" min="9" max="10" width="13.75"/>
  </cols>
  <sheetData>
    <row r="1">
      <c r="A1" s="111" t="str">
        <f>COVER!$B$12</f>
        <v>Narayan Dairy Project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ht="15.75" customHeight="1">
      <c r="A2" s="112" t="s">
        <v>213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4" ht="15.75" customHeight="1">
      <c r="A4" s="64"/>
      <c r="B4" s="64"/>
      <c r="C4" s="64"/>
      <c r="D4" s="178" t="s">
        <v>214</v>
      </c>
      <c r="E4" s="179" t="s">
        <v>215</v>
      </c>
      <c r="F4" s="179" t="s">
        <v>216</v>
      </c>
      <c r="G4" s="179" t="s">
        <v>181</v>
      </c>
      <c r="H4" s="179" t="s">
        <v>217</v>
      </c>
      <c r="I4" s="180" t="s">
        <v>218</v>
      </c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</row>
    <row r="5" ht="1.5" customHeight="1">
      <c r="A5" s="64"/>
      <c r="B5" s="64"/>
      <c r="C5" s="64"/>
      <c r="D5" s="181"/>
      <c r="E5" s="182"/>
      <c r="F5" s="182"/>
      <c r="G5" s="182"/>
      <c r="H5" s="182"/>
      <c r="I5" s="183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</row>
    <row r="6" ht="1.5" customHeight="1">
      <c r="A6" s="64"/>
      <c r="B6" s="64"/>
      <c r="C6" s="64"/>
      <c r="D6" s="184"/>
      <c r="E6" s="185"/>
      <c r="F6" s="185"/>
      <c r="G6" s="185"/>
      <c r="H6" s="185"/>
      <c r="I6" s="186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</row>
    <row r="7" ht="15.75" customHeight="1">
      <c r="D7" s="57" t="s">
        <v>103</v>
      </c>
      <c r="E7" s="92">
        <f>'FUNDING REQUIREMENT'!E8</f>
        <v>50000000</v>
      </c>
      <c r="F7" s="30" t="s">
        <v>219</v>
      </c>
      <c r="G7" s="30">
        <v>1.0</v>
      </c>
      <c r="H7" s="30">
        <v>0.0</v>
      </c>
      <c r="I7" s="140">
        <f t="shared" ref="I7:I24" si="1">IF($H7 = 0, 0, $E7/($H7 * 12))</f>
        <v>0</v>
      </c>
    </row>
    <row r="8" ht="15.75" customHeight="1">
      <c r="D8" s="57" t="s">
        <v>220</v>
      </c>
      <c r="E8" s="92">
        <f>'FUNDING REQUIREMENT'!E9</f>
        <v>11264000</v>
      </c>
      <c r="F8" s="30" t="s">
        <v>219</v>
      </c>
      <c r="G8" s="30">
        <v>2.0</v>
      </c>
      <c r="H8" s="30">
        <v>15.0</v>
      </c>
      <c r="I8" s="140">
        <f t="shared" si="1"/>
        <v>62577.77778</v>
      </c>
    </row>
    <row r="9" ht="15.75" customHeight="1">
      <c r="D9" s="57" t="s">
        <v>221</v>
      </c>
      <c r="E9" s="92">
        <f>'FUNDING REQUIREMENT'!E10</f>
        <v>500000</v>
      </c>
      <c r="F9" s="30" t="s">
        <v>219</v>
      </c>
      <c r="G9" s="30">
        <v>2.0</v>
      </c>
      <c r="H9" s="30">
        <v>10.0</v>
      </c>
      <c r="I9" s="140">
        <f t="shared" si="1"/>
        <v>4166.666667</v>
      </c>
    </row>
    <row r="10" ht="15.75" customHeight="1">
      <c r="D10" s="57" t="s">
        <v>222</v>
      </c>
      <c r="E10" s="92">
        <f>'FUNDING REQUIREMENT'!E11</f>
        <v>20000000</v>
      </c>
      <c r="F10" s="30" t="s">
        <v>219</v>
      </c>
      <c r="G10" s="30">
        <v>3.0</v>
      </c>
      <c r="H10" s="30">
        <v>20.0</v>
      </c>
      <c r="I10" s="140">
        <f t="shared" si="1"/>
        <v>83333.33333</v>
      </c>
    </row>
    <row r="11" ht="15.75" customHeight="1">
      <c r="D11" s="57" t="s">
        <v>223</v>
      </c>
      <c r="E11" s="92">
        <f>'FUNDING REQUIREMENT'!E12</f>
        <v>5000000</v>
      </c>
      <c r="F11" s="30" t="s">
        <v>219</v>
      </c>
      <c r="G11" s="30">
        <v>1.0</v>
      </c>
      <c r="H11" s="30">
        <v>5.0</v>
      </c>
      <c r="I11" s="140">
        <f t="shared" si="1"/>
        <v>83333.33333</v>
      </c>
    </row>
    <row r="12" ht="15.75" customHeight="1">
      <c r="D12" s="57" t="s">
        <v>108</v>
      </c>
      <c r="E12" s="92">
        <f>'FUNDING REQUIREMENT'!E13</f>
        <v>2500000</v>
      </c>
      <c r="F12" s="30" t="s">
        <v>219</v>
      </c>
      <c r="G12" s="30">
        <v>1.0</v>
      </c>
      <c r="H12" s="30">
        <v>0.0</v>
      </c>
      <c r="I12" s="140">
        <f t="shared" si="1"/>
        <v>0</v>
      </c>
    </row>
    <row r="13" ht="15.75" customHeight="1">
      <c r="D13" s="57" t="s">
        <v>224</v>
      </c>
      <c r="E13" s="92">
        <f>'FUNDING REQUIREMENT'!E14</f>
        <v>5000000</v>
      </c>
      <c r="F13" s="30" t="s">
        <v>219</v>
      </c>
      <c r="G13" s="30">
        <v>2.0</v>
      </c>
      <c r="H13" s="30">
        <v>10.0</v>
      </c>
      <c r="I13" s="140">
        <f t="shared" si="1"/>
        <v>41666.66667</v>
      </c>
    </row>
    <row r="14" ht="15.75" customHeight="1">
      <c r="D14" s="57" t="s">
        <v>225</v>
      </c>
      <c r="E14" s="92">
        <f>'FUNDING REQUIREMENT'!E17</f>
        <v>28736000</v>
      </c>
      <c r="F14" s="30" t="s">
        <v>226</v>
      </c>
      <c r="G14" s="30">
        <v>5.0</v>
      </c>
      <c r="H14" s="30">
        <v>15.0</v>
      </c>
      <c r="I14" s="140">
        <f t="shared" si="1"/>
        <v>159644.4444</v>
      </c>
    </row>
    <row r="15" ht="15.75" customHeight="1">
      <c r="D15" s="57" t="s">
        <v>227</v>
      </c>
      <c r="E15" s="92">
        <f>'FUNDING REQUIREMENT'!E18</f>
        <v>30000000</v>
      </c>
      <c r="F15" s="30" t="s">
        <v>226</v>
      </c>
      <c r="G15" s="30">
        <v>5.0</v>
      </c>
      <c r="H15" s="30">
        <v>10.0</v>
      </c>
      <c r="I15" s="140">
        <f t="shared" si="1"/>
        <v>250000</v>
      </c>
    </row>
    <row r="16" ht="15.75" customHeight="1">
      <c r="D16" s="57" t="s">
        <v>228</v>
      </c>
      <c r="E16" s="92">
        <f>'FUNDING REQUIREMENT'!E19</f>
        <v>2500000</v>
      </c>
      <c r="F16" s="30" t="s">
        <v>226</v>
      </c>
      <c r="G16" s="30">
        <v>6.0</v>
      </c>
      <c r="H16" s="30">
        <v>5.0</v>
      </c>
      <c r="I16" s="140">
        <f t="shared" si="1"/>
        <v>41666.66667</v>
      </c>
    </row>
    <row r="17" ht="15.75" customHeight="1">
      <c r="D17" s="57" t="s">
        <v>229</v>
      </c>
      <c r="E17" s="92">
        <f>('FUNDING REQUIREMENT'!E20 / 250) * 200</f>
        <v>18000000</v>
      </c>
      <c r="F17" s="30" t="s">
        <v>226</v>
      </c>
      <c r="G17" s="30">
        <v>5.0</v>
      </c>
      <c r="H17" s="30">
        <v>8.0</v>
      </c>
      <c r="I17" s="140">
        <f t="shared" si="1"/>
        <v>187500</v>
      </c>
    </row>
    <row r="18" ht="15.75" customHeight="1">
      <c r="D18" s="57" t="s">
        <v>116</v>
      </c>
      <c r="E18" s="92">
        <f>'FUNDING REQUIREMENT'!E21</f>
        <v>13000000</v>
      </c>
      <c r="F18" s="30" t="s">
        <v>226</v>
      </c>
      <c r="G18" s="30">
        <v>6.0</v>
      </c>
      <c r="H18" s="30">
        <v>15.0</v>
      </c>
      <c r="I18" s="140">
        <f t="shared" si="1"/>
        <v>72222.22222</v>
      </c>
    </row>
    <row r="19" ht="15.75" customHeight="1">
      <c r="D19" s="57" t="s">
        <v>230</v>
      </c>
      <c r="E19" s="92">
        <f>'FUNDING REQUIREMENT'!E22</f>
        <v>5000000</v>
      </c>
      <c r="F19" s="30" t="s">
        <v>226</v>
      </c>
      <c r="G19" s="30">
        <v>6.0</v>
      </c>
      <c r="H19" s="30">
        <v>8.0</v>
      </c>
      <c r="I19" s="140">
        <f t="shared" si="1"/>
        <v>52083.33333</v>
      </c>
    </row>
    <row r="20" ht="15.75" customHeight="1">
      <c r="D20" s="57" t="s">
        <v>231</v>
      </c>
      <c r="E20" s="92">
        <f>'FUNDING REQUIREMENT'!E27</f>
        <v>70000000</v>
      </c>
      <c r="F20" s="30" t="s">
        <v>232</v>
      </c>
      <c r="G20" s="30">
        <v>7.0</v>
      </c>
      <c r="H20" s="30">
        <v>10.0</v>
      </c>
      <c r="I20" s="140">
        <f t="shared" si="1"/>
        <v>583333.3333</v>
      </c>
    </row>
    <row r="21" ht="15.75" customHeight="1">
      <c r="D21" s="57" t="s">
        <v>233</v>
      </c>
      <c r="E21" s="92">
        <f>'FUNDING REQUIREMENT'!E28</f>
        <v>500000</v>
      </c>
      <c r="F21" s="30" t="s">
        <v>232</v>
      </c>
      <c r="G21" s="30">
        <v>7.0</v>
      </c>
      <c r="H21" s="30">
        <v>5.0</v>
      </c>
      <c r="I21" s="140">
        <f t="shared" si="1"/>
        <v>8333.333333</v>
      </c>
    </row>
    <row r="22" ht="15.75" customHeight="1">
      <c r="D22" s="57" t="s">
        <v>234</v>
      </c>
      <c r="E22" s="92">
        <f>SUM('FUNDING REQUIREMENT'!E20/250 * 50 + 'FUNDING REQUIREMENT'!E29)</f>
        <v>27000000</v>
      </c>
      <c r="F22" s="30" t="s">
        <v>232</v>
      </c>
      <c r="G22" s="30">
        <v>25.0</v>
      </c>
      <c r="H22" s="30">
        <v>8.0</v>
      </c>
      <c r="I22" s="140">
        <f t="shared" si="1"/>
        <v>281250</v>
      </c>
    </row>
    <row r="23" ht="15.75" customHeight="1">
      <c r="D23" s="57" t="s">
        <v>235</v>
      </c>
      <c r="E23" s="92">
        <f>'FUNDING REQUIREMENT'!E30</f>
        <v>5000000</v>
      </c>
      <c r="F23" s="30" t="s">
        <v>232</v>
      </c>
      <c r="G23" s="30">
        <v>12.0</v>
      </c>
      <c r="H23" s="30">
        <v>8.0</v>
      </c>
      <c r="I23" s="140">
        <f t="shared" si="1"/>
        <v>52083.33333</v>
      </c>
    </row>
    <row r="24" ht="15.75" customHeight="1">
      <c r="D24" s="85" t="s">
        <v>236</v>
      </c>
      <c r="E24" s="187">
        <v>5000000.0</v>
      </c>
      <c r="F24" s="188"/>
      <c r="G24" s="188">
        <v>30.0</v>
      </c>
      <c r="H24" s="188">
        <v>20.0</v>
      </c>
      <c r="I24" s="189">
        <f t="shared" si="1"/>
        <v>20833.33333</v>
      </c>
    </row>
    <row r="25" ht="15.75" customHeight="1">
      <c r="D25" s="66"/>
    </row>
    <row r="26" ht="15.75" customHeight="1">
      <c r="A26" s="64"/>
      <c r="B26" s="64"/>
      <c r="C26" s="64"/>
      <c r="D26" s="114" t="s">
        <v>237</v>
      </c>
      <c r="E26" s="115">
        <v>1.0</v>
      </c>
      <c r="F26" s="115">
        <f t="shared" ref="F26:BL26" si="2">E26+1</f>
        <v>2</v>
      </c>
      <c r="G26" s="115">
        <f t="shared" si="2"/>
        <v>3</v>
      </c>
      <c r="H26" s="115">
        <f t="shared" si="2"/>
        <v>4</v>
      </c>
      <c r="I26" s="115">
        <f t="shared" si="2"/>
        <v>5</v>
      </c>
      <c r="J26" s="115">
        <f t="shared" si="2"/>
        <v>6</v>
      </c>
      <c r="K26" s="115">
        <f t="shared" si="2"/>
        <v>7</v>
      </c>
      <c r="L26" s="115">
        <f t="shared" si="2"/>
        <v>8</v>
      </c>
      <c r="M26" s="115">
        <f t="shared" si="2"/>
        <v>9</v>
      </c>
      <c r="N26" s="115">
        <f t="shared" si="2"/>
        <v>10</v>
      </c>
      <c r="O26" s="115">
        <f t="shared" si="2"/>
        <v>11</v>
      </c>
      <c r="P26" s="115">
        <f t="shared" si="2"/>
        <v>12</v>
      </c>
      <c r="Q26" s="115">
        <f t="shared" si="2"/>
        <v>13</v>
      </c>
      <c r="R26" s="115">
        <f t="shared" si="2"/>
        <v>14</v>
      </c>
      <c r="S26" s="115">
        <f t="shared" si="2"/>
        <v>15</v>
      </c>
      <c r="T26" s="115">
        <f t="shared" si="2"/>
        <v>16</v>
      </c>
      <c r="U26" s="115">
        <f t="shared" si="2"/>
        <v>17</v>
      </c>
      <c r="V26" s="115">
        <f t="shared" si="2"/>
        <v>18</v>
      </c>
      <c r="W26" s="115">
        <f t="shared" si="2"/>
        <v>19</v>
      </c>
      <c r="X26" s="115">
        <f t="shared" si="2"/>
        <v>20</v>
      </c>
      <c r="Y26" s="115">
        <f t="shared" si="2"/>
        <v>21</v>
      </c>
      <c r="Z26" s="115">
        <f t="shared" si="2"/>
        <v>22</v>
      </c>
      <c r="AA26" s="115">
        <f t="shared" si="2"/>
        <v>23</v>
      </c>
      <c r="AB26" s="115">
        <f t="shared" si="2"/>
        <v>24</v>
      </c>
      <c r="AC26" s="115">
        <f t="shared" si="2"/>
        <v>25</v>
      </c>
      <c r="AD26" s="115">
        <f t="shared" si="2"/>
        <v>26</v>
      </c>
      <c r="AE26" s="115">
        <f t="shared" si="2"/>
        <v>27</v>
      </c>
      <c r="AF26" s="115">
        <f t="shared" si="2"/>
        <v>28</v>
      </c>
      <c r="AG26" s="115">
        <f t="shared" si="2"/>
        <v>29</v>
      </c>
      <c r="AH26" s="115">
        <f t="shared" si="2"/>
        <v>30</v>
      </c>
      <c r="AI26" s="115">
        <f t="shared" si="2"/>
        <v>31</v>
      </c>
      <c r="AJ26" s="115">
        <f t="shared" si="2"/>
        <v>32</v>
      </c>
      <c r="AK26" s="115">
        <f t="shared" si="2"/>
        <v>33</v>
      </c>
      <c r="AL26" s="115">
        <f t="shared" si="2"/>
        <v>34</v>
      </c>
      <c r="AM26" s="115">
        <f t="shared" si="2"/>
        <v>35</v>
      </c>
      <c r="AN26" s="115">
        <f t="shared" si="2"/>
        <v>36</v>
      </c>
      <c r="AO26" s="115">
        <f t="shared" si="2"/>
        <v>37</v>
      </c>
      <c r="AP26" s="115">
        <f t="shared" si="2"/>
        <v>38</v>
      </c>
      <c r="AQ26" s="115">
        <f t="shared" si="2"/>
        <v>39</v>
      </c>
      <c r="AR26" s="115">
        <f t="shared" si="2"/>
        <v>40</v>
      </c>
      <c r="AS26" s="115">
        <f t="shared" si="2"/>
        <v>41</v>
      </c>
      <c r="AT26" s="115">
        <f t="shared" si="2"/>
        <v>42</v>
      </c>
      <c r="AU26" s="115">
        <f t="shared" si="2"/>
        <v>43</v>
      </c>
      <c r="AV26" s="115">
        <f t="shared" si="2"/>
        <v>44</v>
      </c>
      <c r="AW26" s="115">
        <f t="shared" si="2"/>
        <v>45</v>
      </c>
      <c r="AX26" s="115">
        <f t="shared" si="2"/>
        <v>46</v>
      </c>
      <c r="AY26" s="115">
        <f t="shared" si="2"/>
        <v>47</v>
      </c>
      <c r="AZ26" s="115">
        <f t="shared" si="2"/>
        <v>48</v>
      </c>
      <c r="BA26" s="115">
        <f t="shared" si="2"/>
        <v>49</v>
      </c>
      <c r="BB26" s="115">
        <f t="shared" si="2"/>
        <v>50</v>
      </c>
      <c r="BC26" s="115">
        <f t="shared" si="2"/>
        <v>51</v>
      </c>
      <c r="BD26" s="115">
        <f t="shared" si="2"/>
        <v>52</v>
      </c>
      <c r="BE26" s="115">
        <f t="shared" si="2"/>
        <v>53</v>
      </c>
      <c r="BF26" s="115">
        <f t="shared" si="2"/>
        <v>54</v>
      </c>
      <c r="BG26" s="115">
        <f t="shared" si="2"/>
        <v>55</v>
      </c>
      <c r="BH26" s="115">
        <f t="shared" si="2"/>
        <v>56</v>
      </c>
      <c r="BI26" s="115">
        <f t="shared" si="2"/>
        <v>57</v>
      </c>
      <c r="BJ26" s="115">
        <f t="shared" si="2"/>
        <v>58</v>
      </c>
      <c r="BK26" s="115">
        <f t="shared" si="2"/>
        <v>59</v>
      </c>
      <c r="BL26" s="116">
        <f t="shared" si="2"/>
        <v>60</v>
      </c>
    </row>
    <row r="27" ht="1.5" customHeight="1">
      <c r="A27" s="64"/>
      <c r="B27" s="64"/>
      <c r="C27" s="64"/>
      <c r="D27" s="117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9"/>
    </row>
    <row r="28" ht="1.5" customHeight="1">
      <c r="A28" s="64"/>
      <c r="B28" s="64"/>
      <c r="C28" s="64"/>
      <c r="D28" s="120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2"/>
    </row>
    <row r="29" ht="15.75" customHeight="1">
      <c r="D29" s="29" t="s">
        <v>238</v>
      </c>
      <c r="BL29" s="31"/>
    </row>
    <row r="30" ht="15.75" customHeight="1">
      <c r="D30" s="57" t="str">
        <f t="shared" ref="D30:D47" si="4">D7</f>
        <v>Land</v>
      </c>
      <c r="E30" s="153">
        <f t="shared" ref="E30:BL30" si="3">IF(E$26 &gt;= $G7, $I7, 0)</f>
        <v>0</v>
      </c>
      <c r="F30" s="153">
        <f t="shared" si="3"/>
        <v>0</v>
      </c>
      <c r="G30" s="153">
        <f t="shared" si="3"/>
        <v>0</v>
      </c>
      <c r="H30" s="153">
        <f t="shared" si="3"/>
        <v>0</v>
      </c>
      <c r="I30" s="153">
        <f t="shared" si="3"/>
        <v>0</v>
      </c>
      <c r="J30" s="153">
        <f t="shared" si="3"/>
        <v>0</v>
      </c>
      <c r="K30" s="153">
        <f t="shared" si="3"/>
        <v>0</v>
      </c>
      <c r="L30" s="153">
        <f t="shared" si="3"/>
        <v>0</v>
      </c>
      <c r="M30" s="153">
        <f t="shared" si="3"/>
        <v>0</v>
      </c>
      <c r="N30" s="153">
        <f t="shared" si="3"/>
        <v>0</v>
      </c>
      <c r="O30" s="153">
        <f t="shared" si="3"/>
        <v>0</v>
      </c>
      <c r="P30" s="153">
        <f t="shared" si="3"/>
        <v>0</v>
      </c>
      <c r="Q30" s="153">
        <f t="shared" si="3"/>
        <v>0</v>
      </c>
      <c r="R30" s="153">
        <f t="shared" si="3"/>
        <v>0</v>
      </c>
      <c r="S30" s="153">
        <f t="shared" si="3"/>
        <v>0</v>
      </c>
      <c r="T30" s="153">
        <f t="shared" si="3"/>
        <v>0</v>
      </c>
      <c r="U30" s="153">
        <f t="shared" si="3"/>
        <v>0</v>
      </c>
      <c r="V30" s="153">
        <f t="shared" si="3"/>
        <v>0</v>
      </c>
      <c r="W30" s="153">
        <f t="shared" si="3"/>
        <v>0</v>
      </c>
      <c r="X30" s="153">
        <f t="shared" si="3"/>
        <v>0</v>
      </c>
      <c r="Y30" s="153">
        <f t="shared" si="3"/>
        <v>0</v>
      </c>
      <c r="Z30" s="153">
        <f t="shared" si="3"/>
        <v>0</v>
      </c>
      <c r="AA30" s="153">
        <f t="shared" si="3"/>
        <v>0</v>
      </c>
      <c r="AB30" s="153">
        <f t="shared" si="3"/>
        <v>0</v>
      </c>
      <c r="AC30" s="153">
        <f t="shared" si="3"/>
        <v>0</v>
      </c>
      <c r="AD30" s="153">
        <f t="shared" si="3"/>
        <v>0</v>
      </c>
      <c r="AE30" s="153">
        <f t="shared" si="3"/>
        <v>0</v>
      </c>
      <c r="AF30" s="153">
        <f t="shared" si="3"/>
        <v>0</v>
      </c>
      <c r="AG30" s="153">
        <f t="shared" si="3"/>
        <v>0</v>
      </c>
      <c r="AH30" s="153">
        <f t="shared" si="3"/>
        <v>0</v>
      </c>
      <c r="AI30" s="153">
        <f t="shared" si="3"/>
        <v>0</v>
      </c>
      <c r="AJ30" s="153">
        <f t="shared" si="3"/>
        <v>0</v>
      </c>
      <c r="AK30" s="153">
        <f t="shared" si="3"/>
        <v>0</v>
      </c>
      <c r="AL30" s="153">
        <f t="shared" si="3"/>
        <v>0</v>
      </c>
      <c r="AM30" s="153">
        <f t="shared" si="3"/>
        <v>0</v>
      </c>
      <c r="AN30" s="153">
        <f t="shared" si="3"/>
        <v>0</v>
      </c>
      <c r="AO30" s="153">
        <f t="shared" si="3"/>
        <v>0</v>
      </c>
      <c r="AP30" s="153">
        <f t="shared" si="3"/>
        <v>0</v>
      </c>
      <c r="AQ30" s="153">
        <f t="shared" si="3"/>
        <v>0</v>
      </c>
      <c r="AR30" s="153">
        <f t="shared" si="3"/>
        <v>0</v>
      </c>
      <c r="AS30" s="153">
        <f t="shared" si="3"/>
        <v>0</v>
      </c>
      <c r="AT30" s="153">
        <f t="shared" si="3"/>
        <v>0</v>
      </c>
      <c r="AU30" s="153">
        <f t="shared" si="3"/>
        <v>0</v>
      </c>
      <c r="AV30" s="153">
        <f t="shared" si="3"/>
        <v>0</v>
      </c>
      <c r="AW30" s="153">
        <f t="shared" si="3"/>
        <v>0</v>
      </c>
      <c r="AX30" s="153">
        <f t="shared" si="3"/>
        <v>0</v>
      </c>
      <c r="AY30" s="153">
        <f t="shared" si="3"/>
        <v>0</v>
      </c>
      <c r="AZ30" s="153">
        <f t="shared" si="3"/>
        <v>0</v>
      </c>
      <c r="BA30" s="153">
        <f t="shared" si="3"/>
        <v>0</v>
      </c>
      <c r="BB30" s="153">
        <f t="shared" si="3"/>
        <v>0</v>
      </c>
      <c r="BC30" s="153">
        <f t="shared" si="3"/>
        <v>0</v>
      </c>
      <c r="BD30" s="153">
        <f t="shared" si="3"/>
        <v>0</v>
      </c>
      <c r="BE30" s="153">
        <f t="shared" si="3"/>
        <v>0</v>
      </c>
      <c r="BF30" s="153">
        <f t="shared" si="3"/>
        <v>0</v>
      </c>
      <c r="BG30" s="153">
        <f t="shared" si="3"/>
        <v>0</v>
      </c>
      <c r="BH30" s="153">
        <f t="shared" si="3"/>
        <v>0</v>
      </c>
      <c r="BI30" s="153">
        <f t="shared" si="3"/>
        <v>0</v>
      </c>
      <c r="BJ30" s="153">
        <f t="shared" si="3"/>
        <v>0</v>
      </c>
      <c r="BK30" s="153">
        <f t="shared" si="3"/>
        <v>0</v>
      </c>
      <c r="BL30" s="140">
        <f t="shared" si="3"/>
        <v>0</v>
      </c>
    </row>
    <row r="31" ht="15.75" customHeight="1">
      <c r="D31" s="57" t="str">
        <f t="shared" si="4"/>
        <v>Boundary Wall</v>
      </c>
      <c r="E31" s="30">
        <f t="shared" ref="E31:BL31" si="5">IF(E$26 &gt;= $G8, $I8, 0)</f>
        <v>0</v>
      </c>
      <c r="F31" s="92">
        <f t="shared" si="5"/>
        <v>62577.77778</v>
      </c>
      <c r="G31" s="92">
        <f t="shared" si="5"/>
        <v>62577.77778</v>
      </c>
      <c r="H31" s="92">
        <f t="shared" si="5"/>
        <v>62577.77778</v>
      </c>
      <c r="I31" s="92">
        <f t="shared" si="5"/>
        <v>62577.77778</v>
      </c>
      <c r="J31" s="92">
        <f t="shared" si="5"/>
        <v>62577.77778</v>
      </c>
      <c r="K31" s="92">
        <f t="shared" si="5"/>
        <v>62577.77778</v>
      </c>
      <c r="L31" s="92">
        <f t="shared" si="5"/>
        <v>62577.77778</v>
      </c>
      <c r="M31" s="92">
        <f t="shared" si="5"/>
        <v>62577.77778</v>
      </c>
      <c r="N31" s="92">
        <f t="shared" si="5"/>
        <v>62577.77778</v>
      </c>
      <c r="O31" s="92">
        <f t="shared" si="5"/>
        <v>62577.77778</v>
      </c>
      <c r="P31" s="92">
        <f t="shared" si="5"/>
        <v>62577.77778</v>
      </c>
      <c r="Q31" s="92">
        <f t="shared" si="5"/>
        <v>62577.77778</v>
      </c>
      <c r="R31" s="92">
        <f t="shared" si="5"/>
        <v>62577.77778</v>
      </c>
      <c r="S31" s="92">
        <f t="shared" si="5"/>
        <v>62577.77778</v>
      </c>
      <c r="T31" s="92">
        <f t="shared" si="5"/>
        <v>62577.77778</v>
      </c>
      <c r="U31" s="92">
        <f t="shared" si="5"/>
        <v>62577.77778</v>
      </c>
      <c r="V31" s="92">
        <f t="shared" si="5"/>
        <v>62577.77778</v>
      </c>
      <c r="W31" s="92">
        <f t="shared" si="5"/>
        <v>62577.77778</v>
      </c>
      <c r="X31" s="92">
        <f t="shared" si="5"/>
        <v>62577.77778</v>
      </c>
      <c r="Y31" s="92">
        <f t="shared" si="5"/>
        <v>62577.77778</v>
      </c>
      <c r="Z31" s="92">
        <f t="shared" si="5"/>
        <v>62577.77778</v>
      </c>
      <c r="AA31" s="92">
        <f t="shared" si="5"/>
        <v>62577.77778</v>
      </c>
      <c r="AB31" s="92">
        <f t="shared" si="5"/>
        <v>62577.77778</v>
      </c>
      <c r="AC31" s="92">
        <f t="shared" si="5"/>
        <v>62577.77778</v>
      </c>
      <c r="AD31" s="92">
        <f t="shared" si="5"/>
        <v>62577.77778</v>
      </c>
      <c r="AE31" s="92">
        <f t="shared" si="5"/>
        <v>62577.77778</v>
      </c>
      <c r="AF31" s="92">
        <f t="shared" si="5"/>
        <v>62577.77778</v>
      </c>
      <c r="AG31" s="92">
        <f t="shared" si="5"/>
        <v>62577.77778</v>
      </c>
      <c r="AH31" s="92">
        <f t="shared" si="5"/>
        <v>62577.77778</v>
      </c>
      <c r="AI31" s="92">
        <f t="shared" si="5"/>
        <v>62577.77778</v>
      </c>
      <c r="AJ31" s="92">
        <f t="shared" si="5"/>
        <v>62577.77778</v>
      </c>
      <c r="AK31" s="92">
        <f t="shared" si="5"/>
        <v>62577.77778</v>
      </c>
      <c r="AL31" s="92">
        <f t="shared" si="5"/>
        <v>62577.77778</v>
      </c>
      <c r="AM31" s="92">
        <f t="shared" si="5"/>
        <v>62577.77778</v>
      </c>
      <c r="AN31" s="92">
        <f t="shared" si="5"/>
        <v>62577.77778</v>
      </c>
      <c r="AO31" s="92">
        <f t="shared" si="5"/>
        <v>62577.77778</v>
      </c>
      <c r="AP31" s="92">
        <f t="shared" si="5"/>
        <v>62577.77778</v>
      </c>
      <c r="AQ31" s="92">
        <f t="shared" si="5"/>
        <v>62577.77778</v>
      </c>
      <c r="AR31" s="92">
        <f t="shared" si="5"/>
        <v>62577.77778</v>
      </c>
      <c r="AS31" s="92">
        <f t="shared" si="5"/>
        <v>62577.77778</v>
      </c>
      <c r="AT31" s="92">
        <f t="shared" si="5"/>
        <v>62577.77778</v>
      </c>
      <c r="AU31" s="92">
        <f t="shared" si="5"/>
        <v>62577.77778</v>
      </c>
      <c r="AV31" s="92">
        <f t="shared" si="5"/>
        <v>62577.77778</v>
      </c>
      <c r="AW31" s="92">
        <f t="shared" si="5"/>
        <v>62577.77778</v>
      </c>
      <c r="AX31" s="92">
        <f t="shared" si="5"/>
        <v>62577.77778</v>
      </c>
      <c r="AY31" s="92">
        <f t="shared" si="5"/>
        <v>62577.77778</v>
      </c>
      <c r="AZ31" s="92">
        <f t="shared" si="5"/>
        <v>62577.77778</v>
      </c>
      <c r="BA31" s="92">
        <f t="shared" si="5"/>
        <v>62577.77778</v>
      </c>
      <c r="BB31" s="92">
        <f t="shared" si="5"/>
        <v>62577.77778</v>
      </c>
      <c r="BC31" s="92">
        <f t="shared" si="5"/>
        <v>62577.77778</v>
      </c>
      <c r="BD31" s="92">
        <f t="shared" si="5"/>
        <v>62577.77778</v>
      </c>
      <c r="BE31" s="92">
        <f t="shared" si="5"/>
        <v>62577.77778</v>
      </c>
      <c r="BF31" s="92">
        <f t="shared" si="5"/>
        <v>62577.77778</v>
      </c>
      <c r="BG31" s="92">
        <f t="shared" si="5"/>
        <v>62577.77778</v>
      </c>
      <c r="BH31" s="92">
        <f t="shared" si="5"/>
        <v>62577.77778</v>
      </c>
      <c r="BI31" s="92">
        <f t="shared" si="5"/>
        <v>62577.77778</v>
      </c>
      <c r="BJ31" s="92">
        <f t="shared" si="5"/>
        <v>62577.77778</v>
      </c>
      <c r="BK31" s="92">
        <f t="shared" si="5"/>
        <v>62577.77778</v>
      </c>
      <c r="BL31" s="190">
        <f t="shared" si="5"/>
        <v>62577.77778</v>
      </c>
    </row>
    <row r="32" ht="15.75" customHeight="1">
      <c r="D32" s="57" t="str">
        <f t="shared" si="4"/>
        <v>Borewell &amp; Water Testing</v>
      </c>
      <c r="E32" s="30">
        <f t="shared" ref="E32:BL32" si="6">IF(E$26 &gt;= $G9, $I9, 0)</f>
        <v>0</v>
      </c>
      <c r="F32" s="92">
        <f t="shared" si="6"/>
        <v>4166.666667</v>
      </c>
      <c r="G32" s="92">
        <f t="shared" si="6"/>
        <v>4166.666667</v>
      </c>
      <c r="H32" s="92">
        <f t="shared" si="6"/>
        <v>4166.666667</v>
      </c>
      <c r="I32" s="92">
        <f t="shared" si="6"/>
        <v>4166.666667</v>
      </c>
      <c r="J32" s="92">
        <f t="shared" si="6"/>
        <v>4166.666667</v>
      </c>
      <c r="K32" s="92">
        <f t="shared" si="6"/>
        <v>4166.666667</v>
      </c>
      <c r="L32" s="92">
        <f t="shared" si="6"/>
        <v>4166.666667</v>
      </c>
      <c r="M32" s="92">
        <f t="shared" si="6"/>
        <v>4166.666667</v>
      </c>
      <c r="N32" s="92">
        <f t="shared" si="6"/>
        <v>4166.666667</v>
      </c>
      <c r="O32" s="92">
        <f t="shared" si="6"/>
        <v>4166.666667</v>
      </c>
      <c r="P32" s="92">
        <f t="shared" si="6"/>
        <v>4166.666667</v>
      </c>
      <c r="Q32" s="92">
        <f t="shared" si="6"/>
        <v>4166.666667</v>
      </c>
      <c r="R32" s="92">
        <f t="shared" si="6"/>
        <v>4166.666667</v>
      </c>
      <c r="S32" s="92">
        <f t="shared" si="6"/>
        <v>4166.666667</v>
      </c>
      <c r="T32" s="92">
        <f t="shared" si="6"/>
        <v>4166.666667</v>
      </c>
      <c r="U32" s="92">
        <f t="shared" si="6"/>
        <v>4166.666667</v>
      </c>
      <c r="V32" s="92">
        <f t="shared" si="6"/>
        <v>4166.666667</v>
      </c>
      <c r="W32" s="92">
        <f t="shared" si="6"/>
        <v>4166.666667</v>
      </c>
      <c r="X32" s="92">
        <f t="shared" si="6"/>
        <v>4166.666667</v>
      </c>
      <c r="Y32" s="92">
        <f t="shared" si="6"/>
        <v>4166.666667</v>
      </c>
      <c r="Z32" s="92">
        <f t="shared" si="6"/>
        <v>4166.666667</v>
      </c>
      <c r="AA32" s="92">
        <f t="shared" si="6"/>
        <v>4166.666667</v>
      </c>
      <c r="AB32" s="92">
        <f t="shared" si="6"/>
        <v>4166.666667</v>
      </c>
      <c r="AC32" s="92">
        <f t="shared" si="6"/>
        <v>4166.666667</v>
      </c>
      <c r="AD32" s="92">
        <f t="shared" si="6"/>
        <v>4166.666667</v>
      </c>
      <c r="AE32" s="92">
        <f t="shared" si="6"/>
        <v>4166.666667</v>
      </c>
      <c r="AF32" s="92">
        <f t="shared" si="6"/>
        <v>4166.666667</v>
      </c>
      <c r="AG32" s="92">
        <f t="shared" si="6"/>
        <v>4166.666667</v>
      </c>
      <c r="AH32" s="92">
        <f t="shared" si="6"/>
        <v>4166.666667</v>
      </c>
      <c r="AI32" s="92">
        <f t="shared" si="6"/>
        <v>4166.666667</v>
      </c>
      <c r="AJ32" s="92">
        <f t="shared" si="6"/>
        <v>4166.666667</v>
      </c>
      <c r="AK32" s="92">
        <f t="shared" si="6"/>
        <v>4166.666667</v>
      </c>
      <c r="AL32" s="92">
        <f t="shared" si="6"/>
        <v>4166.666667</v>
      </c>
      <c r="AM32" s="92">
        <f t="shared" si="6"/>
        <v>4166.666667</v>
      </c>
      <c r="AN32" s="92">
        <f t="shared" si="6"/>
        <v>4166.666667</v>
      </c>
      <c r="AO32" s="92">
        <f t="shared" si="6"/>
        <v>4166.666667</v>
      </c>
      <c r="AP32" s="92">
        <f t="shared" si="6"/>
        <v>4166.666667</v>
      </c>
      <c r="AQ32" s="92">
        <f t="shared" si="6"/>
        <v>4166.666667</v>
      </c>
      <c r="AR32" s="92">
        <f t="shared" si="6"/>
        <v>4166.666667</v>
      </c>
      <c r="AS32" s="92">
        <f t="shared" si="6"/>
        <v>4166.666667</v>
      </c>
      <c r="AT32" s="92">
        <f t="shared" si="6"/>
        <v>4166.666667</v>
      </c>
      <c r="AU32" s="92">
        <f t="shared" si="6"/>
        <v>4166.666667</v>
      </c>
      <c r="AV32" s="92">
        <f t="shared" si="6"/>
        <v>4166.666667</v>
      </c>
      <c r="AW32" s="92">
        <f t="shared" si="6"/>
        <v>4166.666667</v>
      </c>
      <c r="AX32" s="92">
        <f t="shared" si="6"/>
        <v>4166.666667</v>
      </c>
      <c r="AY32" s="92">
        <f t="shared" si="6"/>
        <v>4166.666667</v>
      </c>
      <c r="AZ32" s="92">
        <f t="shared" si="6"/>
        <v>4166.666667</v>
      </c>
      <c r="BA32" s="92">
        <f t="shared" si="6"/>
        <v>4166.666667</v>
      </c>
      <c r="BB32" s="92">
        <f t="shared" si="6"/>
        <v>4166.666667</v>
      </c>
      <c r="BC32" s="92">
        <f t="shared" si="6"/>
        <v>4166.666667</v>
      </c>
      <c r="BD32" s="92">
        <f t="shared" si="6"/>
        <v>4166.666667</v>
      </c>
      <c r="BE32" s="92">
        <f t="shared" si="6"/>
        <v>4166.666667</v>
      </c>
      <c r="BF32" s="92">
        <f t="shared" si="6"/>
        <v>4166.666667</v>
      </c>
      <c r="BG32" s="92">
        <f t="shared" si="6"/>
        <v>4166.666667</v>
      </c>
      <c r="BH32" s="92">
        <f t="shared" si="6"/>
        <v>4166.666667</v>
      </c>
      <c r="BI32" s="92">
        <f t="shared" si="6"/>
        <v>4166.666667</v>
      </c>
      <c r="BJ32" s="92">
        <f t="shared" si="6"/>
        <v>4166.666667</v>
      </c>
      <c r="BK32" s="92">
        <f t="shared" si="6"/>
        <v>4166.666667</v>
      </c>
      <c r="BL32" s="190">
        <f t="shared" si="6"/>
        <v>4166.666667</v>
      </c>
    </row>
    <row r="33" ht="15.75" customHeight="1">
      <c r="D33" s="57" t="str">
        <f t="shared" si="4"/>
        <v>Shed Construction 1</v>
      </c>
      <c r="E33" s="30">
        <f t="shared" ref="E33:BL33" si="7">IF(E$26 &gt;= $G10, $I10, 0)</f>
        <v>0</v>
      </c>
      <c r="F33" s="30">
        <f t="shared" si="7"/>
        <v>0</v>
      </c>
      <c r="G33" s="92">
        <f t="shared" si="7"/>
        <v>83333.33333</v>
      </c>
      <c r="H33" s="92">
        <f t="shared" si="7"/>
        <v>83333.33333</v>
      </c>
      <c r="I33" s="92">
        <f t="shared" si="7"/>
        <v>83333.33333</v>
      </c>
      <c r="J33" s="92">
        <f t="shared" si="7"/>
        <v>83333.33333</v>
      </c>
      <c r="K33" s="92">
        <f t="shared" si="7"/>
        <v>83333.33333</v>
      </c>
      <c r="L33" s="92">
        <f t="shared" si="7"/>
        <v>83333.33333</v>
      </c>
      <c r="M33" s="92">
        <f t="shared" si="7"/>
        <v>83333.33333</v>
      </c>
      <c r="N33" s="92">
        <f t="shared" si="7"/>
        <v>83333.33333</v>
      </c>
      <c r="O33" s="92">
        <f t="shared" si="7"/>
        <v>83333.33333</v>
      </c>
      <c r="P33" s="92">
        <f t="shared" si="7"/>
        <v>83333.33333</v>
      </c>
      <c r="Q33" s="92">
        <f t="shared" si="7"/>
        <v>83333.33333</v>
      </c>
      <c r="R33" s="92">
        <f t="shared" si="7"/>
        <v>83333.33333</v>
      </c>
      <c r="S33" s="92">
        <f t="shared" si="7"/>
        <v>83333.33333</v>
      </c>
      <c r="T33" s="92">
        <f t="shared" si="7"/>
        <v>83333.33333</v>
      </c>
      <c r="U33" s="92">
        <f t="shared" si="7"/>
        <v>83333.33333</v>
      </c>
      <c r="V33" s="92">
        <f t="shared" si="7"/>
        <v>83333.33333</v>
      </c>
      <c r="W33" s="92">
        <f t="shared" si="7"/>
        <v>83333.33333</v>
      </c>
      <c r="X33" s="92">
        <f t="shared" si="7"/>
        <v>83333.33333</v>
      </c>
      <c r="Y33" s="92">
        <f t="shared" si="7"/>
        <v>83333.33333</v>
      </c>
      <c r="Z33" s="92">
        <f t="shared" si="7"/>
        <v>83333.33333</v>
      </c>
      <c r="AA33" s="92">
        <f t="shared" si="7"/>
        <v>83333.33333</v>
      </c>
      <c r="AB33" s="92">
        <f t="shared" si="7"/>
        <v>83333.33333</v>
      </c>
      <c r="AC33" s="92">
        <f t="shared" si="7"/>
        <v>83333.33333</v>
      </c>
      <c r="AD33" s="92">
        <f t="shared" si="7"/>
        <v>83333.33333</v>
      </c>
      <c r="AE33" s="92">
        <f t="shared" si="7"/>
        <v>83333.33333</v>
      </c>
      <c r="AF33" s="92">
        <f t="shared" si="7"/>
        <v>83333.33333</v>
      </c>
      <c r="AG33" s="92">
        <f t="shared" si="7"/>
        <v>83333.33333</v>
      </c>
      <c r="AH33" s="92">
        <f t="shared" si="7"/>
        <v>83333.33333</v>
      </c>
      <c r="AI33" s="92">
        <f t="shared" si="7"/>
        <v>83333.33333</v>
      </c>
      <c r="AJ33" s="92">
        <f t="shared" si="7"/>
        <v>83333.33333</v>
      </c>
      <c r="AK33" s="92">
        <f t="shared" si="7"/>
        <v>83333.33333</v>
      </c>
      <c r="AL33" s="92">
        <f t="shared" si="7"/>
        <v>83333.33333</v>
      </c>
      <c r="AM33" s="92">
        <f t="shared" si="7"/>
        <v>83333.33333</v>
      </c>
      <c r="AN33" s="92">
        <f t="shared" si="7"/>
        <v>83333.33333</v>
      </c>
      <c r="AO33" s="92">
        <f t="shared" si="7"/>
        <v>83333.33333</v>
      </c>
      <c r="AP33" s="92">
        <f t="shared" si="7"/>
        <v>83333.33333</v>
      </c>
      <c r="AQ33" s="92">
        <f t="shared" si="7"/>
        <v>83333.33333</v>
      </c>
      <c r="AR33" s="92">
        <f t="shared" si="7"/>
        <v>83333.33333</v>
      </c>
      <c r="AS33" s="92">
        <f t="shared" si="7"/>
        <v>83333.33333</v>
      </c>
      <c r="AT33" s="92">
        <f t="shared" si="7"/>
        <v>83333.33333</v>
      </c>
      <c r="AU33" s="92">
        <f t="shared" si="7"/>
        <v>83333.33333</v>
      </c>
      <c r="AV33" s="92">
        <f t="shared" si="7"/>
        <v>83333.33333</v>
      </c>
      <c r="AW33" s="92">
        <f t="shared" si="7"/>
        <v>83333.33333</v>
      </c>
      <c r="AX33" s="92">
        <f t="shared" si="7"/>
        <v>83333.33333</v>
      </c>
      <c r="AY33" s="92">
        <f t="shared" si="7"/>
        <v>83333.33333</v>
      </c>
      <c r="AZ33" s="92">
        <f t="shared" si="7"/>
        <v>83333.33333</v>
      </c>
      <c r="BA33" s="92">
        <f t="shared" si="7"/>
        <v>83333.33333</v>
      </c>
      <c r="BB33" s="92">
        <f t="shared" si="7"/>
        <v>83333.33333</v>
      </c>
      <c r="BC33" s="92">
        <f t="shared" si="7"/>
        <v>83333.33333</v>
      </c>
      <c r="BD33" s="92">
        <f t="shared" si="7"/>
        <v>83333.33333</v>
      </c>
      <c r="BE33" s="92">
        <f t="shared" si="7"/>
        <v>83333.33333</v>
      </c>
      <c r="BF33" s="92">
        <f t="shared" si="7"/>
        <v>83333.33333</v>
      </c>
      <c r="BG33" s="92">
        <f t="shared" si="7"/>
        <v>83333.33333</v>
      </c>
      <c r="BH33" s="92">
        <f t="shared" si="7"/>
        <v>83333.33333</v>
      </c>
      <c r="BI33" s="92">
        <f t="shared" si="7"/>
        <v>83333.33333</v>
      </c>
      <c r="BJ33" s="92">
        <f t="shared" si="7"/>
        <v>83333.33333</v>
      </c>
      <c r="BK33" s="92">
        <f t="shared" si="7"/>
        <v>83333.33333</v>
      </c>
      <c r="BL33" s="190">
        <f t="shared" si="7"/>
        <v>83333.33333</v>
      </c>
    </row>
    <row r="34" ht="15.75" customHeight="1">
      <c r="D34" s="57" t="str">
        <f t="shared" si="4"/>
        <v>Stamp Duty &amp; Legal</v>
      </c>
      <c r="E34" s="92">
        <f t="shared" ref="E34:BL34" si="8">IF(E$26 &gt;= $G11, $I11, 0)</f>
        <v>83333.33333</v>
      </c>
      <c r="F34" s="92">
        <f t="shared" si="8"/>
        <v>83333.33333</v>
      </c>
      <c r="G34" s="92">
        <f t="shared" si="8"/>
        <v>83333.33333</v>
      </c>
      <c r="H34" s="92">
        <f t="shared" si="8"/>
        <v>83333.33333</v>
      </c>
      <c r="I34" s="92">
        <f t="shared" si="8"/>
        <v>83333.33333</v>
      </c>
      <c r="J34" s="92">
        <f t="shared" si="8"/>
        <v>83333.33333</v>
      </c>
      <c r="K34" s="92">
        <f t="shared" si="8"/>
        <v>83333.33333</v>
      </c>
      <c r="L34" s="92">
        <f t="shared" si="8"/>
        <v>83333.33333</v>
      </c>
      <c r="M34" s="92">
        <f t="shared" si="8"/>
        <v>83333.33333</v>
      </c>
      <c r="N34" s="92">
        <f t="shared" si="8"/>
        <v>83333.33333</v>
      </c>
      <c r="O34" s="92">
        <f t="shared" si="8"/>
        <v>83333.33333</v>
      </c>
      <c r="P34" s="92">
        <f t="shared" si="8"/>
        <v>83333.33333</v>
      </c>
      <c r="Q34" s="92">
        <f t="shared" si="8"/>
        <v>83333.33333</v>
      </c>
      <c r="R34" s="92">
        <f t="shared" si="8"/>
        <v>83333.33333</v>
      </c>
      <c r="S34" s="92">
        <f t="shared" si="8"/>
        <v>83333.33333</v>
      </c>
      <c r="T34" s="92">
        <f t="shared" si="8"/>
        <v>83333.33333</v>
      </c>
      <c r="U34" s="92">
        <f t="shared" si="8"/>
        <v>83333.33333</v>
      </c>
      <c r="V34" s="92">
        <f t="shared" si="8"/>
        <v>83333.33333</v>
      </c>
      <c r="W34" s="92">
        <f t="shared" si="8"/>
        <v>83333.33333</v>
      </c>
      <c r="X34" s="92">
        <f t="shared" si="8"/>
        <v>83333.33333</v>
      </c>
      <c r="Y34" s="92">
        <f t="shared" si="8"/>
        <v>83333.33333</v>
      </c>
      <c r="Z34" s="92">
        <f t="shared" si="8"/>
        <v>83333.33333</v>
      </c>
      <c r="AA34" s="92">
        <f t="shared" si="8"/>
        <v>83333.33333</v>
      </c>
      <c r="AB34" s="92">
        <f t="shared" si="8"/>
        <v>83333.33333</v>
      </c>
      <c r="AC34" s="92">
        <f t="shared" si="8"/>
        <v>83333.33333</v>
      </c>
      <c r="AD34" s="92">
        <f t="shared" si="8"/>
        <v>83333.33333</v>
      </c>
      <c r="AE34" s="92">
        <f t="shared" si="8"/>
        <v>83333.33333</v>
      </c>
      <c r="AF34" s="92">
        <f t="shared" si="8"/>
        <v>83333.33333</v>
      </c>
      <c r="AG34" s="92">
        <f t="shared" si="8"/>
        <v>83333.33333</v>
      </c>
      <c r="AH34" s="92">
        <f t="shared" si="8"/>
        <v>83333.33333</v>
      </c>
      <c r="AI34" s="92">
        <f t="shared" si="8"/>
        <v>83333.33333</v>
      </c>
      <c r="AJ34" s="92">
        <f t="shared" si="8"/>
        <v>83333.33333</v>
      </c>
      <c r="AK34" s="92">
        <f t="shared" si="8"/>
        <v>83333.33333</v>
      </c>
      <c r="AL34" s="92">
        <f t="shared" si="8"/>
        <v>83333.33333</v>
      </c>
      <c r="AM34" s="92">
        <f t="shared" si="8"/>
        <v>83333.33333</v>
      </c>
      <c r="AN34" s="92">
        <f t="shared" si="8"/>
        <v>83333.33333</v>
      </c>
      <c r="AO34" s="92">
        <f t="shared" si="8"/>
        <v>83333.33333</v>
      </c>
      <c r="AP34" s="92">
        <f t="shared" si="8"/>
        <v>83333.33333</v>
      </c>
      <c r="AQ34" s="92">
        <f t="shared" si="8"/>
        <v>83333.33333</v>
      </c>
      <c r="AR34" s="92">
        <f t="shared" si="8"/>
        <v>83333.33333</v>
      </c>
      <c r="AS34" s="92">
        <f t="shared" si="8"/>
        <v>83333.33333</v>
      </c>
      <c r="AT34" s="92">
        <f t="shared" si="8"/>
        <v>83333.33333</v>
      </c>
      <c r="AU34" s="92">
        <f t="shared" si="8"/>
        <v>83333.33333</v>
      </c>
      <c r="AV34" s="92">
        <f t="shared" si="8"/>
        <v>83333.33333</v>
      </c>
      <c r="AW34" s="92">
        <f t="shared" si="8"/>
        <v>83333.33333</v>
      </c>
      <c r="AX34" s="92">
        <f t="shared" si="8"/>
        <v>83333.33333</v>
      </c>
      <c r="AY34" s="92">
        <f t="shared" si="8"/>
        <v>83333.33333</v>
      </c>
      <c r="AZ34" s="92">
        <f t="shared" si="8"/>
        <v>83333.33333</v>
      </c>
      <c r="BA34" s="92">
        <f t="shared" si="8"/>
        <v>83333.33333</v>
      </c>
      <c r="BB34" s="92">
        <f t="shared" si="8"/>
        <v>83333.33333</v>
      </c>
      <c r="BC34" s="92">
        <f t="shared" si="8"/>
        <v>83333.33333</v>
      </c>
      <c r="BD34" s="92">
        <f t="shared" si="8"/>
        <v>83333.33333</v>
      </c>
      <c r="BE34" s="92">
        <f t="shared" si="8"/>
        <v>83333.33333</v>
      </c>
      <c r="BF34" s="92">
        <f t="shared" si="8"/>
        <v>83333.33333</v>
      </c>
      <c r="BG34" s="92">
        <f t="shared" si="8"/>
        <v>83333.33333</v>
      </c>
      <c r="BH34" s="92">
        <f t="shared" si="8"/>
        <v>83333.33333</v>
      </c>
      <c r="BI34" s="92">
        <f t="shared" si="8"/>
        <v>83333.33333</v>
      </c>
      <c r="BJ34" s="92">
        <f t="shared" si="8"/>
        <v>83333.33333</v>
      </c>
      <c r="BK34" s="92">
        <f t="shared" si="8"/>
        <v>83333.33333</v>
      </c>
      <c r="BL34" s="190">
        <f t="shared" si="8"/>
        <v>83333.33333</v>
      </c>
    </row>
    <row r="35" ht="15.75" customHeight="1">
      <c r="D35" s="57" t="str">
        <f t="shared" si="4"/>
        <v>Bank Deposit</v>
      </c>
      <c r="E35" s="153">
        <f t="shared" ref="E35:BL35" si="9">IF(E$26 &gt;= $G12, $I12, 0)</f>
        <v>0</v>
      </c>
      <c r="F35" s="153">
        <f t="shared" si="9"/>
        <v>0</v>
      </c>
      <c r="G35" s="153">
        <f t="shared" si="9"/>
        <v>0</v>
      </c>
      <c r="H35" s="153">
        <f t="shared" si="9"/>
        <v>0</v>
      </c>
      <c r="I35" s="153">
        <f t="shared" si="9"/>
        <v>0</v>
      </c>
      <c r="J35" s="153">
        <f t="shared" si="9"/>
        <v>0</v>
      </c>
      <c r="K35" s="153">
        <f t="shared" si="9"/>
        <v>0</v>
      </c>
      <c r="L35" s="153">
        <f t="shared" si="9"/>
        <v>0</v>
      </c>
      <c r="M35" s="153">
        <f t="shared" si="9"/>
        <v>0</v>
      </c>
      <c r="N35" s="153">
        <f t="shared" si="9"/>
        <v>0</v>
      </c>
      <c r="O35" s="153">
        <f t="shared" si="9"/>
        <v>0</v>
      </c>
      <c r="P35" s="153">
        <f t="shared" si="9"/>
        <v>0</v>
      </c>
      <c r="Q35" s="153">
        <f t="shared" si="9"/>
        <v>0</v>
      </c>
      <c r="R35" s="153">
        <f t="shared" si="9"/>
        <v>0</v>
      </c>
      <c r="S35" s="153">
        <f t="shared" si="9"/>
        <v>0</v>
      </c>
      <c r="T35" s="153">
        <f t="shared" si="9"/>
        <v>0</v>
      </c>
      <c r="U35" s="153">
        <f t="shared" si="9"/>
        <v>0</v>
      </c>
      <c r="V35" s="153">
        <f t="shared" si="9"/>
        <v>0</v>
      </c>
      <c r="W35" s="153">
        <f t="shared" si="9"/>
        <v>0</v>
      </c>
      <c r="X35" s="153">
        <f t="shared" si="9"/>
        <v>0</v>
      </c>
      <c r="Y35" s="153">
        <f t="shared" si="9"/>
        <v>0</v>
      </c>
      <c r="Z35" s="153">
        <f t="shared" si="9"/>
        <v>0</v>
      </c>
      <c r="AA35" s="153">
        <f t="shared" si="9"/>
        <v>0</v>
      </c>
      <c r="AB35" s="153">
        <f t="shared" si="9"/>
        <v>0</v>
      </c>
      <c r="AC35" s="153">
        <f t="shared" si="9"/>
        <v>0</v>
      </c>
      <c r="AD35" s="153">
        <f t="shared" si="9"/>
        <v>0</v>
      </c>
      <c r="AE35" s="153">
        <f t="shared" si="9"/>
        <v>0</v>
      </c>
      <c r="AF35" s="153">
        <f t="shared" si="9"/>
        <v>0</v>
      </c>
      <c r="AG35" s="153">
        <f t="shared" si="9"/>
        <v>0</v>
      </c>
      <c r="AH35" s="153">
        <f t="shared" si="9"/>
        <v>0</v>
      </c>
      <c r="AI35" s="153">
        <f t="shared" si="9"/>
        <v>0</v>
      </c>
      <c r="AJ35" s="153">
        <f t="shared" si="9"/>
        <v>0</v>
      </c>
      <c r="AK35" s="153">
        <f t="shared" si="9"/>
        <v>0</v>
      </c>
      <c r="AL35" s="153">
        <f t="shared" si="9"/>
        <v>0</v>
      </c>
      <c r="AM35" s="153">
        <f t="shared" si="9"/>
        <v>0</v>
      </c>
      <c r="AN35" s="153">
        <f t="shared" si="9"/>
        <v>0</v>
      </c>
      <c r="AO35" s="153">
        <f t="shared" si="9"/>
        <v>0</v>
      </c>
      <c r="AP35" s="153">
        <f t="shared" si="9"/>
        <v>0</v>
      </c>
      <c r="AQ35" s="153">
        <f t="shared" si="9"/>
        <v>0</v>
      </c>
      <c r="AR35" s="153">
        <f t="shared" si="9"/>
        <v>0</v>
      </c>
      <c r="AS35" s="153">
        <f t="shared" si="9"/>
        <v>0</v>
      </c>
      <c r="AT35" s="153">
        <f t="shared" si="9"/>
        <v>0</v>
      </c>
      <c r="AU35" s="153">
        <f t="shared" si="9"/>
        <v>0</v>
      </c>
      <c r="AV35" s="153">
        <f t="shared" si="9"/>
        <v>0</v>
      </c>
      <c r="AW35" s="153">
        <f t="shared" si="9"/>
        <v>0</v>
      </c>
      <c r="AX35" s="153">
        <f t="shared" si="9"/>
        <v>0</v>
      </c>
      <c r="AY35" s="153">
        <f t="shared" si="9"/>
        <v>0</v>
      </c>
      <c r="AZ35" s="153">
        <f t="shared" si="9"/>
        <v>0</v>
      </c>
      <c r="BA35" s="153">
        <f t="shared" si="9"/>
        <v>0</v>
      </c>
      <c r="BB35" s="153">
        <f t="shared" si="9"/>
        <v>0</v>
      </c>
      <c r="BC35" s="153">
        <f t="shared" si="9"/>
        <v>0</v>
      </c>
      <c r="BD35" s="153">
        <f t="shared" si="9"/>
        <v>0</v>
      </c>
      <c r="BE35" s="153">
        <f t="shared" si="9"/>
        <v>0</v>
      </c>
      <c r="BF35" s="153">
        <f t="shared" si="9"/>
        <v>0</v>
      </c>
      <c r="BG35" s="153">
        <f t="shared" si="9"/>
        <v>0</v>
      </c>
      <c r="BH35" s="153">
        <f t="shared" si="9"/>
        <v>0</v>
      </c>
      <c r="BI35" s="153">
        <f t="shared" si="9"/>
        <v>0</v>
      </c>
      <c r="BJ35" s="153">
        <f t="shared" si="9"/>
        <v>0</v>
      </c>
      <c r="BK35" s="153">
        <f t="shared" si="9"/>
        <v>0</v>
      </c>
      <c r="BL35" s="140">
        <f t="shared" si="9"/>
        <v>0</v>
      </c>
    </row>
    <row r="36" ht="15.75" customHeight="1">
      <c r="D36" s="57" t="str">
        <f t="shared" si="4"/>
        <v>Land Levelling</v>
      </c>
      <c r="E36" s="30">
        <f t="shared" ref="E36:BL36" si="10">IF(E$26 &gt;= $G13, $I13, 0)</f>
        <v>0</v>
      </c>
      <c r="F36" s="92">
        <f t="shared" si="10"/>
        <v>41666.66667</v>
      </c>
      <c r="G36" s="92">
        <f t="shared" si="10"/>
        <v>41666.66667</v>
      </c>
      <c r="H36" s="92">
        <f t="shared" si="10"/>
        <v>41666.66667</v>
      </c>
      <c r="I36" s="92">
        <f t="shared" si="10"/>
        <v>41666.66667</v>
      </c>
      <c r="J36" s="92">
        <f t="shared" si="10"/>
        <v>41666.66667</v>
      </c>
      <c r="K36" s="92">
        <f t="shared" si="10"/>
        <v>41666.66667</v>
      </c>
      <c r="L36" s="92">
        <f t="shared" si="10"/>
        <v>41666.66667</v>
      </c>
      <c r="M36" s="92">
        <f t="shared" si="10"/>
        <v>41666.66667</v>
      </c>
      <c r="N36" s="92">
        <f t="shared" si="10"/>
        <v>41666.66667</v>
      </c>
      <c r="O36" s="92">
        <f t="shared" si="10"/>
        <v>41666.66667</v>
      </c>
      <c r="P36" s="92">
        <f t="shared" si="10"/>
        <v>41666.66667</v>
      </c>
      <c r="Q36" s="92">
        <f t="shared" si="10"/>
        <v>41666.66667</v>
      </c>
      <c r="R36" s="92">
        <f t="shared" si="10"/>
        <v>41666.66667</v>
      </c>
      <c r="S36" s="92">
        <f t="shared" si="10"/>
        <v>41666.66667</v>
      </c>
      <c r="T36" s="92">
        <f t="shared" si="10"/>
        <v>41666.66667</v>
      </c>
      <c r="U36" s="92">
        <f t="shared" si="10"/>
        <v>41666.66667</v>
      </c>
      <c r="V36" s="92">
        <f t="shared" si="10"/>
        <v>41666.66667</v>
      </c>
      <c r="W36" s="92">
        <f t="shared" si="10"/>
        <v>41666.66667</v>
      </c>
      <c r="X36" s="92">
        <f t="shared" si="10"/>
        <v>41666.66667</v>
      </c>
      <c r="Y36" s="92">
        <f t="shared" si="10"/>
        <v>41666.66667</v>
      </c>
      <c r="Z36" s="92">
        <f t="shared" si="10"/>
        <v>41666.66667</v>
      </c>
      <c r="AA36" s="92">
        <f t="shared" si="10"/>
        <v>41666.66667</v>
      </c>
      <c r="AB36" s="92">
        <f t="shared" si="10"/>
        <v>41666.66667</v>
      </c>
      <c r="AC36" s="92">
        <f t="shared" si="10"/>
        <v>41666.66667</v>
      </c>
      <c r="AD36" s="92">
        <f t="shared" si="10"/>
        <v>41666.66667</v>
      </c>
      <c r="AE36" s="92">
        <f t="shared" si="10"/>
        <v>41666.66667</v>
      </c>
      <c r="AF36" s="92">
        <f t="shared" si="10"/>
        <v>41666.66667</v>
      </c>
      <c r="AG36" s="92">
        <f t="shared" si="10"/>
        <v>41666.66667</v>
      </c>
      <c r="AH36" s="92">
        <f t="shared" si="10"/>
        <v>41666.66667</v>
      </c>
      <c r="AI36" s="92">
        <f t="shared" si="10"/>
        <v>41666.66667</v>
      </c>
      <c r="AJ36" s="92">
        <f t="shared" si="10"/>
        <v>41666.66667</v>
      </c>
      <c r="AK36" s="92">
        <f t="shared" si="10"/>
        <v>41666.66667</v>
      </c>
      <c r="AL36" s="92">
        <f t="shared" si="10"/>
        <v>41666.66667</v>
      </c>
      <c r="AM36" s="92">
        <f t="shared" si="10"/>
        <v>41666.66667</v>
      </c>
      <c r="AN36" s="92">
        <f t="shared" si="10"/>
        <v>41666.66667</v>
      </c>
      <c r="AO36" s="92">
        <f t="shared" si="10"/>
        <v>41666.66667</v>
      </c>
      <c r="AP36" s="92">
        <f t="shared" si="10"/>
        <v>41666.66667</v>
      </c>
      <c r="AQ36" s="92">
        <f t="shared" si="10"/>
        <v>41666.66667</v>
      </c>
      <c r="AR36" s="92">
        <f t="shared" si="10"/>
        <v>41666.66667</v>
      </c>
      <c r="AS36" s="92">
        <f t="shared" si="10"/>
        <v>41666.66667</v>
      </c>
      <c r="AT36" s="92">
        <f t="shared" si="10"/>
        <v>41666.66667</v>
      </c>
      <c r="AU36" s="92">
        <f t="shared" si="10"/>
        <v>41666.66667</v>
      </c>
      <c r="AV36" s="92">
        <f t="shared" si="10"/>
        <v>41666.66667</v>
      </c>
      <c r="AW36" s="92">
        <f t="shared" si="10"/>
        <v>41666.66667</v>
      </c>
      <c r="AX36" s="92">
        <f t="shared" si="10"/>
        <v>41666.66667</v>
      </c>
      <c r="AY36" s="92">
        <f t="shared" si="10"/>
        <v>41666.66667</v>
      </c>
      <c r="AZ36" s="92">
        <f t="shared" si="10"/>
        <v>41666.66667</v>
      </c>
      <c r="BA36" s="92">
        <f t="shared" si="10"/>
        <v>41666.66667</v>
      </c>
      <c r="BB36" s="92">
        <f t="shared" si="10"/>
        <v>41666.66667</v>
      </c>
      <c r="BC36" s="92">
        <f t="shared" si="10"/>
        <v>41666.66667</v>
      </c>
      <c r="BD36" s="92">
        <f t="shared" si="10"/>
        <v>41666.66667</v>
      </c>
      <c r="BE36" s="92">
        <f t="shared" si="10"/>
        <v>41666.66667</v>
      </c>
      <c r="BF36" s="92">
        <f t="shared" si="10"/>
        <v>41666.66667</v>
      </c>
      <c r="BG36" s="92">
        <f t="shared" si="10"/>
        <v>41666.66667</v>
      </c>
      <c r="BH36" s="92">
        <f t="shared" si="10"/>
        <v>41666.66667</v>
      </c>
      <c r="BI36" s="92">
        <f t="shared" si="10"/>
        <v>41666.66667</v>
      </c>
      <c r="BJ36" s="92">
        <f t="shared" si="10"/>
        <v>41666.66667</v>
      </c>
      <c r="BK36" s="92">
        <f t="shared" si="10"/>
        <v>41666.66667</v>
      </c>
      <c r="BL36" s="190">
        <f t="shared" si="10"/>
        <v>41666.66667</v>
      </c>
    </row>
    <row r="37" ht="15.75" customHeight="1">
      <c r="D37" s="57" t="str">
        <f t="shared" si="4"/>
        <v>Plant &amp; Civil Work</v>
      </c>
      <c r="E37" s="30">
        <f t="shared" ref="E37:BL37" si="11">IF(E$26 &gt;= $G14, $I14, 0)</f>
        <v>0</v>
      </c>
      <c r="F37" s="30">
        <f t="shared" si="11"/>
        <v>0</v>
      </c>
      <c r="G37" s="30">
        <f t="shared" si="11"/>
        <v>0</v>
      </c>
      <c r="H37" s="30">
        <f t="shared" si="11"/>
        <v>0</v>
      </c>
      <c r="I37" s="92">
        <f t="shared" si="11"/>
        <v>159644.4444</v>
      </c>
      <c r="J37" s="92">
        <f t="shared" si="11"/>
        <v>159644.4444</v>
      </c>
      <c r="K37" s="92">
        <f t="shared" si="11"/>
        <v>159644.4444</v>
      </c>
      <c r="L37" s="92">
        <f t="shared" si="11"/>
        <v>159644.4444</v>
      </c>
      <c r="M37" s="92">
        <f t="shared" si="11"/>
        <v>159644.4444</v>
      </c>
      <c r="N37" s="92">
        <f t="shared" si="11"/>
        <v>159644.4444</v>
      </c>
      <c r="O37" s="92">
        <f t="shared" si="11"/>
        <v>159644.4444</v>
      </c>
      <c r="P37" s="92">
        <f t="shared" si="11"/>
        <v>159644.4444</v>
      </c>
      <c r="Q37" s="92">
        <f t="shared" si="11"/>
        <v>159644.4444</v>
      </c>
      <c r="R37" s="92">
        <f t="shared" si="11"/>
        <v>159644.4444</v>
      </c>
      <c r="S37" s="92">
        <f t="shared" si="11"/>
        <v>159644.4444</v>
      </c>
      <c r="T37" s="92">
        <f t="shared" si="11"/>
        <v>159644.4444</v>
      </c>
      <c r="U37" s="92">
        <f t="shared" si="11"/>
        <v>159644.4444</v>
      </c>
      <c r="V37" s="92">
        <f t="shared" si="11"/>
        <v>159644.4444</v>
      </c>
      <c r="W37" s="92">
        <f t="shared" si="11"/>
        <v>159644.4444</v>
      </c>
      <c r="X37" s="92">
        <f t="shared" si="11"/>
        <v>159644.4444</v>
      </c>
      <c r="Y37" s="92">
        <f t="shared" si="11"/>
        <v>159644.4444</v>
      </c>
      <c r="Z37" s="92">
        <f t="shared" si="11"/>
        <v>159644.4444</v>
      </c>
      <c r="AA37" s="92">
        <f t="shared" si="11"/>
        <v>159644.4444</v>
      </c>
      <c r="AB37" s="92">
        <f t="shared" si="11"/>
        <v>159644.4444</v>
      </c>
      <c r="AC37" s="92">
        <f t="shared" si="11"/>
        <v>159644.4444</v>
      </c>
      <c r="AD37" s="92">
        <f t="shared" si="11"/>
        <v>159644.4444</v>
      </c>
      <c r="AE37" s="92">
        <f t="shared" si="11"/>
        <v>159644.4444</v>
      </c>
      <c r="AF37" s="92">
        <f t="shared" si="11"/>
        <v>159644.4444</v>
      </c>
      <c r="AG37" s="92">
        <f t="shared" si="11"/>
        <v>159644.4444</v>
      </c>
      <c r="AH37" s="92">
        <f t="shared" si="11"/>
        <v>159644.4444</v>
      </c>
      <c r="AI37" s="92">
        <f t="shared" si="11"/>
        <v>159644.4444</v>
      </c>
      <c r="AJ37" s="92">
        <f t="shared" si="11"/>
        <v>159644.4444</v>
      </c>
      <c r="AK37" s="92">
        <f t="shared" si="11"/>
        <v>159644.4444</v>
      </c>
      <c r="AL37" s="92">
        <f t="shared" si="11"/>
        <v>159644.4444</v>
      </c>
      <c r="AM37" s="92">
        <f t="shared" si="11"/>
        <v>159644.4444</v>
      </c>
      <c r="AN37" s="92">
        <f t="shared" si="11"/>
        <v>159644.4444</v>
      </c>
      <c r="AO37" s="92">
        <f t="shared" si="11"/>
        <v>159644.4444</v>
      </c>
      <c r="AP37" s="92">
        <f t="shared" si="11"/>
        <v>159644.4444</v>
      </c>
      <c r="AQ37" s="92">
        <f t="shared" si="11"/>
        <v>159644.4444</v>
      </c>
      <c r="AR37" s="92">
        <f t="shared" si="11"/>
        <v>159644.4444</v>
      </c>
      <c r="AS37" s="92">
        <f t="shared" si="11"/>
        <v>159644.4444</v>
      </c>
      <c r="AT37" s="92">
        <f t="shared" si="11"/>
        <v>159644.4444</v>
      </c>
      <c r="AU37" s="92">
        <f t="shared" si="11"/>
        <v>159644.4444</v>
      </c>
      <c r="AV37" s="92">
        <f t="shared" si="11"/>
        <v>159644.4444</v>
      </c>
      <c r="AW37" s="92">
        <f t="shared" si="11"/>
        <v>159644.4444</v>
      </c>
      <c r="AX37" s="92">
        <f t="shared" si="11"/>
        <v>159644.4444</v>
      </c>
      <c r="AY37" s="92">
        <f t="shared" si="11"/>
        <v>159644.4444</v>
      </c>
      <c r="AZ37" s="92">
        <f t="shared" si="11"/>
        <v>159644.4444</v>
      </c>
      <c r="BA37" s="92">
        <f t="shared" si="11"/>
        <v>159644.4444</v>
      </c>
      <c r="BB37" s="92">
        <f t="shared" si="11"/>
        <v>159644.4444</v>
      </c>
      <c r="BC37" s="92">
        <f t="shared" si="11"/>
        <v>159644.4444</v>
      </c>
      <c r="BD37" s="92">
        <f t="shared" si="11"/>
        <v>159644.4444</v>
      </c>
      <c r="BE37" s="92">
        <f t="shared" si="11"/>
        <v>159644.4444</v>
      </c>
      <c r="BF37" s="92">
        <f t="shared" si="11"/>
        <v>159644.4444</v>
      </c>
      <c r="BG37" s="92">
        <f t="shared" si="11"/>
        <v>159644.4444</v>
      </c>
      <c r="BH37" s="92">
        <f t="shared" si="11"/>
        <v>159644.4444</v>
      </c>
      <c r="BI37" s="92">
        <f t="shared" si="11"/>
        <v>159644.4444</v>
      </c>
      <c r="BJ37" s="92">
        <f t="shared" si="11"/>
        <v>159644.4444</v>
      </c>
      <c r="BK37" s="92">
        <f t="shared" si="11"/>
        <v>159644.4444</v>
      </c>
      <c r="BL37" s="190">
        <f t="shared" si="11"/>
        <v>159644.4444</v>
      </c>
    </row>
    <row r="38" ht="15.75" customHeight="1">
      <c r="D38" s="57" t="str">
        <f t="shared" si="4"/>
        <v>Machinery Advance</v>
      </c>
      <c r="E38" s="30">
        <f t="shared" ref="E38:BL38" si="12">IF(E$26 &gt;= $G15, $I15, 0)</f>
        <v>0</v>
      </c>
      <c r="F38" s="30">
        <f t="shared" si="12"/>
        <v>0</v>
      </c>
      <c r="G38" s="30">
        <f t="shared" si="12"/>
        <v>0</v>
      </c>
      <c r="H38" s="30">
        <f t="shared" si="12"/>
        <v>0</v>
      </c>
      <c r="I38" s="92">
        <f t="shared" si="12"/>
        <v>250000</v>
      </c>
      <c r="J38" s="92">
        <f t="shared" si="12"/>
        <v>250000</v>
      </c>
      <c r="K38" s="92">
        <f t="shared" si="12"/>
        <v>250000</v>
      </c>
      <c r="L38" s="92">
        <f t="shared" si="12"/>
        <v>250000</v>
      </c>
      <c r="M38" s="92">
        <f t="shared" si="12"/>
        <v>250000</v>
      </c>
      <c r="N38" s="92">
        <f t="shared" si="12"/>
        <v>250000</v>
      </c>
      <c r="O38" s="92">
        <f t="shared" si="12"/>
        <v>250000</v>
      </c>
      <c r="P38" s="92">
        <f t="shared" si="12"/>
        <v>250000</v>
      </c>
      <c r="Q38" s="92">
        <f t="shared" si="12"/>
        <v>250000</v>
      </c>
      <c r="R38" s="92">
        <f t="shared" si="12"/>
        <v>250000</v>
      </c>
      <c r="S38" s="92">
        <f t="shared" si="12"/>
        <v>250000</v>
      </c>
      <c r="T38" s="92">
        <f t="shared" si="12"/>
        <v>250000</v>
      </c>
      <c r="U38" s="92">
        <f t="shared" si="12"/>
        <v>250000</v>
      </c>
      <c r="V38" s="92">
        <f t="shared" si="12"/>
        <v>250000</v>
      </c>
      <c r="W38" s="92">
        <f t="shared" si="12"/>
        <v>250000</v>
      </c>
      <c r="X38" s="92">
        <f t="shared" si="12"/>
        <v>250000</v>
      </c>
      <c r="Y38" s="92">
        <f t="shared" si="12"/>
        <v>250000</v>
      </c>
      <c r="Z38" s="92">
        <f t="shared" si="12"/>
        <v>250000</v>
      </c>
      <c r="AA38" s="92">
        <f t="shared" si="12"/>
        <v>250000</v>
      </c>
      <c r="AB38" s="92">
        <f t="shared" si="12"/>
        <v>250000</v>
      </c>
      <c r="AC38" s="92">
        <f t="shared" si="12"/>
        <v>250000</v>
      </c>
      <c r="AD38" s="92">
        <f t="shared" si="12"/>
        <v>250000</v>
      </c>
      <c r="AE38" s="92">
        <f t="shared" si="12"/>
        <v>250000</v>
      </c>
      <c r="AF38" s="92">
        <f t="shared" si="12"/>
        <v>250000</v>
      </c>
      <c r="AG38" s="92">
        <f t="shared" si="12"/>
        <v>250000</v>
      </c>
      <c r="AH38" s="92">
        <f t="shared" si="12"/>
        <v>250000</v>
      </c>
      <c r="AI38" s="92">
        <f t="shared" si="12"/>
        <v>250000</v>
      </c>
      <c r="AJ38" s="92">
        <f t="shared" si="12"/>
        <v>250000</v>
      </c>
      <c r="AK38" s="92">
        <f t="shared" si="12"/>
        <v>250000</v>
      </c>
      <c r="AL38" s="92">
        <f t="shared" si="12"/>
        <v>250000</v>
      </c>
      <c r="AM38" s="92">
        <f t="shared" si="12"/>
        <v>250000</v>
      </c>
      <c r="AN38" s="92">
        <f t="shared" si="12"/>
        <v>250000</v>
      </c>
      <c r="AO38" s="92">
        <f t="shared" si="12"/>
        <v>250000</v>
      </c>
      <c r="AP38" s="92">
        <f t="shared" si="12"/>
        <v>250000</v>
      </c>
      <c r="AQ38" s="92">
        <f t="shared" si="12"/>
        <v>250000</v>
      </c>
      <c r="AR38" s="92">
        <f t="shared" si="12"/>
        <v>250000</v>
      </c>
      <c r="AS38" s="92">
        <f t="shared" si="12"/>
        <v>250000</v>
      </c>
      <c r="AT38" s="92">
        <f t="shared" si="12"/>
        <v>250000</v>
      </c>
      <c r="AU38" s="92">
        <f t="shared" si="12"/>
        <v>250000</v>
      </c>
      <c r="AV38" s="92">
        <f t="shared" si="12"/>
        <v>250000</v>
      </c>
      <c r="AW38" s="92">
        <f t="shared" si="12"/>
        <v>250000</v>
      </c>
      <c r="AX38" s="92">
        <f t="shared" si="12"/>
        <v>250000</v>
      </c>
      <c r="AY38" s="92">
        <f t="shared" si="12"/>
        <v>250000</v>
      </c>
      <c r="AZ38" s="92">
        <f t="shared" si="12"/>
        <v>250000</v>
      </c>
      <c r="BA38" s="92">
        <f t="shared" si="12"/>
        <v>250000</v>
      </c>
      <c r="BB38" s="92">
        <f t="shared" si="12"/>
        <v>250000</v>
      </c>
      <c r="BC38" s="92">
        <f t="shared" si="12"/>
        <v>250000</v>
      </c>
      <c r="BD38" s="92">
        <f t="shared" si="12"/>
        <v>250000</v>
      </c>
      <c r="BE38" s="92">
        <f t="shared" si="12"/>
        <v>250000</v>
      </c>
      <c r="BF38" s="92">
        <f t="shared" si="12"/>
        <v>250000</v>
      </c>
      <c r="BG38" s="92">
        <f t="shared" si="12"/>
        <v>250000</v>
      </c>
      <c r="BH38" s="92">
        <f t="shared" si="12"/>
        <v>250000</v>
      </c>
      <c r="BI38" s="92">
        <f t="shared" si="12"/>
        <v>250000</v>
      </c>
      <c r="BJ38" s="92">
        <f t="shared" si="12"/>
        <v>250000</v>
      </c>
      <c r="BK38" s="92">
        <f t="shared" si="12"/>
        <v>250000</v>
      </c>
      <c r="BL38" s="190">
        <f t="shared" si="12"/>
        <v>250000</v>
      </c>
    </row>
    <row r="39" ht="15.75" customHeight="1">
      <c r="D39" s="57" t="str">
        <f t="shared" si="4"/>
        <v>Cow Mats</v>
      </c>
      <c r="E39" s="30">
        <f t="shared" ref="E39:BL39" si="13">IF(E$26 &gt;= $G16, $I16, 0)</f>
        <v>0</v>
      </c>
      <c r="F39" s="30">
        <f t="shared" si="13"/>
        <v>0</v>
      </c>
      <c r="G39" s="30">
        <f t="shared" si="13"/>
        <v>0</v>
      </c>
      <c r="H39" s="30">
        <f t="shared" si="13"/>
        <v>0</v>
      </c>
      <c r="I39" s="30">
        <f t="shared" si="13"/>
        <v>0</v>
      </c>
      <c r="J39" s="92">
        <f t="shared" si="13"/>
        <v>41666.66667</v>
      </c>
      <c r="K39" s="92">
        <f t="shared" si="13"/>
        <v>41666.66667</v>
      </c>
      <c r="L39" s="92">
        <f t="shared" si="13"/>
        <v>41666.66667</v>
      </c>
      <c r="M39" s="92">
        <f t="shared" si="13"/>
        <v>41666.66667</v>
      </c>
      <c r="N39" s="92">
        <f t="shared" si="13"/>
        <v>41666.66667</v>
      </c>
      <c r="O39" s="92">
        <f t="shared" si="13"/>
        <v>41666.66667</v>
      </c>
      <c r="P39" s="92">
        <f t="shared" si="13"/>
        <v>41666.66667</v>
      </c>
      <c r="Q39" s="92">
        <f t="shared" si="13"/>
        <v>41666.66667</v>
      </c>
      <c r="R39" s="92">
        <f t="shared" si="13"/>
        <v>41666.66667</v>
      </c>
      <c r="S39" s="92">
        <f t="shared" si="13"/>
        <v>41666.66667</v>
      </c>
      <c r="T39" s="92">
        <f t="shared" si="13"/>
        <v>41666.66667</v>
      </c>
      <c r="U39" s="92">
        <f t="shared" si="13"/>
        <v>41666.66667</v>
      </c>
      <c r="V39" s="92">
        <f t="shared" si="13"/>
        <v>41666.66667</v>
      </c>
      <c r="W39" s="92">
        <f t="shared" si="13"/>
        <v>41666.66667</v>
      </c>
      <c r="X39" s="92">
        <f t="shared" si="13"/>
        <v>41666.66667</v>
      </c>
      <c r="Y39" s="92">
        <f t="shared" si="13"/>
        <v>41666.66667</v>
      </c>
      <c r="Z39" s="92">
        <f t="shared" si="13"/>
        <v>41666.66667</v>
      </c>
      <c r="AA39" s="92">
        <f t="shared" si="13"/>
        <v>41666.66667</v>
      </c>
      <c r="AB39" s="92">
        <f t="shared" si="13"/>
        <v>41666.66667</v>
      </c>
      <c r="AC39" s="92">
        <f t="shared" si="13"/>
        <v>41666.66667</v>
      </c>
      <c r="AD39" s="92">
        <f t="shared" si="13"/>
        <v>41666.66667</v>
      </c>
      <c r="AE39" s="92">
        <f t="shared" si="13"/>
        <v>41666.66667</v>
      </c>
      <c r="AF39" s="92">
        <f t="shared" si="13"/>
        <v>41666.66667</v>
      </c>
      <c r="AG39" s="92">
        <f t="shared" si="13"/>
        <v>41666.66667</v>
      </c>
      <c r="AH39" s="92">
        <f t="shared" si="13"/>
        <v>41666.66667</v>
      </c>
      <c r="AI39" s="92">
        <f t="shared" si="13"/>
        <v>41666.66667</v>
      </c>
      <c r="AJ39" s="92">
        <f t="shared" si="13"/>
        <v>41666.66667</v>
      </c>
      <c r="AK39" s="92">
        <f t="shared" si="13"/>
        <v>41666.66667</v>
      </c>
      <c r="AL39" s="92">
        <f t="shared" si="13"/>
        <v>41666.66667</v>
      </c>
      <c r="AM39" s="92">
        <f t="shared" si="13"/>
        <v>41666.66667</v>
      </c>
      <c r="AN39" s="92">
        <f t="shared" si="13"/>
        <v>41666.66667</v>
      </c>
      <c r="AO39" s="92">
        <f t="shared" si="13"/>
        <v>41666.66667</v>
      </c>
      <c r="AP39" s="92">
        <f t="shared" si="13"/>
        <v>41666.66667</v>
      </c>
      <c r="AQ39" s="92">
        <f t="shared" si="13"/>
        <v>41666.66667</v>
      </c>
      <c r="AR39" s="92">
        <f t="shared" si="13"/>
        <v>41666.66667</v>
      </c>
      <c r="AS39" s="92">
        <f t="shared" si="13"/>
        <v>41666.66667</v>
      </c>
      <c r="AT39" s="92">
        <f t="shared" si="13"/>
        <v>41666.66667</v>
      </c>
      <c r="AU39" s="92">
        <f t="shared" si="13"/>
        <v>41666.66667</v>
      </c>
      <c r="AV39" s="92">
        <f t="shared" si="13"/>
        <v>41666.66667</v>
      </c>
      <c r="AW39" s="92">
        <f t="shared" si="13"/>
        <v>41666.66667</v>
      </c>
      <c r="AX39" s="92">
        <f t="shared" si="13"/>
        <v>41666.66667</v>
      </c>
      <c r="AY39" s="92">
        <f t="shared" si="13"/>
        <v>41666.66667</v>
      </c>
      <c r="AZ39" s="92">
        <f t="shared" si="13"/>
        <v>41666.66667</v>
      </c>
      <c r="BA39" s="92">
        <f t="shared" si="13"/>
        <v>41666.66667</v>
      </c>
      <c r="BB39" s="92">
        <f t="shared" si="13"/>
        <v>41666.66667</v>
      </c>
      <c r="BC39" s="92">
        <f t="shared" si="13"/>
        <v>41666.66667</v>
      </c>
      <c r="BD39" s="92">
        <f t="shared" si="13"/>
        <v>41666.66667</v>
      </c>
      <c r="BE39" s="92">
        <f t="shared" si="13"/>
        <v>41666.66667</v>
      </c>
      <c r="BF39" s="92">
        <f t="shared" si="13"/>
        <v>41666.66667</v>
      </c>
      <c r="BG39" s="92">
        <f t="shared" si="13"/>
        <v>41666.66667</v>
      </c>
      <c r="BH39" s="92">
        <f t="shared" si="13"/>
        <v>41666.66667</v>
      </c>
      <c r="BI39" s="92">
        <f t="shared" si="13"/>
        <v>41666.66667</v>
      </c>
      <c r="BJ39" s="92">
        <f t="shared" si="13"/>
        <v>41666.66667</v>
      </c>
      <c r="BK39" s="92">
        <f t="shared" si="13"/>
        <v>41666.66667</v>
      </c>
      <c r="BL39" s="190">
        <f t="shared" si="13"/>
        <v>41666.66667</v>
      </c>
    </row>
    <row r="40" ht="15.75" customHeight="1">
      <c r="D40" s="57" t="str">
        <f t="shared" si="4"/>
        <v>Livestock Batch 1</v>
      </c>
      <c r="E40" s="30">
        <f t="shared" ref="E40:BL40" si="14">IF(E$26 &gt;= $G17, $I17, 0)</f>
        <v>0</v>
      </c>
      <c r="F40" s="30">
        <f t="shared" si="14"/>
        <v>0</v>
      </c>
      <c r="G40" s="30">
        <f t="shared" si="14"/>
        <v>0</v>
      </c>
      <c r="H40" s="30">
        <f t="shared" si="14"/>
        <v>0</v>
      </c>
      <c r="I40" s="92">
        <f t="shared" si="14"/>
        <v>187500</v>
      </c>
      <c r="J40" s="92">
        <f t="shared" si="14"/>
        <v>187500</v>
      </c>
      <c r="K40" s="92">
        <f t="shared" si="14"/>
        <v>187500</v>
      </c>
      <c r="L40" s="92">
        <f t="shared" si="14"/>
        <v>187500</v>
      </c>
      <c r="M40" s="92">
        <f t="shared" si="14"/>
        <v>187500</v>
      </c>
      <c r="N40" s="92">
        <f t="shared" si="14"/>
        <v>187500</v>
      </c>
      <c r="O40" s="92">
        <f t="shared" si="14"/>
        <v>187500</v>
      </c>
      <c r="P40" s="92">
        <f t="shared" si="14"/>
        <v>187500</v>
      </c>
      <c r="Q40" s="92">
        <f t="shared" si="14"/>
        <v>187500</v>
      </c>
      <c r="R40" s="92">
        <f t="shared" si="14"/>
        <v>187500</v>
      </c>
      <c r="S40" s="92">
        <f t="shared" si="14"/>
        <v>187500</v>
      </c>
      <c r="T40" s="92">
        <f t="shared" si="14"/>
        <v>187500</v>
      </c>
      <c r="U40" s="92">
        <f t="shared" si="14"/>
        <v>187500</v>
      </c>
      <c r="V40" s="92">
        <f t="shared" si="14"/>
        <v>187500</v>
      </c>
      <c r="W40" s="92">
        <f t="shared" si="14"/>
        <v>187500</v>
      </c>
      <c r="X40" s="92">
        <f t="shared" si="14"/>
        <v>187500</v>
      </c>
      <c r="Y40" s="92">
        <f t="shared" si="14"/>
        <v>187500</v>
      </c>
      <c r="Z40" s="92">
        <f t="shared" si="14"/>
        <v>187500</v>
      </c>
      <c r="AA40" s="92">
        <f t="shared" si="14"/>
        <v>187500</v>
      </c>
      <c r="AB40" s="92">
        <f t="shared" si="14"/>
        <v>187500</v>
      </c>
      <c r="AC40" s="92">
        <f t="shared" si="14"/>
        <v>187500</v>
      </c>
      <c r="AD40" s="92">
        <f t="shared" si="14"/>
        <v>187500</v>
      </c>
      <c r="AE40" s="92">
        <f t="shared" si="14"/>
        <v>187500</v>
      </c>
      <c r="AF40" s="92">
        <f t="shared" si="14"/>
        <v>187500</v>
      </c>
      <c r="AG40" s="92">
        <f t="shared" si="14"/>
        <v>187500</v>
      </c>
      <c r="AH40" s="92">
        <f t="shared" si="14"/>
        <v>187500</v>
      </c>
      <c r="AI40" s="92">
        <f t="shared" si="14"/>
        <v>187500</v>
      </c>
      <c r="AJ40" s="92">
        <f t="shared" si="14"/>
        <v>187500</v>
      </c>
      <c r="AK40" s="92">
        <f t="shared" si="14"/>
        <v>187500</v>
      </c>
      <c r="AL40" s="92">
        <f t="shared" si="14"/>
        <v>187500</v>
      </c>
      <c r="AM40" s="92">
        <f t="shared" si="14"/>
        <v>187500</v>
      </c>
      <c r="AN40" s="92">
        <f t="shared" si="14"/>
        <v>187500</v>
      </c>
      <c r="AO40" s="92">
        <f t="shared" si="14"/>
        <v>187500</v>
      </c>
      <c r="AP40" s="92">
        <f t="shared" si="14"/>
        <v>187500</v>
      </c>
      <c r="AQ40" s="92">
        <f t="shared" si="14"/>
        <v>187500</v>
      </c>
      <c r="AR40" s="92">
        <f t="shared" si="14"/>
        <v>187500</v>
      </c>
      <c r="AS40" s="92">
        <f t="shared" si="14"/>
        <v>187500</v>
      </c>
      <c r="AT40" s="92">
        <f t="shared" si="14"/>
        <v>187500</v>
      </c>
      <c r="AU40" s="92">
        <f t="shared" si="14"/>
        <v>187500</v>
      </c>
      <c r="AV40" s="92">
        <f t="shared" si="14"/>
        <v>187500</v>
      </c>
      <c r="AW40" s="92">
        <f t="shared" si="14"/>
        <v>187500</v>
      </c>
      <c r="AX40" s="92">
        <f t="shared" si="14"/>
        <v>187500</v>
      </c>
      <c r="AY40" s="92">
        <f t="shared" si="14"/>
        <v>187500</v>
      </c>
      <c r="AZ40" s="92">
        <f t="shared" si="14"/>
        <v>187500</v>
      </c>
      <c r="BA40" s="92">
        <f t="shared" si="14"/>
        <v>187500</v>
      </c>
      <c r="BB40" s="92">
        <f t="shared" si="14"/>
        <v>187500</v>
      </c>
      <c r="BC40" s="92">
        <f t="shared" si="14"/>
        <v>187500</v>
      </c>
      <c r="BD40" s="92">
        <f t="shared" si="14"/>
        <v>187500</v>
      </c>
      <c r="BE40" s="92">
        <f t="shared" si="14"/>
        <v>187500</v>
      </c>
      <c r="BF40" s="92">
        <f t="shared" si="14"/>
        <v>187500</v>
      </c>
      <c r="BG40" s="92">
        <f t="shared" si="14"/>
        <v>187500</v>
      </c>
      <c r="BH40" s="92">
        <f t="shared" si="14"/>
        <v>187500</v>
      </c>
      <c r="BI40" s="92">
        <f t="shared" si="14"/>
        <v>187500</v>
      </c>
      <c r="BJ40" s="92">
        <f t="shared" si="14"/>
        <v>187500</v>
      </c>
      <c r="BK40" s="92">
        <f t="shared" si="14"/>
        <v>187500</v>
      </c>
      <c r="BL40" s="190">
        <f t="shared" si="14"/>
        <v>187500</v>
      </c>
    </row>
    <row r="41" ht="15.75" customHeight="1">
      <c r="D41" s="57" t="str">
        <f t="shared" si="4"/>
        <v>Solar System</v>
      </c>
      <c r="E41" s="30">
        <f t="shared" ref="E41:BL41" si="15">IF(E$26 &gt;= $G18, $I18, 0)</f>
        <v>0</v>
      </c>
      <c r="F41" s="30">
        <f t="shared" si="15"/>
        <v>0</v>
      </c>
      <c r="G41" s="30">
        <f t="shared" si="15"/>
        <v>0</v>
      </c>
      <c r="H41" s="30">
        <f t="shared" si="15"/>
        <v>0</v>
      </c>
      <c r="I41" s="30">
        <f t="shared" si="15"/>
        <v>0</v>
      </c>
      <c r="J41" s="92">
        <f t="shared" si="15"/>
        <v>72222.22222</v>
      </c>
      <c r="K41" s="92">
        <f t="shared" si="15"/>
        <v>72222.22222</v>
      </c>
      <c r="L41" s="92">
        <f t="shared" si="15"/>
        <v>72222.22222</v>
      </c>
      <c r="M41" s="92">
        <f t="shared" si="15"/>
        <v>72222.22222</v>
      </c>
      <c r="N41" s="92">
        <f t="shared" si="15"/>
        <v>72222.22222</v>
      </c>
      <c r="O41" s="92">
        <f t="shared" si="15"/>
        <v>72222.22222</v>
      </c>
      <c r="P41" s="92">
        <f t="shared" si="15"/>
        <v>72222.22222</v>
      </c>
      <c r="Q41" s="92">
        <f t="shared" si="15"/>
        <v>72222.22222</v>
      </c>
      <c r="R41" s="92">
        <f t="shared" si="15"/>
        <v>72222.22222</v>
      </c>
      <c r="S41" s="92">
        <f t="shared" si="15"/>
        <v>72222.22222</v>
      </c>
      <c r="T41" s="92">
        <f t="shared" si="15"/>
        <v>72222.22222</v>
      </c>
      <c r="U41" s="92">
        <f t="shared" si="15"/>
        <v>72222.22222</v>
      </c>
      <c r="V41" s="92">
        <f t="shared" si="15"/>
        <v>72222.22222</v>
      </c>
      <c r="W41" s="92">
        <f t="shared" si="15"/>
        <v>72222.22222</v>
      </c>
      <c r="X41" s="92">
        <f t="shared" si="15"/>
        <v>72222.22222</v>
      </c>
      <c r="Y41" s="92">
        <f t="shared" si="15"/>
        <v>72222.22222</v>
      </c>
      <c r="Z41" s="92">
        <f t="shared" si="15"/>
        <v>72222.22222</v>
      </c>
      <c r="AA41" s="92">
        <f t="shared" si="15"/>
        <v>72222.22222</v>
      </c>
      <c r="AB41" s="92">
        <f t="shared" si="15"/>
        <v>72222.22222</v>
      </c>
      <c r="AC41" s="92">
        <f t="shared" si="15"/>
        <v>72222.22222</v>
      </c>
      <c r="AD41" s="92">
        <f t="shared" si="15"/>
        <v>72222.22222</v>
      </c>
      <c r="AE41" s="92">
        <f t="shared" si="15"/>
        <v>72222.22222</v>
      </c>
      <c r="AF41" s="92">
        <f t="shared" si="15"/>
        <v>72222.22222</v>
      </c>
      <c r="AG41" s="92">
        <f t="shared" si="15"/>
        <v>72222.22222</v>
      </c>
      <c r="AH41" s="92">
        <f t="shared" si="15"/>
        <v>72222.22222</v>
      </c>
      <c r="AI41" s="92">
        <f t="shared" si="15"/>
        <v>72222.22222</v>
      </c>
      <c r="AJ41" s="92">
        <f t="shared" si="15"/>
        <v>72222.22222</v>
      </c>
      <c r="AK41" s="92">
        <f t="shared" si="15"/>
        <v>72222.22222</v>
      </c>
      <c r="AL41" s="92">
        <f t="shared" si="15"/>
        <v>72222.22222</v>
      </c>
      <c r="AM41" s="92">
        <f t="shared" si="15"/>
        <v>72222.22222</v>
      </c>
      <c r="AN41" s="92">
        <f t="shared" si="15"/>
        <v>72222.22222</v>
      </c>
      <c r="AO41" s="92">
        <f t="shared" si="15"/>
        <v>72222.22222</v>
      </c>
      <c r="AP41" s="92">
        <f t="shared" si="15"/>
        <v>72222.22222</v>
      </c>
      <c r="AQ41" s="92">
        <f t="shared" si="15"/>
        <v>72222.22222</v>
      </c>
      <c r="AR41" s="92">
        <f t="shared" si="15"/>
        <v>72222.22222</v>
      </c>
      <c r="AS41" s="92">
        <f t="shared" si="15"/>
        <v>72222.22222</v>
      </c>
      <c r="AT41" s="92">
        <f t="shared" si="15"/>
        <v>72222.22222</v>
      </c>
      <c r="AU41" s="92">
        <f t="shared" si="15"/>
        <v>72222.22222</v>
      </c>
      <c r="AV41" s="92">
        <f t="shared" si="15"/>
        <v>72222.22222</v>
      </c>
      <c r="AW41" s="92">
        <f t="shared" si="15"/>
        <v>72222.22222</v>
      </c>
      <c r="AX41" s="92">
        <f t="shared" si="15"/>
        <v>72222.22222</v>
      </c>
      <c r="AY41" s="92">
        <f t="shared" si="15"/>
        <v>72222.22222</v>
      </c>
      <c r="AZ41" s="92">
        <f t="shared" si="15"/>
        <v>72222.22222</v>
      </c>
      <c r="BA41" s="92">
        <f t="shared" si="15"/>
        <v>72222.22222</v>
      </c>
      <c r="BB41" s="92">
        <f t="shared" si="15"/>
        <v>72222.22222</v>
      </c>
      <c r="BC41" s="92">
        <f t="shared" si="15"/>
        <v>72222.22222</v>
      </c>
      <c r="BD41" s="92">
        <f t="shared" si="15"/>
        <v>72222.22222</v>
      </c>
      <c r="BE41" s="92">
        <f t="shared" si="15"/>
        <v>72222.22222</v>
      </c>
      <c r="BF41" s="92">
        <f t="shared" si="15"/>
        <v>72222.22222</v>
      </c>
      <c r="BG41" s="92">
        <f t="shared" si="15"/>
        <v>72222.22222</v>
      </c>
      <c r="BH41" s="92">
        <f t="shared" si="15"/>
        <v>72222.22222</v>
      </c>
      <c r="BI41" s="92">
        <f t="shared" si="15"/>
        <v>72222.22222</v>
      </c>
      <c r="BJ41" s="92">
        <f t="shared" si="15"/>
        <v>72222.22222</v>
      </c>
      <c r="BK41" s="92">
        <f t="shared" si="15"/>
        <v>72222.22222</v>
      </c>
      <c r="BL41" s="190">
        <f t="shared" si="15"/>
        <v>72222.22222</v>
      </c>
    </row>
    <row r="42" ht="15.75" customHeight="1">
      <c r="D42" s="57" t="str">
        <f t="shared" si="4"/>
        <v>Transport Vehicles</v>
      </c>
      <c r="E42" s="30">
        <f t="shared" ref="E42:BL42" si="16">IF(E$26 &gt;= $G19, $I19, 0)</f>
        <v>0</v>
      </c>
      <c r="F42" s="30">
        <f t="shared" si="16"/>
        <v>0</v>
      </c>
      <c r="G42" s="30">
        <f t="shared" si="16"/>
        <v>0</v>
      </c>
      <c r="H42" s="30">
        <f t="shared" si="16"/>
        <v>0</v>
      </c>
      <c r="I42" s="30">
        <f t="shared" si="16"/>
        <v>0</v>
      </c>
      <c r="J42" s="92">
        <f t="shared" si="16"/>
        <v>52083.33333</v>
      </c>
      <c r="K42" s="92">
        <f t="shared" si="16"/>
        <v>52083.33333</v>
      </c>
      <c r="L42" s="92">
        <f t="shared" si="16"/>
        <v>52083.33333</v>
      </c>
      <c r="M42" s="92">
        <f t="shared" si="16"/>
        <v>52083.33333</v>
      </c>
      <c r="N42" s="92">
        <f t="shared" si="16"/>
        <v>52083.33333</v>
      </c>
      <c r="O42" s="92">
        <f t="shared" si="16"/>
        <v>52083.33333</v>
      </c>
      <c r="P42" s="92">
        <f t="shared" si="16"/>
        <v>52083.33333</v>
      </c>
      <c r="Q42" s="92">
        <f t="shared" si="16"/>
        <v>52083.33333</v>
      </c>
      <c r="R42" s="92">
        <f t="shared" si="16"/>
        <v>52083.33333</v>
      </c>
      <c r="S42" s="92">
        <f t="shared" si="16"/>
        <v>52083.33333</v>
      </c>
      <c r="T42" s="92">
        <f t="shared" si="16"/>
        <v>52083.33333</v>
      </c>
      <c r="U42" s="92">
        <f t="shared" si="16"/>
        <v>52083.33333</v>
      </c>
      <c r="V42" s="92">
        <f t="shared" si="16"/>
        <v>52083.33333</v>
      </c>
      <c r="W42" s="92">
        <f t="shared" si="16"/>
        <v>52083.33333</v>
      </c>
      <c r="X42" s="92">
        <f t="shared" si="16"/>
        <v>52083.33333</v>
      </c>
      <c r="Y42" s="92">
        <f t="shared" si="16"/>
        <v>52083.33333</v>
      </c>
      <c r="Z42" s="92">
        <f t="shared" si="16"/>
        <v>52083.33333</v>
      </c>
      <c r="AA42" s="92">
        <f t="shared" si="16"/>
        <v>52083.33333</v>
      </c>
      <c r="AB42" s="92">
        <f t="shared" si="16"/>
        <v>52083.33333</v>
      </c>
      <c r="AC42" s="92">
        <f t="shared" si="16"/>
        <v>52083.33333</v>
      </c>
      <c r="AD42" s="92">
        <f t="shared" si="16"/>
        <v>52083.33333</v>
      </c>
      <c r="AE42" s="92">
        <f t="shared" si="16"/>
        <v>52083.33333</v>
      </c>
      <c r="AF42" s="92">
        <f t="shared" si="16"/>
        <v>52083.33333</v>
      </c>
      <c r="AG42" s="92">
        <f t="shared" si="16"/>
        <v>52083.33333</v>
      </c>
      <c r="AH42" s="92">
        <f t="shared" si="16"/>
        <v>52083.33333</v>
      </c>
      <c r="AI42" s="92">
        <f t="shared" si="16"/>
        <v>52083.33333</v>
      </c>
      <c r="AJ42" s="92">
        <f t="shared" si="16"/>
        <v>52083.33333</v>
      </c>
      <c r="AK42" s="92">
        <f t="shared" si="16"/>
        <v>52083.33333</v>
      </c>
      <c r="AL42" s="92">
        <f t="shared" si="16"/>
        <v>52083.33333</v>
      </c>
      <c r="AM42" s="92">
        <f t="shared" si="16"/>
        <v>52083.33333</v>
      </c>
      <c r="AN42" s="92">
        <f t="shared" si="16"/>
        <v>52083.33333</v>
      </c>
      <c r="AO42" s="92">
        <f t="shared" si="16"/>
        <v>52083.33333</v>
      </c>
      <c r="AP42" s="92">
        <f t="shared" si="16"/>
        <v>52083.33333</v>
      </c>
      <c r="AQ42" s="92">
        <f t="shared" si="16"/>
        <v>52083.33333</v>
      </c>
      <c r="AR42" s="92">
        <f t="shared" si="16"/>
        <v>52083.33333</v>
      </c>
      <c r="AS42" s="92">
        <f t="shared" si="16"/>
        <v>52083.33333</v>
      </c>
      <c r="AT42" s="92">
        <f t="shared" si="16"/>
        <v>52083.33333</v>
      </c>
      <c r="AU42" s="92">
        <f t="shared" si="16"/>
        <v>52083.33333</v>
      </c>
      <c r="AV42" s="92">
        <f t="shared" si="16"/>
        <v>52083.33333</v>
      </c>
      <c r="AW42" s="92">
        <f t="shared" si="16"/>
        <v>52083.33333</v>
      </c>
      <c r="AX42" s="92">
        <f t="shared" si="16"/>
        <v>52083.33333</v>
      </c>
      <c r="AY42" s="92">
        <f t="shared" si="16"/>
        <v>52083.33333</v>
      </c>
      <c r="AZ42" s="92">
        <f t="shared" si="16"/>
        <v>52083.33333</v>
      </c>
      <c r="BA42" s="92">
        <f t="shared" si="16"/>
        <v>52083.33333</v>
      </c>
      <c r="BB42" s="92">
        <f t="shared" si="16"/>
        <v>52083.33333</v>
      </c>
      <c r="BC42" s="92">
        <f t="shared" si="16"/>
        <v>52083.33333</v>
      </c>
      <c r="BD42" s="92">
        <f t="shared" si="16"/>
        <v>52083.33333</v>
      </c>
      <c r="BE42" s="92">
        <f t="shared" si="16"/>
        <v>52083.33333</v>
      </c>
      <c r="BF42" s="92">
        <f t="shared" si="16"/>
        <v>52083.33333</v>
      </c>
      <c r="BG42" s="92">
        <f t="shared" si="16"/>
        <v>52083.33333</v>
      </c>
      <c r="BH42" s="92">
        <f t="shared" si="16"/>
        <v>52083.33333</v>
      </c>
      <c r="BI42" s="92">
        <f t="shared" si="16"/>
        <v>52083.33333</v>
      </c>
      <c r="BJ42" s="92">
        <f t="shared" si="16"/>
        <v>52083.33333</v>
      </c>
      <c r="BK42" s="92">
        <f t="shared" si="16"/>
        <v>52083.33333</v>
      </c>
      <c r="BL42" s="190">
        <f t="shared" si="16"/>
        <v>52083.33333</v>
      </c>
    </row>
    <row r="43" ht="15.75" customHeight="1">
      <c r="D43" s="57" t="str">
        <f t="shared" si="4"/>
        <v>Plant &amp; Machinery Final</v>
      </c>
      <c r="E43" s="30">
        <f t="shared" ref="E43:BL43" si="17">IF(E$26 &gt;= $G20, $I20, 0)</f>
        <v>0</v>
      </c>
      <c r="F43" s="30">
        <f t="shared" si="17"/>
        <v>0</v>
      </c>
      <c r="G43" s="30">
        <f t="shared" si="17"/>
        <v>0</v>
      </c>
      <c r="H43" s="30">
        <f t="shared" si="17"/>
        <v>0</v>
      </c>
      <c r="I43" s="30">
        <f t="shared" si="17"/>
        <v>0</v>
      </c>
      <c r="J43" s="30">
        <f t="shared" si="17"/>
        <v>0</v>
      </c>
      <c r="K43" s="92">
        <f t="shared" si="17"/>
        <v>583333.3333</v>
      </c>
      <c r="L43" s="92">
        <f t="shared" si="17"/>
        <v>583333.3333</v>
      </c>
      <c r="M43" s="92">
        <f t="shared" si="17"/>
        <v>583333.3333</v>
      </c>
      <c r="N43" s="92">
        <f t="shared" si="17"/>
        <v>583333.3333</v>
      </c>
      <c r="O43" s="92">
        <f t="shared" si="17"/>
        <v>583333.3333</v>
      </c>
      <c r="P43" s="92">
        <f t="shared" si="17"/>
        <v>583333.3333</v>
      </c>
      <c r="Q43" s="92">
        <f t="shared" si="17"/>
        <v>583333.3333</v>
      </c>
      <c r="R43" s="92">
        <f t="shared" si="17"/>
        <v>583333.3333</v>
      </c>
      <c r="S43" s="92">
        <f t="shared" si="17"/>
        <v>583333.3333</v>
      </c>
      <c r="T43" s="92">
        <f t="shared" si="17"/>
        <v>583333.3333</v>
      </c>
      <c r="U43" s="92">
        <f t="shared" si="17"/>
        <v>583333.3333</v>
      </c>
      <c r="V43" s="92">
        <f t="shared" si="17"/>
        <v>583333.3333</v>
      </c>
      <c r="W43" s="92">
        <f t="shared" si="17"/>
        <v>583333.3333</v>
      </c>
      <c r="X43" s="92">
        <f t="shared" si="17"/>
        <v>583333.3333</v>
      </c>
      <c r="Y43" s="92">
        <f t="shared" si="17"/>
        <v>583333.3333</v>
      </c>
      <c r="Z43" s="92">
        <f t="shared" si="17"/>
        <v>583333.3333</v>
      </c>
      <c r="AA43" s="92">
        <f t="shared" si="17"/>
        <v>583333.3333</v>
      </c>
      <c r="AB43" s="92">
        <f t="shared" si="17"/>
        <v>583333.3333</v>
      </c>
      <c r="AC43" s="92">
        <f t="shared" si="17"/>
        <v>583333.3333</v>
      </c>
      <c r="AD43" s="92">
        <f t="shared" si="17"/>
        <v>583333.3333</v>
      </c>
      <c r="AE43" s="92">
        <f t="shared" si="17"/>
        <v>583333.3333</v>
      </c>
      <c r="AF43" s="92">
        <f t="shared" si="17"/>
        <v>583333.3333</v>
      </c>
      <c r="AG43" s="92">
        <f t="shared" si="17"/>
        <v>583333.3333</v>
      </c>
      <c r="AH43" s="92">
        <f t="shared" si="17"/>
        <v>583333.3333</v>
      </c>
      <c r="AI43" s="92">
        <f t="shared" si="17"/>
        <v>583333.3333</v>
      </c>
      <c r="AJ43" s="92">
        <f t="shared" si="17"/>
        <v>583333.3333</v>
      </c>
      <c r="AK43" s="92">
        <f t="shared" si="17"/>
        <v>583333.3333</v>
      </c>
      <c r="AL43" s="92">
        <f t="shared" si="17"/>
        <v>583333.3333</v>
      </c>
      <c r="AM43" s="92">
        <f t="shared" si="17"/>
        <v>583333.3333</v>
      </c>
      <c r="AN43" s="92">
        <f t="shared" si="17"/>
        <v>583333.3333</v>
      </c>
      <c r="AO43" s="92">
        <f t="shared" si="17"/>
        <v>583333.3333</v>
      </c>
      <c r="AP43" s="92">
        <f t="shared" si="17"/>
        <v>583333.3333</v>
      </c>
      <c r="AQ43" s="92">
        <f t="shared" si="17"/>
        <v>583333.3333</v>
      </c>
      <c r="AR43" s="92">
        <f t="shared" si="17"/>
        <v>583333.3333</v>
      </c>
      <c r="AS43" s="92">
        <f t="shared" si="17"/>
        <v>583333.3333</v>
      </c>
      <c r="AT43" s="92">
        <f t="shared" si="17"/>
        <v>583333.3333</v>
      </c>
      <c r="AU43" s="92">
        <f t="shared" si="17"/>
        <v>583333.3333</v>
      </c>
      <c r="AV43" s="92">
        <f t="shared" si="17"/>
        <v>583333.3333</v>
      </c>
      <c r="AW43" s="92">
        <f t="shared" si="17"/>
        <v>583333.3333</v>
      </c>
      <c r="AX43" s="92">
        <f t="shared" si="17"/>
        <v>583333.3333</v>
      </c>
      <c r="AY43" s="92">
        <f t="shared" si="17"/>
        <v>583333.3333</v>
      </c>
      <c r="AZ43" s="92">
        <f t="shared" si="17"/>
        <v>583333.3333</v>
      </c>
      <c r="BA43" s="92">
        <f t="shared" si="17"/>
        <v>583333.3333</v>
      </c>
      <c r="BB43" s="92">
        <f t="shared" si="17"/>
        <v>583333.3333</v>
      </c>
      <c r="BC43" s="92">
        <f t="shared" si="17"/>
        <v>583333.3333</v>
      </c>
      <c r="BD43" s="92">
        <f t="shared" si="17"/>
        <v>583333.3333</v>
      </c>
      <c r="BE43" s="92">
        <f t="shared" si="17"/>
        <v>583333.3333</v>
      </c>
      <c r="BF43" s="92">
        <f t="shared" si="17"/>
        <v>583333.3333</v>
      </c>
      <c r="BG43" s="92">
        <f t="shared" si="17"/>
        <v>583333.3333</v>
      </c>
      <c r="BH43" s="92">
        <f t="shared" si="17"/>
        <v>583333.3333</v>
      </c>
      <c r="BI43" s="92">
        <f t="shared" si="17"/>
        <v>583333.3333</v>
      </c>
      <c r="BJ43" s="92">
        <f t="shared" si="17"/>
        <v>583333.3333</v>
      </c>
      <c r="BK43" s="92">
        <f t="shared" si="17"/>
        <v>583333.3333</v>
      </c>
      <c r="BL43" s="190">
        <f t="shared" si="17"/>
        <v>583333.3333</v>
      </c>
    </row>
    <row r="44" ht="15.75" customHeight="1">
      <c r="D44" s="57" t="str">
        <f t="shared" si="4"/>
        <v>Apartment Cart</v>
      </c>
      <c r="E44" s="30">
        <f t="shared" ref="E44:BL44" si="18">IF(E$26 &gt;= $G21, $I21, 0)</f>
        <v>0</v>
      </c>
      <c r="F44" s="30">
        <f t="shared" si="18"/>
        <v>0</v>
      </c>
      <c r="G44" s="30">
        <f t="shared" si="18"/>
        <v>0</v>
      </c>
      <c r="H44" s="30">
        <f t="shared" si="18"/>
        <v>0</v>
      </c>
      <c r="I44" s="30">
        <f t="shared" si="18"/>
        <v>0</v>
      </c>
      <c r="J44" s="30">
        <f t="shared" si="18"/>
        <v>0</v>
      </c>
      <c r="K44" s="92">
        <f t="shared" si="18"/>
        <v>8333.333333</v>
      </c>
      <c r="L44" s="92">
        <f t="shared" si="18"/>
        <v>8333.333333</v>
      </c>
      <c r="M44" s="92">
        <f t="shared" si="18"/>
        <v>8333.333333</v>
      </c>
      <c r="N44" s="92">
        <f t="shared" si="18"/>
        <v>8333.333333</v>
      </c>
      <c r="O44" s="92">
        <f t="shared" si="18"/>
        <v>8333.333333</v>
      </c>
      <c r="P44" s="92">
        <f t="shared" si="18"/>
        <v>8333.333333</v>
      </c>
      <c r="Q44" s="92">
        <f t="shared" si="18"/>
        <v>8333.333333</v>
      </c>
      <c r="R44" s="92">
        <f t="shared" si="18"/>
        <v>8333.333333</v>
      </c>
      <c r="S44" s="92">
        <f t="shared" si="18"/>
        <v>8333.333333</v>
      </c>
      <c r="T44" s="92">
        <f t="shared" si="18"/>
        <v>8333.333333</v>
      </c>
      <c r="U44" s="92">
        <f t="shared" si="18"/>
        <v>8333.333333</v>
      </c>
      <c r="V44" s="92">
        <f t="shared" si="18"/>
        <v>8333.333333</v>
      </c>
      <c r="W44" s="92">
        <f t="shared" si="18"/>
        <v>8333.333333</v>
      </c>
      <c r="X44" s="92">
        <f t="shared" si="18"/>
        <v>8333.333333</v>
      </c>
      <c r="Y44" s="92">
        <f t="shared" si="18"/>
        <v>8333.333333</v>
      </c>
      <c r="Z44" s="92">
        <f t="shared" si="18"/>
        <v>8333.333333</v>
      </c>
      <c r="AA44" s="92">
        <f t="shared" si="18"/>
        <v>8333.333333</v>
      </c>
      <c r="AB44" s="92">
        <f t="shared" si="18"/>
        <v>8333.333333</v>
      </c>
      <c r="AC44" s="92">
        <f t="shared" si="18"/>
        <v>8333.333333</v>
      </c>
      <c r="AD44" s="92">
        <f t="shared" si="18"/>
        <v>8333.333333</v>
      </c>
      <c r="AE44" s="92">
        <f t="shared" si="18"/>
        <v>8333.333333</v>
      </c>
      <c r="AF44" s="92">
        <f t="shared" si="18"/>
        <v>8333.333333</v>
      </c>
      <c r="AG44" s="92">
        <f t="shared" si="18"/>
        <v>8333.333333</v>
      </c>
      <c r="AH44" s="92">
        <f t="shared" si="18"/>
        <v>8333.333333</v>
      </c>
      <c r="AI44" s="92">
        <f t="shared" si="18"/>
        <v>8333.333333</v>
      </c>
      <c r="AJ44" s="92">
        <f t="shared" si="18"/>
        <v>8333.333333</v>
      </c>
      <c r="AK44" s="92">
        <f t="shared" si="18"/>
        <v>8333.333333</v>
      </c>
      <c r="AL44" s="92">
        <f t="shared" si="18"/>
        <v>8333.333333</v>
      </c>
      <c r="AM44" s="92">
        <f t="shared" si="18"/>
        <v>8333.333333</v>
      </c>
      <c r="AN44" s="92">
        <f t="shared" si="18"/>
        <v>8333.333333</v>
      </c>
      <c r="AO44" s="92">
        <f t="shared" si="18"/>
        <v>8333.333333</v>
      </c>
      <c r="AP44" s="92">
        <f t="shared" si="18"/>
        <v>8333.333333</v>
      </c>
      <c r="AQ44" s="92">
        <f t="shared" si="18"/>
        <v>8333.333333</v>
      </c>
      <c r="AR44" s="92">
        <f t="shared" si="18"/>
        <v>8333.333333</v>
      </c>
      <c r="AS44" s="92">
        <f t="shared" si="18"/>
        <v>8333.333333</v>
      </c>
      <c r="AT44" s="92">
        <f t="shared" si="18"/>
        <v>8333.333333</v>
      </c>
      <c r="AU44" s="92">
        <f t="shared" si="18"/>
        <v>8333.333333</v>
      </c>
      <c r="AV44" s="92">
        <f t="shared" si="18"/>
        <v>8333.333333</v>
      </c>
      <c r="AW44" s="92">
        <f t="shared" si="18"/>
        <v>8333.333333</v>
      </c>
      <c r="AX44" s="92">
        <f t="shared" si="18"/>
        <v>8333.333333</v>
      </c>
      <c r="AY44" s="92">
        <f t="shared" si="18"/>
        <v>8333.333333</v>
      </c>
      <c r="AZ44" s="92">
        <f t="shared" si="18"/>
        <v>8333.333333</v>
      </c>
      <c r="BA44" s="92">
        <f t="shared" si="18"/>
        <v>8333.333333</v>
      </c>
      <c r="BB44" s="92">
        <f t="shared" si="18"/>
        <v>8333.333333</v>
      </c>
      <c r="BC44" s="92">
        <f t="shared" si="18"/>
        <v>8333.333333</v>
      </c>
      <c r="BD44" s="92">
        <f t="shared" si="18"/>
        <v>8333.333333</v>
      </c>
      <c r="BE44" s="92">
        <f t="shared" si="18"/>
        <v>8333.333333</v>
      </c>
      <c r="BF44" s="92">
        <f t="shared" si="18"/>
        <v>8333.333333</v>
      </c>
      <c r="BG44" s="92">
        <f t="shared" si="18"/>
        <v>8333.333333</v>
      </c>
      <c r="BH44" s="92">
        <f t="shared" si="18"/>
        <v>8333.333333</v>
      </c>
      <c r="BI44" s="92">
        <f t="shared" si="18"/>
        <v>8333.333333</v>
      </c>
      <c r="BJ44" s="92">
        <f t="shared" si="18"/>
        <v>8333.333333</v>
      </c>
      <c r="BK44" s="92">
        <f t="shared" si="18"/>
        <v>8333.333333</v>
      </c>
      <c r="BL44" s="190">
        <f t="shared" si="18"/>
        <v>8333.333333</v>
      </c>
    </row>
    <row r="45" ht="15.75" customHeight="1">
      <c r="D45" s="57" t="str">
        <f t="shared" si="4"/>
        <v>Livestock Batch 2</v>
      </c>
      <c r="E45" s="30">
        <f t="shared" ref="E45:BL45" si="19">IF(E$26 &gt;= $G22, $I22, 0)</f>
        <v>0</v>
      </c>
      <c r="F45" s="30">
        <f t="shared" si="19"/>
        <v>0</v>
      </c>
      <c r="G45" s="30">
        <f t="shared" si="19"/>
        <v>0</v>
      </c>
      <c r="H45" s="30">
        <f t="shared" si="19"/>
        <v>0</v>
      </c>
      <c r="I45" s="30">
        <f t="shared" si="19"/>
        <v>0</v>
      </c>
      <c r="J45" s="30">
        <f t="shared" si="19"/>
        <v>0</v>
      </c>
      <c r="K45" s="30">
        <f t="shared" si="19"/>
        <v>0</v>
      </c>
      <c r="L45" s="30">
        <f t="shared" si="19"/>
        <v>0</v>
      </c>
      <c r="M45" s="30">
        <f t="shared" si="19"/>
        <v>0</v>
      </c>
      <c r="N45" s="30">
        <f t="shared" si="19"/>
        <v>0</v>
      </c>
      <c r="O45" s="30">
        <f t="shared" si="19"/>
        <v>0</v>
      </c>
      <c r="P45" s="30">
        <f t="shared" si="19"/>
        <v>0</v>
      </c>
      <c r="Q45" s="30">
        <f t="shared" si="19"/>
        <v>0</v>
      </c>
      <c r="R45" s="30">
        <f t="shared" si="19"/>
        <v>0</v>
      </c>
      <c r="S45" s="30">
        <f t="shared" si="19"/>
        <v>0</v>
      </c>
      <c r="T45" s="30">
        <f t="shared" si="19"/>
        <v>0</v>
      </c>
      <c r="U45" s="30">
        <f t="shared" si="19"/>
        <v>0</v>
      </c>
      <c r="V45" s="30">
        <f t="shared" si="19"/>
        <v>0</v>
      </c>
      <c r="W45" s="30">
        <f t="shared" si="19"/>
        <v>0</v>
      </c>
      <c r="X45" s="30">
        <f t="shared" si="19"/>
        <v>0</v>
      </c>
      <c r="Y45" s="30">
        <f t="shared" si="19"/>
        <v>0</v>
      </c>
      <c r="Z45" s="30">
        <f t="shared" si="19"/>
        <v>0</v>
      </c>
      <c r="AA45" s="30">
        <f t="shared" si="19"/>
        <v>0</v>
      </c>
      <c r="AB45" s="30">
        <f t="shared" si="19"/>
        <v>0</v>
      </c>
      <c r="AC45" s="92">
        <f t="shared" si="19"/>
        <v>281250</v>
      </c>
      <c r="AD45" s="92">
        <f t="shared" si="19"/>
        <v>281250</v>
      </c>
      <c r="AE45" s="92">
        <f t="shared" si="19"/>
        <v>281250</v>
      </c>
      <c r="AF45" s="92">
        <f t="shared" si="19"/>
        <v>281250</v>
      </c>
      <c r="AG45" s="92">
        <f t="shared" si="19"/>
        <v>281250</v>
      </c>
      <c r="AH45" s="92">
        <f t="shared" si="19"/>
        <v>281250</v>
      </c>
      <c r="AI45" s="92">
        <f t="shared" si="19"/>
        <v>281250</v>
      </c>
      <c r="AJ45" s="92">
        <f t="shared" si="19"/>
        <v>281250</v>
      </c>
      <c r="AK45" s="92">
        <f t="shared" si="19"/>
        <v>281250</v>
      </c>
      <c r="AL45" s="92">
        <f t="shared" si="19"/>
        <v>281250</v>
      </c>
      <c r="AM45" s="92">
        <f t="shared" si="19"/>
        <v>281250</v>
      </c>
      <c r="AN45" s="92">
        <f t="shared" si="19"/>
        <v>281250</v>
      </c>
      <c r="AO45" s="92">
        <f t="shared" si="19"/>
        <v>281250</v>
      </c>
      <c r="AP45" s="92">
        <f t="shared" si="19"/>
        <v>281250</v>
      </c>
      <c r="AQ45" s="92">
        <f t="shared" si="19"/>
        <v>281250</v>
      </c>
      <c r="AR45" s="92">
        <f t="shared" si="19"/>
        <v>281250</v>
      </c>
      <c r="AS45" s="92">
        <f t="shared" si="19"/>
        <v>281250</v>
      </c>
      <c r="AT45" s="92">
        <f t="shared" si="19"/>
        <v>281250</v>
      </c>
      <c r="AU45" s="92">
        <f t="shared" si="19"/>
        <v>281250</v>
      </c>
      <c r="AV45" s="92">
        <f t="shared" si="19"/>
        <v>281250</v>
      </c>
      <c r="AW45" s="92">
        <f t="shared" si="19"/>
        <v>281250</v>
      </c>
      <c r="AX45" s="92">
        <f t="shared" si="19"/>
        <v>281250</v>
      </c>
      <c r="AY45" s="92">
        <f t="shared" si="19"/>
        <v>281250</v>
      </c>
      <c r="AZ45" s="92">
        <f t="shared" si="19"/>
        <v>281250</v>
      </c>
      <c r="BA45" s="92">
        <f t="shared" si="19"/>
        <v>281250</v>
      </c>
      <c r="BB45" s="92">
        <f t="shared" si="19"/>
        <v>281250</v>
      </c>
      <c r="BC45" s="92">
        <f t="shared" si="19"/>
        <v>281250</v>
      </c>
      <c r="BD45" s="92">
        <f t="shared" si="19"/>
        <v>281250</v>
      </c>
      <c r="BE45" s="92">
        <f t="shared" si="19"/>
        <v>281250</v>
      </c>
      <c r="BF45" s="92">
        <f t="shared" si="19"/>
        <v>281250</v>
      </c>
      <c r="BG45" s="92">
        <f t="shared" si="19"/>
        <v>281250</v>
      </c>
      <c r="BH45" s="92">
        <f t="shared" si="19"/>
        <v>281250</v>
      </c>
      <c r="BI45" s="92">
        <f t="shared" si="19"/>
        <v>281250</v>
      </c>
      <c r="BJ45" s="92">
        <f t="shared" si="19"/>
        <v>281250</v>
      </c>
      <c r="BK45" s="92">
        <f t="shared" si="19"/>
        <v>281250</v>
      </c>
      <c r="BL45" s="190">
        <f t="shared" si="19"/>
        <v>281250</v>
      </c>
    </row>
    <row r="46" ht="15.75" customHeight="1">
      <c r="D46" s="57" t="str">
        <f t="shared" si="4"/>
        <v>Transport Vehicles Batch 2</v>
      </c>
      <c r="E46" s="30">
        <f t="shared" ref="E46:BL46" si="20">IF(E$26 &gt;= $G23, $I23, 0)</f>
        <v>0</v>
      </c>
      <c r="F46" s="30">
        <f t="shared" si="20"/>
        <v>0</v>
      </c>
      <c r="G46" s="30">
        <f t="shared" si="20"/>
        <v>0</v>
      </c>
      <c r="H46" s="30">
        <f t="shared" si="20"/>
        <v>0</v>
      </c>
      <c r="I46" s="30">
        <f t="shared" si="20"/>
        <v>0</v>
      </c>
      <c r="J46" s="30">
        <f t="shared" si="20"/>
        <v>0</v>
      </c>
      <c r="K46" s="30">
        <f t="shared" si="20"/>
        <v>0</v>
      </c>
      <c r="L46" s="30">
        <f t="shared" si="20"/>
        <v>0</v>
      </c>
      <c r="M46" s="30">
        <f t="shared" si="20"/>
        <v>0</v>
      </c>
      <c r="N46" s="30">
        <f t="shared" si="20"/>
        <v>0</v>
      </c>
      <c r="O46" s="30">
        <f t="shared" si="20"/>
        <v>0</v>
      </c>
      <c r="P46" s="92">
        <f t="shared" si="20"/>
        <v>52083.33333</v>
      </c>
      <c r="Q46" s="92">
        <f t="shared" si="20"/>
        <v>52083.33333</v>
      </c>
      <c r="R46" s="92">
        <f t="shared" si="20"/>
        <v>52083.33333</v>
      </c>
      <c r="S46" s="92">
        <f t="shared" si="20"/>
        <v>52083.33333</v>
      </c>
      <c r="T46" s="92">
        <f t="shared" si="20"/>
        <v>52083.33333</v>
      </c>
      <c r="U46" s="92">
        <f t="shared" si="20"/>
        <v>52083.33333</v>
      </c>
      <c r="V46" s="92">
        <f t="shared" si="20"/>
        <v>52083.33333</v>
      </c>
      <c r="W46" s="92">
        <f t="shared" si="20"/>
        <v>52083.33333</v>
      </c>
      <c r="X46" s="92">
        <f t="shared" si="20"/>
        <v>52083.33333</v>
      </c>
      <c r="Y46" s="92">
        <f t="shared" si="20"/>
        <v>52083.33333</v>
      </c>
      <c r="Z46" s="92">
        <f t="shared" si="20"/>
        <v>52083.33333</v>
      </c>
      <c r="AA46" s="92">
        <f t="shared" si="20"/>
        <v>52083.33333</v>
      </c>
      <c r="AB46" s="92">
        <f t="shared" si="20"/>
        <v>52083.33333</v>
      </c>
      <c r="AC46" s="92">
        <f t="shared" si="20"/>
        <v>52083.33333</v>
      </c>
      <c r="AD46" s="92">
        <f t="shared" si="20"/>
        <v>52083.33333</v>
      </c>
      <c r="AE46" s="92">
        <f t="shared" si="20"/>
        <v>52083.33333</v>
      </c>
      <c r="AF46" s="92">
        <f t="shared" si="20"/>
        <v>52083.33333</v>
      </c>
      <c r="AG46" s="92">
        <f t="shared" si="20"/>
        <v>52083.33333</v>
      </c>
      <c r="AH46" s="92">
        <f t="shared" si="20"/>
        <v>52083.33333</v>
      </c>
      <c r="AI46" s="92">
        <f t="shared" si="20"/>
        <v>52083.33333</v>
      </c>
      <c r="AJ46" s="92">
        <f t="shared" si="20"/>
        <v>52083.33333</v>
      </c>
      <c r="AK46" s="92">
        <f t="shared" si="20"/>
        <v>52083.33333</v>
      </c>
      <c r="AL46" s="92">
        <f t="shared" si="20"/>
        <v>52083.33333</v>
      </c>
      <c r="AM46" s="92">
        <f t="shared" si="20"/>
        <v>52083.33333</v>
      </c>
      <c r="AN46" s="92">
        <f t="shared" si="20"/>
        <v>52083.33333</v>
      </c>
      <c r="AO46" s="92">
        <f t="shared" si="20"/>
        <v>52083.33333</v>
      </c>
      <c r="AP46" s="92">
        <f t="shared" si="20"/>
        <v>52083.33333</v>
      </c>
      <c r="AQ46" s="92">
        <f t="shared" si="20"/>
        <v>52083.33333</v>
      </c>
      <c r="AR46" s="92">
        <f t="shared" si="20"/>
        <v>52083.33333</v>
      </c>
      <c r="AS46" s="92">
        <f t="shared" si="20"/>
        <v>52083.33333</v>
      </c>
      <c r="AT46" s="92">
        <f t="shared" si="20"/>
        <v>52083.33333</v>
      </c>
      <c r="AU46" s="92">
        <f t="shared" si="20"/>
        <v>52083.33333</v>
      </c>
      <c r="AV46" s="92">
        <f t="shared" si="20"/>
        <v>52083.33333</v>
      </c>
      <c r="AW46" s="92">
        <f t="shared" si="20"/>
        <v>52083.33333</v>
      </c>
      <c r="AX46" s="92">
        <f t="shared" si="20"/>
        <v>52083.33333</v>
      </c>
      <c r="AY46" s="92">
        <f t="shared" si="20"/>
        <v>52083.33333</v>
      </c>
      <c r="AZ46" s="92">
        <f t="shared" si="20"/>
        <v>52083.33333</v>
      </c>
      <c r="BA46" s="92">
        <f t="shared" si="20"/>
        <v>52083.33333</v>
      </c>
      <c r="BB46" s="92">
        <f t="shared" si="20"/>
        <v>52083.33333</v>
      </c>
      <c r="BC46" s="92">
        <f t="shared" si="20"/>
        <v>52083.33333</v>
      </c>
      <c r="BD46" s="92">
        <f t="shared" si="20"/>
        <v>52083.33333</v>
      </c>
      <c r="BE46" s="92">
        <f t="shared" si="20"/>
        <v>52083.33333</v>
      </c>
      <c r="BF46" s="92">
        <f t="shared" si="20"/>
        <v>52083.33333</v>
      </c>
      <c r="BG46" s="92">
        <f t="shared" si="20"/>
        <v>52083.33333</v>
      </c>
      <c r="BH46" s="92">
        <f t="shared" si="20"/>
        <v>52083.33333</v>
      </c>
      <c r="BI46" s="92">
        <f t="shared" si="20"/>
        <v>52083.33333</v>
      </c>
      <c r="BJ46" s="92">
        <f t="shared" si="20"/>
        <v>52083.33333</v>
      </c>
      <c r="BK46" s="92">
        <f t="shared" si="20"/>
        <v>52083.33333</v>
      </c>
      <c r="BL46" s="190">
        <f t="shared" si="20"/>
        <v>52083.33333</v>
      </c>
    </row>
    <row r="47" ht="15.75" customHeight="1">
      <c r="A47" s="66"/>
      <c r="B47" s="66"/>
      <c r="C47" s="66"/>
      <c r="D47" s="57" t="str">
        <f t="shared" si="4"/>
        <v>Shed Construction 2</v>
      </c>
      <c r="E47" s="30">
        <f t="shared" ref="E47:BL47" si="21">IF(E$26 &gt;= $G24, $I24, 0)</f>
        <v>0</v>
      </c>
      <c r="F47" s="30">
        <f t="shared" si="21"/>
        <v>0</v>
      </c>
      <c r="G47" s="30">
        <f t="shared" si="21"/>
        <v>0</v>
      </c>
      <c r="H47" s="30">
        <f t="shared" si="21"/>
        <v>0</v>
      </c>
      <c r="I47" s="30">
        <f t="shared" si="21"/>
        <v>0</v>
      </c>
      <c r="J47" s="30">
        <f t="shared" si="21"/>
        <v>0</v>
      </c>
      <c r="K47" s="30">
        <f t="shared" si="21"/>
        <v>0</v>
      </c>
      <c r="L47" s="30">
        <f t="shared" si="21"/>
        <v>0</v>
      </c>
      <c r="M47" s="30">
        <f t="shared" si="21"/>
        <v>0</v>
      </c>
      <c r="N47" s="30">
        <f t="shared" si="21"/>
        <v>0</v>
      </c>
      <c r="O47" s="30">
        <f t="shared" si="21"/>
        <v>0</v>
      </c>
      <c r="P47" s="30">
        <f t="shared" si="21"/>
        <v>0</v>
      </c>
      <c r="Q47" s="30">
        <f t="shared" si="21"/>
        <v>0</v>
      </c>
      <c r="R47" s="30">
        <f t="shared" si="21"/>
        <v>0</v>
      </c>
      <c r="S47" s="30">
        <f t="shared" si="21"/>
        <v>0</v>
      </c>
      <c r="T47" s="30">
        <f t="shared" si="21"/>
        <v>0</v>
      </c>
      <c r="U47" s="30">
        <f t="shared" si="21"/>
        <v>0</v>
      </c>
      <c r="V47" s="30">
        <f t="shared" si="21"/>
        <v>0</v>
      </c>
      <c r="W47" s="30">
        <f t="shared" si="21"/>
        <v>0</v>
      </c>
      <c r="X47" s="30">
        <f t="shared" si="21"/>
        <v>0</v>
      </c>
      <c r="Y47" s="30">
        <f t="shared" si="21"/>
        <v>0</v>
      </c>
      <c r="Z47" s="30">
        <f t="shared" si="21"/>
        <v>0</v>
      </c>
      <c r="AA47" s="30">
        <f t="shared" si="21"/>
        <v>0</v>
      </c>
      <c r="AB47" s="30">
        <f t="shared" si="21"/>
        <v>0</v>
      </c>
      <c r="AC47" s="30">
        <f t="shared" si="21"/>
        <v>0</v>
      </c>
      <c r="AD47" s="30">
        <f t="shared" si="21"/>
        <v>0</v>
      </c>
      <c r="AE47" s="30">
        <f t="shared" si="21"/>
        <v>0</v>
      </c>
      <c r="AF47" s="30">
        <f t="shared" si="21"/>
        <v>0</v>
      </c>
      <c r="AG47" s="30">
        <f t="shared" si="21"/>
        <v>0</v>
      </c>
      <c r="AH47" s="30">
        <f t="shared" si="21"/>
        <v>20833.33333</v>
      </c>
      <c r="AI47" s="30">
        <f t="shared" si="21"/>
        <v>20833.33333</v>
      </c>
      <c r="AJ47" s="30">
        <f t="shared" si="21"/>
        <v>20833.33333</v>
      </c>
      <c r="AK47" s="30">
        <f t="shared" si="21"/>
        <v>20833.33333</v>
      </c>
      <c r="AL47" s="30">
        <f t="shared" si="21"/>
        <v>20833.33333</v>
      </c>
      <c r="AM47" s="30">
        <f t="shared" si="21"/>
        <v>20833.33333</v>
      </c>
      <c r="AN47" s="30">
        <f t="shared" si="21"/>
        <v>20833.33333</v>
      </c>
      <c r="AO47" s="30">
        <f t="shared" si="21"/>
        <v>20833.33333</v>
      </c>
      <c r="AP47" s="30">
        <f t="shared" si="21"/>
        <v>20833.33333</v>
      </c>
      <c r="AQ47" s="30">
        <f t="shared" si="21"/>
        <v>20833.33333</v>
      </c>
      <c r="AR47" s="30">
        <f t="shared" si="21"/>
        <v>20833.33333</v>
      </c>
      <c r="AS47" s="30">
        <f t="shared" si="21"/>
        <v>20833.33333</v>
      </c>
      <c r="AT47" s="30">
        <f t="shared" si="21"/>
        <v>20833.33333</v>
      </c>
      <c r="AU47" s="30">
        <f t="shared" si="21"/>
        <v>20833.33333</v>
      </c>
      <c r="AV47" s="30">
        <f t="shared" si="21"/>
        <v>20833.33333</v>
      </c>
      <c r="AW47" s="30">
        <f t="shared" si="21"/>
        <v>20833.33333</v>
      </c>
      <c r="AX47" s="30">
        <f t="shared" si="21"/>
        <v>20833.33333</v>
      </c>
      <c r="AY47" s="30">
        <f t="shared" si="21"/>
        <v>20833.33333</v>
      </c>
      <c r="AZ47" s="30">
        <f t="shared" si="21"/>
        <v>20833.33333</v>
      </c>
      <c r="BA47" s="30">
        <f t="shared" si="21"/>
        <v>20833.33333</v>
      </c>
      <c r="BB47" s="30">
        <f t="shared" si="21"/>
        <v>20833.33333</v>
      </c>
      <c r="BC47" s="30">
        <f t="shared" si="21"/>
        <v>20833.33333</v>
      </c>
      <c r="BD47" s="30">
        <f t="shared" si="21"/>
        <v>20833.33333</v>
      </c>
      <c r="BE47" s="30">
        <f t="shared" si="21"/>
        <v>20833.33333</v>
      </c>
      <c r="BF47" s="30">
        <f t="shared" si="21"/>
        <v>20833.33333</v>
      </c>
      <c r="BG47" s="30">
        <f t="shared" si="21"/>
        <v>20833.33333</v>
      </c>
      <c r="BH47" s="30">
        <f t="shared" si="21"/>
        <v>20833.33333</v>
      </c>
      <c r="BI47" s="30">
        <f t="shared" si="21"/>
        <v>20833.33333</v>
      </c>
      <c r="BJ47" s="30">
        <f t="shared" si="21"/>
        <v>20833.33333</v>
      </c>
      <c r="BK47" s="30">
        <f t="shared" si="21"/>
        <v>20833.33333</v>
      </c>
      <c r="BL47" s="30">
        <f t="shared" si="21"/>
        <v>20833.33333</v>
      </c>
    </row>
    <row r="48" ht="15.75" customHeight="1">
      <c r="A48" s="66"/>
      <c r="B48" s="66"/>
      <c r="C48" s="66"/>
      <c r="D48" s="29" t="s">
        <v>239</v>
      </c>
      <c r="E48" s="191">
        <f t="shared" ref="E48:BL48" si="22">SUM(E30:E47)</f>
        <v>83333.33333</v>
      </c>
      <c r="F48" s="191">
        <f t="shared" si="22"/>
        <v>191744.4444</v>
      </c>
      <c r="G48" s="191">
        <f t="shared" si="22"/>
        <v>275077.7778</v>
      </c>
      <c r="H48" s="191">
        <f t="shared" si="22"/>
        <v>275077.7778</v>
      </c>
      <c r="I48" s="191">
        <f t="shared" si="22"/>
        <v>872222.2222</v>
      </c>
      <c r="J48" s="191">
        <f t="shared" si="22"/>
        <v>1038194.444</v>
      </c>
      <c r="K48" s="191">
        <f t="shared" si="22"/>
        <v>1629861.111</v>
      </c>
      <c r="L48" s="191">
        <f t="shared" si="22"/>
        <v>1629861.111</v>
      </c>
      <c r="M48" s="191">
        <f t="shared" si="22"/>
        <v>1629861.111</v>
      </c>
      <c r="N48" s="191">
        <f t="shared" si="22"/>
        <v>1629861.111</v>
      </c>
      <c r="O48" s="191">
        <f t="shared" si="22"/>
        <v>1629861.111</v>
      </c>
      <c r="P48" s="191">
        <f t="shared" si="22"/>
        <v>1681944.444</v>
      </c>
      <c r="Q48" s="191">
        <f t="shared" si="22"/>
        <v>1681944.444</v>
      </c>
      <c r="R48" s="191">
        <f t="shared" si="22"/>
        <v>1681944.444</v>
      </c>
      <c r="S48" s="191">
        <f t="shared" si="22"/>
        <v>1681944.444</v>
      </c>
      <c r="T48" s="191">
        <f t="shared" si="22"/>
        <v>1681944.444</v>
      </c>
      <c r="U48" s="191">
        <f t="shared" si="22"/>
        <v>1681944.444</v>
      </c>
      <c r="V48" s="191">
        <f t="shared" si="22"/>
        <v>1681944.444</v>
      </c>
      <c r="W48" s="191">
        <f t="shared" si="22"/>
        <v>1681944.444</v>
      </c>
      <c r="X48" s="191">
        <f t="shared" si="22"/>
        <v>1681944.444</v>
      </c>
      <c r="Y48" s="191">
        <f t="shared" si="22"/>
        <v>1681944.444</v>
      </c>
      <c r="Z48" s="191">
        <f t="shared" si="22"/>
        <v>1681944.444</v>
      </c>
      <c r="AA48" s="191">
        <f t="shared" si="22"/>
        <v>1681944.444</v>
      </c>
      <c r="AB48" s="191">
        <f t="shared" si="22"/>
        <v>1681944.444</v>
      </c>
      <c r="AC48" s="191">
        <f t="shared" si="22"/>
        <v>1963194.444</v>
      </c>
      <c r="AD48" s="191">
        <f t="shared" si="22"/>
        <v>1963194.444</v>
      </c>
      <c r="AE48" s="191">
        <f t="shared" si="22"/>
        <v>1963194.444</v>
      </c>
      <c r="AF48" s="191">
        <f t="shared" si="22"/>
        <v>1963194.444</v>
      </c>
      <c r="AG48" s="191">
        <f t="shared" si="22"/>
        <v>1963194.444</v>
      </c>
      <c r="AH48" s="191">
        <f t="shared" si="22"/>
        <v>1984027.778</v>
      </c>
      <c r="AI48" s="191">
        <f t="shared" si="22"/>
        <v>1984027.778</v>
      </c>
      <c r="AJ48" s="191">
        <f t="shared" si="22"/>
        <v>1984027.778</v>
      </c>
      <c r="AK48" s="191">
        <f t="shared" si="22"/>
        <v>1984027.778</v>
      </c>
      <c r="AL48" s="191">
        <f t="shared" si="22"/>
        <v>1984027.778</v>
      </c>
      <c r="AM48" s="191">
        <f t="shared" si="22"/>
        <v>1984027.778</v>
      </c>
      <c r="AN48" s="191">
        <f t="shared" si="22"/>
        <v>1984027.778</v>
      </c>
      <c r="AO48" s="191">
        <f t="shared" si="22"/>
        <v>1984027.778</v>
      </c>
      <c r="AP48" s="191">
        <f t="shared" si="22"/>
        <v>1984027.778</v>
      </c>
      <c r="AQ48" s="191">
        <f t="shared" si="22"/>
        <v>1984027.778</v>
      </c>
      <c r="AR48" s="191">
        <f t="shared" si="22"/>
        <v>1984027.778</v>
      </c>
      <c r="AS48" s="191">
        <f t="shared" si="22"/>
        <v>1984027.778</v>
      </c>
      <c r="AT48" s="191">
        <f t="shared" si="22"/>
        <v>1984027.778</v>
      </c>
      <c r="AU48" s="191">
        <f t="shared" si="22"/>
        <v>1984027.778</v>
      </c>
      <c r="AV48" s="191">
        <f t="shared" si="22"/>
        <v>1984027.778</v>
      </c>
      <c r="AW48" s="191">
        <f t="shared" si="22"/>
        <v>1984027.778</v>
      </c>
      <c r="AX48" s="191">
        <f t="shared" si="22"/>
        <v>1984027.778</v>
      </c>
      <c r="AY48" s="191">
        <f t="shared" si="22"/>
        <v>1984027.778</v>
      </c>
      <c r="AZ48" s="191">
        <f t="shared" si="22"/>
        <v>1984027.778</v>
      </c>
      <c r="BA48" s="191">
        <f t="shared" si="22"/>
        <v>1984027.778</v>
      </c>
      <c r="BB48" s="191">
        <f t="shared" si="22"/>
        <v>1984027.778</v>
      </c>
      <c r="BC48" s="191">
        <f t="shared" si="22"/>
        <v>1984027.778</v>
      </c>
      <c r="BD48" s="191">
        <f t="shared" si="22"/>
        <v>1984027.778</v>
      </c>
      <c r="BE48" s="191">
        <f t="shared" si="22"/>
        <v>1984027.778</v>
      </c>
      <c r="BF48" s="191">
        <f t="shared" si="22"/>
        <v>1984027.778</v>
      </c>
      <c r="BG48" s="191">
        <f t="shared" si="22"/>
        <v>1984027.778</v>
      </c>
      <c r="BH48" s="191">
        <f t="shared" si="22"/>
        <v>1984027.778</v>
      </c>
      <c r="BI48" s="191">
        <f t="shared" si="22"/>
        <v>1984027.778</v>
      </c>
      <c r="BJ48" s="191">
        <f t="shared" si="22"/>
        <v>1984027.778</v>
      </c>
      <c r="BK48" s="191">
        <f t="shared" si="22"/>
        <v>1984027.778</v>
      </c>
      <c r="BL48" s="191">
        <f t="shared" si="22"/>
        <v>1984027.778</v>
      </c>
    </row>
    <row r="49" ht="15.75" customHeight="1">
      <c r="D49" s="29" t="s">
        <v>240</v>
      </c>
      <c r="BL49" s="31"/>
    </row>
    <row r="50" ht="15.75" customHeight="1">
      <c r="D50" s="57" t="str">
        <f t="shared" ref="D50:D67" si="24"> D7</f>
        <v>Land</v>
      </c>
      <c r="E50" s="92">
        <f t="shared" ref="E50:BL50" si="23">IF(E$26 = $G7, $E7, 0)</f>
        <v>50000000</v>
      </c>
      <c r="F50" s="92">
        <f t="shared" si="23"/>
        <v>0</v>
      </c>
      <c r="G50" s="92">
        <f t="shared" si="23"/>
        <v>0</v>
      </c>
      <c r="H50" s="92">
        <f t="shared" si="23"/>
        <v>0</v>
      </c>
      <c r="I50" s="92">
        <f t="shared" si="23"/>
        <v>0</v>
      </c>
      <c r="J50" s="92">
        <f t="shared" si="23"/>
        <v>0</v>
      </c>
      <c r="K50" s="92">
        <f t="shared" si="23"/>
        <v>0</v>
      </c>
      <c r="L50" s="92">
        <f t="shared" si="23"/>
        <v>0</v>
      </c>
      <c r="M50" s="92">
        <f t="shared" si="23"/>
        <v>0</v>
      </c>
      <c r="N50" s="92">
        <f t="shared" si="23"/>
        <v>0</v>
      </c>
      <c r="O50" s="92">
        <f t="shared" si="23"/>
        <v>0</v>
      </c>
      <c r="P50" s="92">
        <f t="shared" si="23"/>
        <v>0</v>
      </c>
      <c r="Q50" s="92">
        <f t="shared" si="23"/>
        <v>0</v>
      </c>
      <c r="R50" s="92">
        <f t="shared" si="23"/>
        <v>0</v>
      </c>
      <c r="S50" s="92">
        <f t="shared" si="23"/>
        <v>0</v>
      </c>
      <c r="T50" s="92">
        <f t="shared" si="23"/>
        <v>0</v>
      </c>
      <c r="U50" s="92">
        <f t="shared" si="23"/>
        <v>0</v>
      </c>
      <c r="V50" s="92">
        <f t="shared" si="23"/>
        <v>0</v>
      </c>
      <c r="W50" s="92">
        <f t="shared" si="23"/>
        <v>0</v>
      </c>
      <c r="X50" s="92">
        <f t="shared" si="23"/>
        <v>0</v>
      </c>
      <c r="Y50" s="92">
        <f t="shared" si="23"/>
        <v>0</v>
      </c>
      <c r="Z50" s="92">
        <f t="shared" si="23"/>
        <v>0</v>
      </c>
      <c r="AA50" s="92">
        <f t="shared" si="23"/>
        <v>0</v>
      </c>
      <c r="AB50" s="92">
        <f t="shared" si="23"/>
        <v>0</v>
      </c>
      <c r="AC50" s="92">
        <f t="shared" si="23"/>
        <v>0</v>
      </c>
      <c r="AD50" s="92">
        <f t="shared" si="23"/>
        <v>0</v>
      </c>
      <c r="AE50" s="92">
        <f t="shared" si="23"/>
        <v>0</v>
      </c>
      <c r="AF50" s="92">
        <f t="shared" si="23"/>
        <v>0</v>
      </c>
      <c r="AG50" s="92">
        <f t="shared" si="23"/>
        <v>0</v>
      </c>
      <c r="AH50" s="92">
        <f t="shared" si="23"/>
        <v>0</v>
      </c>
      <c r="AI50" s="92">
        <f t="shared" si="23"/>
        <v>0</v>
      </c>
      <c r="AJ50" s="92">
        <f t="shared" si="23"/>
        <v>0</v>
      </c>
      <c r="AK50" s="92">
        <f t="shared" si="23"/>
        <v>0</v>
      </c>
      <c r="AL50" s="92">
        <f t="shared" si="23"/>
        <v>0</v>
      </c>
      <c r="AM50" s="92">
        <f t="shared" si="23"/>
        <v>0</v>
      </c>
      <c r="AN50" s="92">
        <f t="shared" si="23"/>
        <v>0</v>
      </c>
      <c r="AO50" s="92">
        <f t="shared" si="23"/>
        <v>0</v>
      </c>
      <c r="AP50" s="92">
        <f t="shared" si="23"/>
        <v>0</v>
      </c>
      <c r="AQ50" s="92">
        <f t="shared" si="23"/>
        <v>0</v>
      </c>
      <c r="AR50" s="92">
        <f t="shared" si="23"/>
        <v>0</v>
      </c>
      <c r="AS50" s="92">
        <f t="shared" si="23"/>
        <v>0</v>
      </c>
      <c r="AT50" s="92">
        <f t="shared" si="23"/>
        <v>0</v>
      </c>
      <c r="AU50" s="92">
        <f t="shared" si="23"/>
        <v>0</v>
      </c>
      <c r="AV50" s="92">
        <f t="shared" si="23"/>
        <v>0</v>
      </c>
      <c r="AW50" s="92">
        <f t="shared" si="23"/>
        <v>0</v>
      </c>
      <c r="AX50" s="92">
        <f t="shared" si="23"/>
        <v>0</v>
      </c>
      <c r="AY50" s="92">
        <f t="shared" si="23"/>
        <v>0</v>
      </c>
      <c r="AZ50" s="92">
        <f t="shared" si="23"/>
        <v>0</v>
      </c>
      <c r="BA50" s="92">
        <f t="shared" si="23"/>
        <v>0</v>
      </c>
      <c r="BB50" s="92">
        <f t="shared" si="23"/>
        <v>0</v>
      </c>
      <c r="BC50" s="92">
        <f t="shared" si="23"/>
        <v>0</v>
      </c>
      <c r="BD50" s="92">
        <f t="shared" si="23"/>
        <v>0</v>
      </c>
      <c r="BE50" s="92">
        <f t="shared" si="23"/>
        <v>0</v>
      </c>
      <c r="BF50" s="92">
        <f t="shared" si="23"/>
        <v>0</v>
      </c>
      <c r="BG50" s="92">
        <f t="shared" si="23"/>
        <v>0</v>
      </c>
      <c r="BH50" s="92">
        <f t="shared" si="23"/>
        <v>0</v>
      </c>
      <c r="BI50" s="92">
        <f t="shared" si="23"/>
        <v>0</v>
      </c>
      <c r="BJ50" s="92">
        <f t="shared" si="23"/>
        <v>0</v>
      </c>
      <c r="BK50" s="92">
        <f t="shared" si="23"/>
        <v>0</v>
      </c>
      <c r="BL50" s="190">
        <f t="shared" si="23"/>
        <v>0</v>
      </c>
    </row>
    <row r="51" ht="15.75" customHeight="1">
      <c r="D51" s="57" t="str">
        <f t="shared" si="24"/>
        <v>Boundary Wall</v>
      </c>
      <c r="E51" s="92">
        <f t="shared" ref="E51:BL51" si="25">IF(E$26 = $G8, $E8, 0)</f>
        <v>0</v>
      </c>
      <c r="F51" s="92">
        <f t="shared" si="25"/>
        <v>11264000</v>
      </c>
      <c r="G51" s="92">
        <f t="shared" si="25"/>
        <v>0</v>
      </c>
      <c r="H51" s="92">
        <f t="shared" si="25"/>
        <v>0</v>
      </c>
      <c r="I51" s="92">
        <f t="shared" si="25"/>
        <v>0</v>
      </c>
      <c r="J51" s="92">
        <f t="shared" si="25"/>
        <v>0</v>
      </c>
      <c r="K51" s="92">
        <f t="shared" si="25"/>
        <v>0</v>
      </c>
      <c r="L51" s="92">
        <f t="shared" si="25"/>
        <v>0</v>
      </c>
      <c r="M51" s="92">
        <f t="shared" si="25"/>
        <v>0</v>
      </c>
      <c r="N51" s="92">
        <f t="shared" si="25"/>
        <v>0</v>
      </c>
      <c r="O51" s="92">
        <f t="shared" si="25"/>
        <v>0</v>
      </c>
      <c r="P51" s="92">
        <f t="shared" si="25"/>
        <v>0</v>
      </c>
      <c r="Q51" s="92">
        <f t="shared" si="25"/>
        <v>0</v>
      </c>
      <c r="R51" s="92">
        <f t="shared" si="25"/>
        <v>0</v>
      </c>
      <c r="S51" s="92">
        <f t="shared" si="25"/>
        <v>0</v>
      </c>
      <c r="T51" s="92">
        <f t="shared" si="25"/>
        <v>0</v>
      </c>
      <c r="U51" s="92">
        <f t="shared" si="25"/>
        <v>0</v>
      </c>
      <c r="V51" s="92">
        <f t="shared" si="25"/>
        <v>0</v>
      </c>
      <c r="W51" s="92">
        <f t="shared" si="25"/>
        <v>0</v>
      </c>
      <c r="X51" s="92">
        <f t="shared" si="25"/>
        <v>0</v>
      </c>
      <c r="Y51" s="92">
        <f t="shared" si="25"/>
        <v>0</v>
      </c>
      <c r="Z51" s="92">
        <f t="shared" si="25"/>
        <v>0</v>
      </c>
      <c r="AA51" s="92">
        <f t="shared" si="25"/>
        <v>0</v>
      </c>
      <c r="AB51" s="92">
        <f t="shared" si="25"/>
        <v>0</v>
      </c>
      <c r="AC51" s="92">
        <f t="shared" si="25"/>
        <v>0</v>
      </c>
      <c r="AD51" s="92">
        <f t="shared" si="25"/>
        <v>0</v>
      </c>
      <c r="AE51" s="92">
        <f t="shared" si="25"/>
        <v>0</v>
      </c>
      <c r="AF51" s="92">
        <f t="shared" si="25"/>
        <v>0</v>
      </c>
      <c r="AG51" s="92">
        <f t="shared" si="25"/>
        <v>0</v>
      </c>
      <c r="AH51" s="92">
        <f t="shared" si="25"/>
        <v>0</v>
      </c>
      <c r="AI51" s="92">
        <f t="shared" si="25"/>
        <v>0</v>
      </c>
      <c r="AJ51" s="92">
        <f t="shared" si="25"/>
        <v>0</v>
      </c>
      <c r="AK51" s="92">
        <f t="shared" si="25"/>
        <v>0</v>
      </c>
      <c r="AL51" s="92">
        <f t="shared" si="25"/>
        <v>0</v>
      </c>
      <c r="AM51" s="92">
        <f t="shared" si="25"/>
        <v>0</v>
      </c>
      <c r="AN51" s="92">
        <f t="shared" si="25"/>
        <v>0</v>
      </c>
      <c r="AO51" s="92">
        <f t="shared" si="25"/>
        <v>0</v>
      </c>
      <c r="AP51" s="92">
        <f t="shared" si="25"/>
        <v>0</v>
      </c>
      <c r="AQ51" s="92">
        <f t="shared" si="25"/>
        <v>0</v>
      </c>
      <c r="AR51" s="92">
        <f t="shared" si="25"/>
        <v>0</v>
      </c>
      <c r="AS51" s="92">
        <f t="shared" si="25"/>
        <v>0</v>
      </c>
      <c r="AT51" s="92">
        <f t="shared" si="25"/>
        <v>0</v>
      </c>
      <c r="AU51" s="92">
        <f t="shared" si="25"/>
        <v>0</v>
      </c>
      <c r="AV51" s="92">
        <f t="shared" si="25"/>
        <v>0</v>
      </c>
      <c r="AW51" s="92">
        <f t="shared" si="25"/>
        <v>0</v>
      </c>
      <c r="AX51" s="92">
        <f t="shared" si="25"/>
        <v>0</v>
      </c>
      <c r="AY51" s="92">
        <f t="shared" si="25"/>
        <v>0</v>
      </c>
      <c r="AZ51" s="92">
        <f t="shared" si="25"/>
        <v>0</v>
      </c>
      <c r="BA51" s="92">
        <f t="shared" si="25"/>
        <v>0</v>
      </c>
      <c r="BB51" s="92">
        <f t="shared" si="25"/>
        <v>0</v>
      </c>
      <c r="BC51" s="92">
        <f t="shared" si="25"/>
        <v>0</v>
      </c>
      <c r="BD51" s="92">
        <f t="shared" si="25"/>
        <v>0</v>
      </c>
      <c r="BE51" s="92">
        <f t="shared" si="25"/>
        <v>0</v>
      </c>
      <c r="BF51" s="92">
        <f t="shared" si="25"/>
        <v>0</v>
      </c>
      <c r="BG51" s="92">
        <f t="shared" si="25"/>
        <v>0</v>
      </c>
      <c r="BH51" s="92">
        <f t="shared" si="25"/>
        <v>0</v>
      </c>
      <c r="BI51" s="92">
        <f t="shared" si="25"/>
        <v>0</v>
      </c>
      <c r="BJ51" s="92">
        <f t="shared" si="25"/>
        <v>0</v>
      </c>
      <c r="BK51" s="92">
        <f t="shared" si="25"/>
        <v>0</v>
      </c>
      <c r="BL51" s="190">
        <f t="shared" si="25"/>
        <v>0</v>
      </c>
    </row>
    <row r="52" ht="15.75" customHeight="1">
      <c r="D52" s="57" t="str">
        <f t="shared" si="24"/>
        <v>Borewell &amp; Water Testing</v>
      </c>
      <c r="E52" s="92">
        <f t="shared" ref="E52:BL52" si="26">IF(E$26 = $G9, $E9, 0)</f>
        <v>0</v>
      </c>
      <c r="F52" s="92">
        <f t="shared" si="26"/>
        <v>500000</v>
      </c>
      <c r="G52" s="92">
        <f t="shared" si="26"/>
        <v>0</v>
      </c>
      <c r="H52" s="92">
        <f t="shared" si="26"/>
        <v>0</v>
      </c>
      <c r="I52" s="92">
        <f t="shared" si="26"/>
        <v>0</v>
      </c>
      <c r="J52" s="92">
        <f t="shared" si="26"/>
        <v>0</v>
      </c>
      <c r="K52" s="92">
        <f t="shared" si="26"/>
        <v>0</v>
      </c>
      <c r="L52" s="92">
        <f t="shared" si="26"/>
        <v>0</v>
      </c>
      <c r="M52" s="92">
        <f t="shared" si="26"/>
        <v>0</v>
      </c>
      <c r="N52" s="92">
        <f t="shared" si="26"/>
        <v>0</v>
      </c>
      <c r="O52" s="92">
        <f t="shared" si="26"/>
        <v>0</v>
      </c>
      <c r="P52" s="92">
        <f t="shared" si="26"/>
        <v>0</v>
      </c>
      <c r="Q52" s="92">
        <f t="shared" si="26"/>
        <v>0</v>
      </c>
      <c r="R52" s="92">
        <f t="shared" si="26"/>
        <v>0</v>
      </c>
      <c r="S52" s="92">
        <f t="shared" si="26"/>
        <v>0</v>
      </c>
      <c r="T52" s="92">
        <f t="shared" si="26"/>
        <v>0</v>
      </c>
      <c r="U52" s="92">
        <f t="shared" si="26"/>
        <v>0</v>
      </c>
      <c r="V52" s="92">
        <f t="shared" si="26"/>
        <v>0</v>
      </c>
      <c r="W52" s="92">
        <f t="shared" si="26"/>
        <v>0</v>
      </c>
      <c r="X52" s="92">
        <f t="shared" si="26"/>
        <v>0</v>
      </c>
      <c r="Y52" s="92">
        <f t="shared" si="26"/>
        <v>0</v>
      </c>
      <c r="Z52" s="92">
        <f t="shared" si="26"/>
        <v>0</v>
      </c>
      <c r="AA52" s="92">
        <f t="shared" si="26"/>
        <v>0</v>
      </c>
      <c r="AB52" s="92">
        <f t="shared" si="26"/>
        <v>0</v>
      </c>
      <c r="AC52" s="92">
        <f t="shared" si="26"/>
        <v>0</v>
      </c>
      <c r="AD52" s="92">
        <f t="shared" si="26"/>
        <v>0</v>
      </c>
      <c r="AE52" s="92">
        <f t="shared" si="26"/>
        <v>0</v>
      </c>
      <c r="AF52" s="92">
        <f t="shared" si="26"/>
        <v>0</v>
      </c>
      <c r="AG52" s="92">
        <f t="shared" si="26"/>
        <v>0</v>
      </c>
      <c r="AH52" s="92">
        <f t="shared" si="26"/>
        <v>0</v>
      </c>
      <c r="AI52" s="92">
        <f t="shared" si="26"/>
        <v>0</v>
      </c>
      <c r="AJ52" s="92">
        <f t="shared" si="26"/>
        <v>0</v>
      </c>
      <c r="AK52" s="92">
        <f t="shared" si="26"/>
        <v>0</v>
      </c>
      <c r="AL52" s="92">
        <f t="shared" si="26"/>
        <v>0</v>
      </c>
      <c r="AM52" s="92">
        <f t="shared" si="26"/>
        <v>0</v>
      </c>
      <c r="AN52" s="92">
        <f t="shared" si="26"/>
        <v>0</v>
      </c>
      <c r="AO52" s="92">
        <f t="shared" si="26"/>
        <v>0</v>
      </c>
      <c r="AP52" s="92">
        <f t="shared" si="26"/>
        <v>0</v>
      </c>
      <c r="AQ52" s="92">
        <f t="shared" si="26"/>
        <v>0</v>
      </c>
      <c r="AR52" s="92">
        <f t="shared" si="26"/>
        <v>0</v>
      </c>
      <c r="AS52" s="92">
        <f t="shared" si="26"/>
        <v>0</v>
      </c>
      <c r="AT52" s="92">
        <f t="shared" si="26"/>
        <v>0</v>
      </c>
      <c r="AU52" s="92">
        <f t="shared" si="26"/>
        <v>0</v>
      </c>
      <c r="AV52" s="92">
        <f t="shared" si="26"/>
        <v>0</v>
      </c>
      <c r="AW52" s="92">
        <f t="shared" si="26"/>
        <v>0</v>
      </c>
      <c r="AX52" s="92">
        <f t="shared" si="26"/>
        <v>0</v>
      </c>
      <c r="AY52" s="92">
        <f t="shared" si="26"/>
        <v>0</v>
      </c>
      <c r="AZ52" s="92">
        <f t="shared" si="26"/>
        <v>0</v>
      </c>
      <c r="BA52" s="92">
        <f t="shared" si="26"/>
        <v>0</v>
      </c>
      <c r="BB52" s="92">
        <f t="shared" si="26"/>
        <v>0</v>
      </c>
      <c r="BC52" s="92">
        <f t="shared" si="26"/>
        <v>0</v>
      </c>
      <c r="BD52" s="92">
        <f t="shared" si="26"/>
        <v>0</v>
      </c>
      <c r="BE52" s="92">
        <f t="shared" si="26"/>
        <v>0</v>
      </c>
      <c r="BF52" s="92">
        <f t="shared" si="26"/>
        <v>0</v>
      </c>
      <c r="BG52" s="92">
        <f t="shared" si="26"/>
        <v>0</v>
      </c>
      <c r="BH52" s="92">
        <f t="shared" si="26"/>
        <v>0</v>
      </c>
      <c r="BI52" s="92">
        <f t="shared" si="26"/>
        <v>0</v>
      </c>
      <c r="BJ52" s="92">
        <f t="shared" si="26"/>
        <v>0</v>
      </c>
      <c r="BK52" s="92">
        <f t="shared" si="26"/>
        <v>0</v>
      </c>
      <c r="BL52" s="190">
        <f t="shared" si="26"/>
        <v>0</v>
      </c>
    </row>
    <row r="53" ht="15.75" customHeight="1">
      <c r="D53" s="57" t="str">
        <f t="shared" si="24"/>
        <v>Shed Construction 1</v>
      </c>
      <c r="E53" s="92">
        <f t="shared" ref="E53:BL53" si="27">IF(E$26 = $G10, $E10, 0)</f>
        <v>0</v>
      </c>
      <c r="F53" s="92">
        <f t="shared" si="27"/>
        <v>0</v>
      </c>
      <c r="G53" s="92">
        <f t="shared" si="27"/>
        <v>20000000</v>
      </c>
      <c r="H53" s="92">
        <f t="shared" si="27"/>
        <v>0</v>
      </c>
      <c r="I53" s="92">
        <f t="shared" si="27"/>
        <v>0</v>
      </c>
      <c r="J53" s="92">
        <f t="shared" si="27"/>
        <v>0</v>
      </c>
      <c r="K53" s="92">
        <f t="shared" si="27"/>
        <v>0</v>
      </c>
      <c r="L53" s="92">
        <f t="shared" si="27"/>
        <v>0</v>
      </c>
      <c r="M53" s="92">
        <f t="shared" si="27"/>
        <v>0</v>
      </c>
      <c r="N53" s="92">
        <f t="shared" si="27"/>
        <v>0</v>
      </c>
      <c r="O53" s="92">
        <f t="shared" si="27"/>
        <v>0</v>
      </c>
      <c r="P53" s="92">
        <f t="shared" si="27"/>
        <v>0</v>
      </c>
      <c r="Q53" s="92">
        <f t="shared" si="27"/>
        <v>0</v>
      </c>
      <c r="R53" s="92">
        <f t="shared" si="27"/>
        <v>0</v>
      </c>
      <c r="S53" s="92">
        <f t="shared" si="27"/>
        <v>0</v>
      </c>
      <c r="T53" s="92">
        <f t="shared" si="27"/>
        <v>0</v>
      </c>
      <c r="U53" s="92">
        <f t="shared" si="27"/>
        <v>0</v>
      </c>
      <c r="V53" s="92">
        <f t="shared" si="27"/>
        <v>0</v>
      </c>
      <c r="W53" s="92">
        <f t="shared" si="27"/>
        <v>0</v>
      </c>
      <c r="X53" s="92">
        <f t="shared" si="27"/>
        <v>0</v>
      </c>
      <c r="Y53" s="92">
        <f t="shared" si="27"/>
        <v>0</v>
      </c>
      <c r="Z53" s="92">
        <f t="shared" si="27"/>
        <v>0</v>
      </c>
      <c r="AA53" s="92">
        <f t="shared" si="27"/>
        <v>0</v>
      </c>
      <c r="AB53" s="92">
        <f t="shared" si="27"/>
        <v>0</v>
      </c>
      <c r="AC53" s="92">
        <f t="shared" si="27"/>
        <v>0</v>
      </c>
      <c r="AD53" s="92">
        <f t="shared" si="27"/>
        <v>0</v>
      </c>
      <c r="AE53" s="92">
        <f t="shared" si="27"/>
        <v>0</v>
      </c>
      <c r="AF53" s="92">
        <f t="shared" si="27"/>
        <v>0</v>
      </c>
      <c r="AG53" s="92">
        <f t="shared" si="27"/>
        <v>0</v>
      </c>
      <c r="AH53" s="92">
        <f t="shared" si="27"/>
        <v>0</v>
      </c>
      <c r="AI53" s="92">
        <f t="shared" si="27"/>
        <v>0</v>
      </c>
      <c r="AJ53" s="92">
        <f t="shared" si="27"/>
        <v>0</v>
      </c>
      <c r="AK53" s="92">
        <f t="shared" si="27"/>
        <v>0</v>
      </c>
      <c r="AL53" s="92">
        <f t="shared" si="27"/>
        <v>0</v>
      </c>
      <c r="AM53" s="92">
        <f t="shared" si="27"/>
        <v>0</v>
      </c>
      <c r="AN53" s="92">
        <f t="shared" si="27"/>
        <v>0</v>
      </c>
      <c r="AO53" s="92">
        <f t="shared" si="27"/>
        <v>0</v>
      </c>
      <c r="AP53" s="92">
        <f t="shared" si="27"/>
        <v>0</v>
      </c>
      <c r="AQ53" s="92">
        <f t="shared" si="27"/>
        <v>0</v>
      </c>
      <c r="AR53" s="92">
        <f t="shared" si="27"/>
        <v>0</v>
      </c>
      <c r="AS53" s="92">
        <f t="shared" si="27"/>
        <v>0</v>
      </c>
      <c r="AT53" s="92">
        <f t="shared" si="27"/>
        <v>0</v>
      </c>
      <c r="AU53" s="92">
        <f t="shared" si="27"/>
        <v>0</v>
      </c>
      <c r="AV53" s="92">
        <f t="shared" si="27"/>
        <v>0</v>
      </c>
      <c r="AW53" s="92">
        <f t="shared" si="27"/>
        <v>0</v>
      </c>
      <c r="AX53" s="92">
        <f t="shared" si="27"/>
        <v>0</v>
      </c>
      <c r="AY53" s="92">
        <f t="shared" si="27"/>
        <v>0</v>
      </c>
      <c r="AZ53" s="92">
        <f t="shared" si="27"/>
        <v>0</v>
      </c>
      <c r="BA53" s="92">
        <f t="shared" si="27"/>
        <v>0</v>
      </c>
      <c r="BB53" s="92">
        <f t="shared" si="27"/>
        <v>0</v>
      </c>
      <c r="BC53" s="92">
        <f t="shared" si="27"/>
        <v>0</v>
      </c>
      <c r="BD53" s="92">
        <f t="shared" si="27"/>
        <v>0</v>
      </c>
      <c r="BE53" s="92">
        <f t="shared" si="27"/>
        <v>0</v>
      </c>
      <c r="BF53" s="92">
        <f t="shared" si="27"/>
        <v>0</v>
      </c>
      <c r="BG53" s="92">
        <f t="shared" si="27"/>
        <v>0</v>
      </c>
      <c r="BH53" s="92">
        <f t="shared" si="27"/>
        <v>0</v>
      </c>
      <c r="BI53" s="92">
        <f t="shared" si="27"/>
        <v>0</v>
      </c>
      <c r="BJ53" s="92">
        <f t="shared" si="27"/>
        <v>0</v>
      </c>
      <c r="BK53" s="92">
        <f t="shared" si="27"/>
        <v>0</v>
      </c>
      <c r="BL53" s="190">
        <f t="shared" si="27"/>
        <v>0</v>
      </c>
    </row>
    <row r="54" ht="15.75" customHeight="1">
      <c r="D54" s="57" t="str">
        <f t="shared" si="24"/>
        <v>Stamp Duty &amp; Legal</v>
      </c>
      <c r="E54" s="92">
        <f t="shared" ref="E54:BL54" si="28">IF(E$26 = $G11, $E11, 0)</f>
        <v>5000000</v>
      </c>
      <c r="F54" s="92">
        <f t="shared" si="28"/>
        <v>0</v>
      </c>
      <c r="G54" s="92">
        <f t="shared" si="28"/>
        <v>0</v>
      </c>
      <c r="H54" s="92">
        <f t="shared" si="28"/>
        <v>0</v>
      </c>
      <c r="I54" s="92">
        <f t="shared" si="28"/>
        <v>0</v>
      </c>
      <c r="J54" s="92">
        <f t="shared" si="28"/>
        <v>0</v>
      </c>
      <c r="K54" s="92">
        <f t="shared" si="28"/>
        <v>0</v>
      </c>
      <c r="L54" s="92">
        <f t="shared" si="28"/>
        <v>0</v>
      </c>
      <c r="M54" s="92">
        <f t="shared" si="28"/>
        <v>0</v>
      </c>
      <c r="N54" s="92">
        <f t="shared" si="28"/>
        <v>0</v>
      </c>
      <c r="O54" s="92">
        <f t="shared" si="28"/>
        <v>0</v>
      </c>
      <c r="P54" s="92">
        <f t="shared" si="28"/>
        <v>0</v>
      </c>
      <c r="Q54" s="92">
        <f t="shared" si="28"/>
        <v>0</v>
      </c>
      <c r="R54" s="92">
        <f t="shared" si="28"/>
        <v>0</v>
      </c>
      <c r="S54" s="92">
        <f t="shared" si="28"/>
        <v>0</v>
      </c>
      <c r="T54" s="92">
        <f t="shared" si="28"/>
        <v>0</v>
      </c>
      <c r="U54" s="92">
        <f t="shared" si="28"/>
        <v>0</v>
      </c>
      <c r="V54" s="92">
        <f t="shared" si="28"/>
        <v>0</v>
      </c>
      <c r="W54" s="92">
        <f t="shared" si="28"/>
        <v>0</v>
      </c>
      <c r="X54" s="92">
        <f t="shared" si="28"/>
        <v>0</v>
      </c>
      <c r="Y54" s="92">
        <f t="shared" si="28"/>
        <v>0</v>
      </c>
      <c r="Z54" s="92">
        <f t="shared" si="28"/>
        <v>0</v>
      </c>
      <c r="AA54" s="92">
        <f t="shared" si="28"/>
        <v>0</v>
      </c>
      <c r="AB54" s="92">
        <f t="shared" si="28"/>
        <v>0</v>
      </c>
      <c r="AC54" s="92">
        <f t="shared" si="28"/>
        <v>0</v>
      </c>
      <c r="AD54" s="92">
        <f t="shared" si="28"/>
        <v>0</v>
      </c>
      <c r="AE54" s="92">
        <f t="shared" si="28"/>
        <v>0</v>
      </c>
      <c r="AF54" s="92">
        <f t="shared" si="28"/>
        <v>0</v>
      </c>
      <c r="AG54" s="92">
        <f t="shared" si="28"/>
        <v>0</v>
      </c>
      <c r="AH54" s="92">
        <f t="shared" si="28"/>
        <v>0</v>
      </c>
      <c r="AI54" s="92">
        <f t="shared" si="28"/>
        <v>0</v>
      </c>
      <c r="AJ54" s="92">
        <f t="shared" si="28"/>
        <v>0</v>
      </c>
      <c r="AK54" s="92">
        <f t="shared" si="28"/>
        <v>0</v>
      </c>
      <c r="AL54" s="92">
        <f t="shared" si="28"/>
        <v>0</v>
      </c>
      <c r="AM54" s="92">
        <f t="shared" si="28"/>
        <v>0</v>
      </c>
      <c r="AN54" s="92">
        <f t="shared" si="28"/>
        <v>0</v>
      </c>
      <c r="AO54" s="92">
        <f t="shared" si="28"/>
        <v>0</v>
      </c>
      <c r="AP54" s="92">
        <f t="shared" si="28"/>
        <v>0</v>
      </c>
      <c r="AQ54" s="92">
        <f t="shared" si="28"/>
        <v>0</v>
      </c>
      <c r="AR54" s="92">
        <f t="shared" si="28"/>
        <v>0</v>
      </c>
      <c r="AS54" s="92">
        <f t="shared" si="28"/>
        <v>0</v>
      </c>
      <c r="AT54" s="92">
        <f t="shared" si="28"/>
        <v>0</v>
      </c>
      <c r="AU54" s="92">
        <f t="shared" si="28"/>
        <v>0</v>
      </c>
      <c r="AV54" s="92">
        <f t="shared" si="28"/>
        <v>0</v>
      </c>
      <c r="AW54" s="92">
        <f t="shared" si="28"/>
        <v>0</v>
      </c>
      <c r="AX54" s="92">
        <f t="shared" si="28"/>
        <v>0</v>
      </c>
      <c r="AY54" s="92">
        <f t="shared" si="28"/>
        <v>0</v>
      </c>
      <c r="AZ54" s="92">
        <f t="shared" si="28"/>
        <v>0</v>
      </c>
      <c r="BA54" s="92">
        <f t="shared" si="28"/>
        <v>0</v>
      </c>
      <c r="BB54" s="92">
        <f t="shared" si="28"/>
        <v>0</v>
      </c>
      <c r="BC54" s="92">
        <f t="shared" si="28"/>
        <v>0</v>
      </c>
      <c r="BD54" s="92">
        <f t="shared" si="28"/>
        <v>0</v>
      </c>
      <c r="BE54" s="92">
        <f t="shared" si="28"/>
        <v>0</v>
      </c>
      <c r="BF54" s="92">
        <f t="shared" si="28"/>
        <v>0</v>
      </c>
      <c r="BG54" s="92">
        <f t="shared" si="28"/>
        <v>0</v>
      </c>
      <c r="BH54" s="92">
        <f t="shared" si="28"/>
        <v>0</v>
      </c>
      <c r="BI54" s="92">
        <f t="shared" si="28"/>
        <v>0</v>
      </c>
      <c r="BJ54" s="92">
        <f t="shared" si="28"/>
        <v>0</v>
      </c>
      <c r="BK54" s="92">
        <f t="shared" si="28"/>
        <v>0</v>
      </c>
      <c r="BL54" s="190">
        <f t="shared" si="28"/>
        <v>0</v>
      </c>
    </row>
    <row r="55" ht="15.75" customHeight="1">
      <c r="D55" s="57" t="str">
        <f t="shared" si="24"/>
        <v>Bank Deposit</v>
      </c>
      <c r="E55" s="92">
        <f t="shared" ref="E55:BL55" si="29">IF(E$26 = $G12, $E12, 0)</f>
        <v>2500000</v>
      </c>
      <c r="F55" s="92">
        <f t="shared" si="29"/>
        <v>0</v>
      </c>
      <c r="G55" s="92">
        <f t="shared" si="29"/>
        <v>0</v>
      </c>
      <c r="H55" s="92">
        <f t="shared" si="29"/>
        <v>0</v>
      </c>
      <c r="I55" s="92">
        <f t="shared" si="29"/>
        <v>0</v>
      </c>
      <c r="J55" s="92">
        <f t="shared" si="29"/>
        <v>0</v>
      </c>
      <c r="K55" s="92">
        <f t="shared" si="29"/>
        <v>0</v>
      </c>
      <c r="L55" s="92">
        <f t="shared" si="29"/>
        <v>0</v>
      </c>
      <c r="M55" s="92">
        <f t="shared" si="29"/>
        <v>0</v>
      </c>
      <c r="N55" s="92">
        <f t="shared" si="29"/>
        <v>0</v>
      </c>
      <c r="O55" s="92">
        <f t="shared" si="29"/>
        <v>0</v>
      </c>
      <c r="P55" s="92">
        <f t="shared" si="29"/>
        <v>0</v>
      </c>
      <c r="Q55" s="92">
        <f t="shared" si="29"/>
        <v>0</v>
      </c>
      <c r="R55" s="92">
        <f t="shared" si="29"/>
        <v>0</v>
      </c>
      <c r="S55" s="92">
        <f t="shared" si="29"/>
        <v>0</v>
      </c>
      <c r="T55" s="92">
        <f t="shared" si="29"/>
        <v>0</v>
      </c>
      <c r="U55" s="92">
        <f t="shared" si="29"/>
        <v>0</v>
      </c>
      <c r="V55" s="92">
        <f t="shared" si="29"/>
        <v>0</v>
      </c>
      <c r="W55" s="92">
        <f t="shared" si="29"/>
        <v>0</v>
      </c>
      <c r="X55" s="92">
        <f t="shared" si="29"/>
        <v>0</v>
      </c>
      <c r="Y55" s="92">
        <f t="shared" si="29"/>
        <v>0</v>
      </c>
      <c r="Z55" s="92">
        <f t="shared" si="29"/>
        <v>0</v>
      </c>
      <c r="AA55" s="92">
        <f t="shared" si="29"/>
        <v>0</v>
      </c>
      <c r="AB55" s="92">
        <f t="shared" si="29"/>
        <v>0</v>
      </c>
      <c r="AC55" s="92">
        <f t="shared" si="29"/>
        <v>0</v>
      </c>
      <c r="AD55" s="92">
        <f t="shared" si="29"/>
        <v>0</v>
      </c>
      <c r="AE55" s="92">
        <f t="shared" si="29"/>
        <v>0</v>
      </c>
      <c r="AF55" s="92">
        <f t="shared" si="29"/>
        <v>0</v>
      </c>
      <c r="AG55" s="92">
        <f t="shared" si="29"/>
        <v>0</v>
      </c>
      <c r="AH55" s="92">
        <f t="shared" si="29"/>
        <v>0</v>
      </c>
      <c r="AI55" s="92">
        <f t="shared" si="29"/>
        <v>0</v>
      </c>
      <c r="AJ55" s="92">
        <f t="shared" si="29"/>
        <v>0</v>
      </c>
      <c r="AK55" s="92">
        <f t="shared" si="29"/>
        <v>0</v>
      </c>
      <c r="AL55" s="92">
        <f t="shared" si="29"/>
        <v>0</v>
      </c>
      <c r="AM55" s="92">
        <f t="shared" si="29"/>
        <v>0</v>
      </c>
      <c r="AN55" s="92">
        <f t="shared" si="29"/>
        <v>0</v>
      </c>
      <c r="AO55" s="92">
        <f t="shared" si="29"/>
        <v>0</v>
      </c>
      <c r="AP55" s="92">
        <f t="shared" si="29"/>
        <v>0</v>
      </c>
      <c r="AQ55" s="92">
        <f t="shared" si="29"/>
        <v>0</v>
      </c>
      <c r="AR55" s="92">
        <f t="shared" si="29"/>
        <v>0</v>
      </c>
      <c r="AS55" s="92">
        <f t="shared" si="29"/>
        <v>0</v>
      </c>
      <c r="AT55" s="92">
        <f t="shared" si="29"/>
        <v>0</v>
      </c>
      <c r="AU55" s="92">
        <f t="shared" si="29"/>
        <v>0</v>
      </c>
      <c r="AV55" s="92">
        <f t="shared" si="29"/>
        <v>0</v>
      </c>
      <c r="AW55" s="92">
        <f t="shared" si="29"/>
        <v>0</v>
      </c>
      <c r="AX55" s="92">
        <f t="shared" si="29"/>
        <v>0</v>
      </c>
      <c r="AY55" s="92">
        <f t="shared" si="29"/>
        <v>0</v>
      </c>
      <c r="AZ55" s="92">
        <f t="shared" si="29"/>
        <v>0</v>
      </c>
      <c r="BA55" s="92">
        <f t="shared" si="29"/>
        <v>0</v>
      </c>
      <c r="BB55" s="92">
        <f t="shared" si="29"/>
        <v>0</v>
      </c>
      <c r="BC55" s="92">
        <f t="shared" si="29"/>
        <v>0</v>
      </c>
      <c r="BD55" s="92">
        <f t="shared" si="29"/>
        <v>0</v>
      </c>
      <c r="BE55" s="92">
        <f t="shared" si="29"/>
        <v>0</v>
      </c>
      <c r="BF55" s="92">
        <f t="shared" si="29"/>
        <v>0</v>
      </c>
      <c r="BG55" s="92">
        <f t="shared" si="29"/>
        <v>0</v>
      </c>
      <c r="BH55" s="92">
        <f t="shared" si="29"/>
        <v>0</v>
      </c>
      <c r="BI55" s="92">
        <f t="shared" si="29"/>
        <v>0</v>
      </c>
      <c r="BJ55" s="92">
        <f t="shared" si="29"/>
        <v>0</v>
      </c>
      <c r="BK55" s="92">
        <f t="shared" si="29"/>
        <v>0</v>
      </c>
      <c r="BL55" s="190">
        <f t="shared" si="29"/>
        <v>0</v>
      </c>
    </row>
    <row r="56" ht="15.75" customHeight="1">
      <c r="D56" s="57" t="str">
        <f t="shared" si="24"/>
        <v>Land Levelling</v>
      </c>
      <c r="E56" s="92">
        <f t="shared" ref="E56:BL56" si="30">IF(E$26 = $G13, $E13, 0)</f>
        <v>0</v>
      </c>
      <c r="F56" s="92">
        <f t="shared" si="30"/>
        <v>5000000</v>
      </c>
      <c r="G56" s="92">
        <f t="shared" si="30"/>
        <v>0</v>
      </c>
      <c r="H56" s="92">
        <f t="shared" si="30"/>
        <v>0</v>
      </c>
      <c r="I56" s="92">
        <f t="shared" si="30"/>
        <v>0</v>
      </c>
      <c r="J56" s="92">
        <f t="shared" si="30"/>
        <v>0</v>
      </c>
      <c r="K56" s="92">
        <f t="shared" si="30"/>
        <v>0</v>
      </c>
      <c r="L56" s="92">
        <f t="shared" si="30"/>
        <v>0</v>
      </c>
      <c r="M56" s="92">
        <f t="shared" si="30"/>
        <v>0</v>
      </c>
      <c r="N56" s="92">
        <f t="shared" si="30"/>
        <v>0</v>
      </c>
      <c r="O56" s="92">
        <f t="shared" si="30"/>
        <v>0</v>
      </c>
      <c r="P56" s="92">
        <f t="shared" si="30"/>
        <v>0</v>
      </c>
      <c r="Q56" s="92">
        <f t="shared" si="30"/>
        <v>0</v>
      </c>
      <c r="R56" s="92">
        <f t="shared" si="30"/>
        <v>0</v>
      </c>
      <c r="S56" s="92">
        <f t="shared" si="30"/>
        <v>0</v>
      </c>
      <c r="T56" s="92">
        <f t="shared" si="30"/>
        <v>0</v>
      </c>
      <c r="U56" s="92">
        <f t="shared" si="30"/>
        <v>0</v>
      </c>
      <c r="V56" s="92">
        <f t="shared" si="30"/>
        <v>0</v>
      </c>
      <c r="W56" s="92">
        <f t="shared" si="30"/>
        <v>0</v>
      </c>
      <c r="X56" s="92">
        <f t="shared" si="30"/>
        <v>0</v>
      </c>
      <c r="Y56" s="92">
        <f t="shared" si="30"/>
        <v>0</v>
      </c>
      <c r="Z56" s="92">
        <f t="shared" si="30"/>
        <v>0</v>
      </c>
      <c r="AA56" s="92">
        <f t="shared" si="30"/>
        <v>0</v>
      </c>
      <c r="AB56" s="92">
        <f t="shared" si="30"/>
        <v>0</v>
      </c>
      <c r="AC56" s="92">
        <f t="shared" si="30"/>
        <v>0</v>
      </c>
      <c r="AD56" s="92">
        <f t="shared" si="30"/>
        <v>0</v>
      </c>
      <c r="AE56" s="92">
        <f t="shared" si="30"/>
        <v>0</v>
      </c>
      <c r="AF56" s="92">
        <f t="shared" si="30"/>
        <v>0</v>
      </c>
      <c r="AG56" s="92">
        <f t="shared" si="30"/>
        <v>0</v>
      </c>
      <c r="AH56" s="92">
        <f t="shared" si="30"/>
        <v>0</v>
      </c>
      <c r="AI56" s="92">
        <f t="shared" si="30"/>
        <v>0</v>
      </c>
      <c r="AJ56" s="92">
        <f t="shared" si="30"/>
        <v>0</v>
      </c>
      <c r="AK56" s="92">
        <f t="shared" si="30"/>
        <v>0</v>
      </c>
      <c r="AL56" s="92">
        <f t="shared" si="30"/>
        <v>0</v>
      </c>
      <c r="AM56" s="92">
        <f t="shared" si="30"/>
        <v>0</v>
      </c>
      <c r="AN56" s="92">
        <f t="shared" si="30"/>
        <v>0</v>
      </c>
      <c r="AO56" s="92">
        <f t="shared" si="30"/>
        <v>0</v>
      </c>
      <c r="AP56" s="92">
        <f t="shared" si="30"/>
        <v>0</v>
      </c>
      <c r="AQ56" s="92">
        <f t="shared" si="30"/>
        <v>0</v>
      </c>
      <c r="AR56" s="92">
        <f t="shared" si="30"/>
        <v>0</v>
      </c>
      <c r="AS56" s="92">
        <f t="shared" si="30"/>
        <v>0</v>
      </c>
      <c r="AT56" s="92">
        <f t="shared" si="30"/>
        <v>0</v>
      </c>
      <c r="AU56" s="92">
        <f t="shared" si="30"/>
        <v>0</v>
      </c>
      <c r="AV56" s="92">
        <f t="shared" si="30"/>
        <v>0</v>
      </c>
      <c r="AW56" s="92">
        <f t="shared" si="30"/>
        <v>0</v>
      </c>
      <c r="AX56" s="92">
        <f t="shared" si="30"/>
        <v>0</v>
      </c>
      <c r="AY56" s="92">
        <f t="shared" si="30"/>
        <v>0</v>
      </c>
      <c r="AZ56" s="92">
        <f t="shared" si="30"/>
        <v>0</v>
      </c>
      <c r="BA56" s="92">
        <f t="shared" si="30"/>
        <v>0</v>
      </c>
      <c r="BB56" s="92">
        <f t="shared" si="30"/>
        <v>0</v>
      </c>
      <c r="BC56" s="92">
        <f t="shared" si="30"/>
        <v>0</v>
      </c>
      <c r="BD56" s="92">
        <f t="shared" si="30"/>
        <v>0</v>
      </c>
      <c r="BE56" s="92">
        <f t="shared" si="30"/>
        <v>0</v>
      </c>
      <c r="BF56" s="92">
        <f t="shared" si="30"/>
        <v>0</v>
      </c>
      <c r="BG56" s="92">
        <f t="shared" si="30"/>
        <v>0</v>
      </c>
      <c r="BH56" s="92">
        <f t="shared" si="30"/>
        <v>0</v>
      </c>
      <c r="BI56" s="92">
        <f t="shared" si="30"/>
        <v>0</v>
      </c>
      <c r="BJ56" s="92">
        <f t="shared" si="30"/>
        <v>0</v>
      </c>
      <c r="BK56" s="92">
        <f t="shared" si="30"/>
        <v>0</v>
      </c>
      <c r="BL56" s="190">
        <f t="shared" si="30"/>
        <v>0</v>
      </c>
    </row>
    <row r="57" ht="15.75" customHeight="1">
      <c r="D57" s="57" t="str">
        <f t="shared" si="24"/>
        <v>Plant &amp; Civil Work</v>
      </c>
      <c r="E57" s="92">
        <f t="shared" ref="E57:BL57" si="31">IF(E$26 = $G14, $E14, 0)</f>
        <v>0</v>
      </c>
      <c r="F57" s="92">
        <f t="shared" si="31"/>
        <v>0</v>
      </c>
      <c r="G57" s="92">
        <f t="shared" si="31"/>
        <v>0</v>
      </c>
      <c r="H57" s="92">
        <f t="shared" si="31"/>
        <v>0</v>
      </c>
      <c r="I57" s="92">
        <f t="shared" si="31"/>
        <v>28736000</v>
      </c>
      <c r="J57" s="92">
        <f t="shared" si="31"/>
        <v>0</v>
      </c>
      <c r="K57" s="92">
        <f t="shared" si="31"/>
        <v>0</v>
      </c>
      <c r="L57" s="92">
        <f t="shared" si="31"/>
        <v>0</v>
      </c>
      <c r="M57" s="92">
        <f t="shared" si="31"/>
        <v>0</v>
      </c>
      <c r="N57" s="92">
        <f t="shared" si="31"/>
        <v>0</v>
      </c>
      <c r="O57" s="92">
        <f t="shared" si="31"/>
        <v>0</v>
      </c>
      <c r="P57" s="92">
        <f t="shared" si="31"/>
        <v>0</v>
      </c>
      <c r="Q57" s="92">
        <f t="shared" si="31"/>
        <v>0</v>
      </c>
      <c r="R57" s="92">
        <f t="shared" si="31"/>
        <v>0</v>
      </c>
      <c r="S57" s="92">
        <f t="shared" si="31"/>
        <v>0</v>
      </c>
      <c r="T57" s="92">
        <f t="shared" si="31"/>
        <v>0</v>
      </c>
      <c r="U57" s="92">
        <f t="shared" si="31"/>
        <v>0</v>
      </c>
      <c r="V57" s="92">
        <f t="shared" si="31"/>
        <v>0</v>
      </c>
      <c r="W57" s="92">
        <f t="shared" si="31"/>
        <v>0</v>
      </c>
      <c r="X57" s="92">
        <f t="shared" si="31"/>
        <v>0</v>
      </c>
      <c r="Y57" s="92">
        <f t="shared" si="31"/>
        <v>0</v>
      </c>
      <c r="Z57" s="92">
        <f t="shared" si="31"/>
        <v>0</v>
      </c>
      <c r="AA57" s="92">
        <f t="shared" si="31"/>
        <v>0</v>
      </c>
      <c r="AB57" s="92">
        <f t="shared" si="31"/>
        <v>0</v>
      </c>
      <c r="AC57" s="92">
        <f t="shared" si="31"/>
        <v>0</v>
      </c>
      <c r="AD57" s="92">
        <f t="shared" si="31"/>
        <v>0</v>
      </c>
      <c r="AE57" s="92">
        <f t="shared" si="31"/>
        <v>0</v>
      </c>
      <c r="AF57" s="92">
        <f t="shared" si="31"/>
        <v>0</v>
      </c>
      <c r="AG57" s="92">
        <f t="shared" si="31"/>
        <v>0</v>
      </c>
      <c r="AH57" s="92">
        <f t="shared" si="31"/>
        <v>0</v>
      </c>
      <c r="AI57" s="92">
        <f t="shared" si="31"/>
        <v>0</v>
      </c>
      <c r="AJ57" s="92">
        <f t="shared" si="31"/>
        <v>0</v>
      </c>
      <c r="AK57" s="92">
        <f t="shared" si="31"/>
        <v>0</v>
      </c>
      <c r="AL57" s="92">
        <f t="shared" si="31"/>
        <v>0</v>
      </c>
      <c r="AM57" s="92">
        <f t="shared" si="31"/>
        <v>0</v>
      </c>
      <c r="AN57" s="92">
        <f t="shared" si="31"/>
        <v>0</v>
      </c>
      <c r="AO57" s="92">
        <f t="shared" si="31"/>
        <v>0</v>
      </c>
      <c r="AP57" s="92">
        <f t="shared" si="31"/>
        <v>0</v>
      </c>
      <c r="AQ57" s="92">
        <f t="shared" si="31"/>
        <v>0</v>
      </c>
      <c r="AR57" s="92">
        <f t="shared" si="31"/>
        <v>0</v>
      </c>
      <c r="AS57" s="92">
        <f t="shared" si="31"/>
        <v>0</v>
      </c>
      <c r="AT57" s="92">
        <f t="shared" si="31"/>
        <v>0</v>
      </c>
      <c r="AU57" s="92">
        <f t="shared" si="31"/>
        <v>0</v>
      </c>
      <c r="AV57" s="92">
        <f t="shared" si="31"/>
        <v>0</v>
      </c>
      <c r="AW57" s="92">
        <f t="shared" si="31"/>
        <v>0</v>
      </c>
      <c r="AX57" s="92">
        <f t="shared" si="31"/>
        <v>0</v>
      </c>
      <c r="AY57" s="92">
        <f t="shared" si="31"/>
        <v>0</v>
      </c>
      <c r="AZ57" s="92">
        <f t="shared" si="31"/>
        <v>0</v>
      </c>
      <c r="BA57" s="92">
        <f t="shared" si="31"/>
        <v>0</v>
      </c>
      <c r="BB57" s="92">
        <f t="shared" si="31"/>
        <v>0</v>
      </c>
      <c r="BC57" s="92">
        <f t="shared" si="31"/>
        <v>0</v>
      </c>
      <c r="BD57" s="92">
        <f t="shared" si="31"/>
        <v>0</v>
      </c>
      <c r="BE57" s="92">
        <f t="shared" si="31"/>
        <v>0</v>
      </c>
      <c r="BF57" s="92">
        <f t="shared" si="31"/>
        <v>0</v>
      </c>
      <c r="BG57" s="92">
        <f t="shared" si="31"/>
        <v>0</v>
      </c>
      <c r="BH57" s="92">
        <f t="shared" si="31"/>
        <v>0</v>
      </c>
      <c r="BI57" s="92">
        <f t="shared" si="31"/>
        <v>0</v>
      </c>
      <c r="BJ57" s="92">
        <f t="shared" si="31"/>
        <v>0</v>
      </c>
      <c r="BK57" s="92">
        <f t="shared" si="31"/>
        <v>0</v>
      </c>
      <c r="BL57" s="190">
        <f t="shared" si="31"/>
        <v>0</v>
      </c>
    </row>
    <row r="58" ht="15.75" customHeight="1">
      <c r="D58" s="57" t="str">
        <f t="shared" si="24"/>
        <v>Machinery Advance</v>
      </c>
      <c r="E58" s="92">
        <f t="shared" ref="E58:BL58" si="32">IF(E$26 = $G15, $E15, 0)</f>
        <v>0</v>
      </c>
      <c r="F58" s="92">
        <f t="shared" si="32"/>
        <v>0</v>
      </c>
      <c r="G58" s="92">
        <f t="shared" si="32"/>
        <v>0</v>
      </c>
      <c r="H58" s="92">
        <f t="shared" si="32"/>
        <v>0</v>
      </c>
      <c r="I58" s="92">
        <f t="shared" si="32"/>
        <v>30000000</v>
      </c>
      <c r="J58" s="92">
        <f t="shared" si="32"/>
        <v>0</v>
      </c>
      <c r="K58" s="92">
        <f t="shared" si="32"/>
        <v>0</v>
      </c>
      <c r="L58" s="92">
        <f t="shared" si="32"/>
        <v>0</v>
      </c>
      <c r="M58" s="92">
        <f t="shared" si="32"/>
        <v>0</v>
      </c>
      <c r="N58" s="92">
        <f t="shared" si="32"/>
        <v>0</v>
      </c>
      <c r="O58" s="92">
        <f t="shared" si="32"/>
        <v>0</v>
      </c>
      <c r="P58" s="92">
        <f t="shared" si="32"/>
        <v>0</v>
      </c>
      <c r="Q58" s="92">
        <f t="shared" si="32"/>
        <v>0</v>
      </c>
      <c r="R58" s="92">
        <f t="shared" si="32"/>
        <v>0</v>
      </c>
      <c r="S58" s="92">
        <f t="shared" si="32"/>
        <v>0</v>
      </c>
      <c r="T58" s="92">
        <f t="shared" si="32"/>
        <v>0</v>
      </c>
      <c r="U58" s="92">
        <f t="shared" si="32"/>
        <v>0</v>
      </c>
      <c r="V58" s="92">
        <f t="shared" si="32"/>
        <v>0</v>
      </c>
      <c r="W58" s="92">
        <f t="shared" si="32"/>
        <v>0</v>
      </c>
      <c r="X58" s="92">
        <f t="shared" si="32"/>
        <v>0</v>
      </c>
      <c r="Y58" s="92">
        <f t="shared" si="32"/>
        <v>0</v>
      </c>
      <c r="Z58" s="92">
        <f t="shared" si="32"/>
        <v>0</v>
      </c>
      <c r="AA58" s="92">
        <f t="shared" si="32"/>
        <v>0</v>
      </c>
      <c r="AB58" s="92">
        <f t="shared" si="32"/>
        <v>0</v>
      </c>
      <c r="AC58" s="92">
        <f t="shared" si="32"/>
        <v>0</v>
      </c>
      <c r="AD58" s="92">
        <f t="shared" si="32"/>
        <v>0</v>
      </c>
      <c r="AE58" s="92">
        <f t="shared" si="32"/>
        <v>0</v>
      </c>
      <c r="AF58" s="92">
        <f t="shared" si="32"/>
        <v>0</v>
      </c>
      <c r="AG58" s="92">
        <f t="shared" si="32"/>
        <v>0</v>
      </c>
      <c r="AH58" s="92">
        <f t="shared" si="32"/>
        <v>0</v>
      </c>
      <c r="AI58" s="92">
        <f t="shared" si="32"/>
        <v>0</v>
      </c>
      <c r="AJ58" s="92">
        <f t="shared" si="32"/>
        <v>0</v>
      </c>
      <c r="AK58" s="92">
        <f t="shared" si="32"/>
        <v>0</v>
      </c>
      <c r="AL58" s="92">
        <f t="shared" si="32"/>
        <v>0</v>
      </c>
      <c r="AM58" s="92">
        <f t="shared" si="32"/>
        <v>0</v>
      </c>
      <c r="AN58" s="92">
        <f t="shared" si="32"/>
        <v>0</v>
      </c>
      <c r="AO58" s="92">
        <f t="shared" si="32"/>
        <v>0</v>
      </c>
      <c r="AP58" s="92">
        <f t="shared" si="32"/>
        <v>0</v>
      </c>
      <c r="AQ58" s="92">
        <f t="shared" si="32"/>
        <v>0</v>
      </c>
      <c r="AR58" s="92">
        <f t="shared" si="32"/>
        <v>0</v>
      </c>
      <c r="AS58" s="92">
        <f t="shared" si="32"/>
        <v>0</v>
      </c>
      <c r="AT58" s="92">
        <f t="shared" si="32"/>
        <v>0</v>
      </c>
      <c r="AU58" s="92">
        <f t="shared" si="32"/>
        <v>0</v>
      </c>
      <c r="AV58" s="92">
        <f t="shared" si="32"/>
        <v>0</v>
      </c>
      <c r="AW58" s="92">
        <f t="shared" si="32"/>
        <v>0</v>
      </c>
      <c r="AX58" s="92">
        <f t="shared" si="32"/>
        <v>0</v>
      </c>
      <c r="AY58" s="92">
        <f t="shared" si="32"/>
        <v>0</v>
      </c>
      <c r="AZ58" s="92">
        <f t="shared" si="32"/>
        <v>0</v>
      </c>
      <c r="BA58" s="92">
        <f t="shared" si="32"/>
        <v>0</v>
      </c>
      <c r="BB58" s="92">
        <f t="shared" si="32"/>
        <v>0</v>
      </c>
      <c r="BC58" s="92">
        <f t="shared" si="32"/>
        <v>0</v>
      </c>
      <c r="BD58" s="92">
        <f t="shared" si="32"/>
        <v>0</v>
      </c>
      <c r="BE58" s="92">
        <f t="shared" si="32"/>
        <v>0</v>
      </c>
      <c r="BF58" s="92">
        <f t="shared" si="32"/>
        <v>0</v>
      </c>
      <c r="BG58" s="92">
        <f t="shared" si="32"/>
        <v>0</v>
      </c>
      <c r="BH58" s="92">
        <f t="shared" si="32"/>
        <v>0</v>
      </c>
      <c r="BI58" s="92">
        <f t="shared" si="32"/>
        <v>0</v>
      </c>
      <c r="BJ58" s="92">
        <f t="shared" si="32"/>
        <v>0</v>
      </c>
      <c r="BK58" s="92">
        <f t="shared" si="32"/>
        <v>0</v>
      </c>
      <c r="BL58" s="190">
        <f t="shared" si="32"/>
        <v>0</v>
      </c>
    </row>
    <row r="59" ht="15.75" customHeight="1">
      <c r="D59" s="57" t="str">
        <f t="shared" si="24"/>
        <v>Cow Mats</v>
      </c>
      <c r="E59" s="92">
        <f t="shared" ref="E59:BL59" si="33">IF(E$26 = $G16, $E16, 0)</f>
        <v>0</v>
      </c>
      <c r="F59" s="92">
        <f t="shared" si="33"/>
        <v>0</v>
      </c>
      <c r="G59" s="92">
        <f t="shared" si="33"/>
        <v>0</v>
      </c>
      <c r="H59" s="92">
        <f t="shared" si="33"/>
        <v>0</v>
      </c>
      <c r="I59" s="92">
        <f t="shared" si="33"/>
        <v>0</v>
      </c>
      <c r="J59" s="92">
        <f t="shared" si="33"/>
        <v>2500000</v>
      </c>
      <c r="K59" s="92">
        <f t="shared" si="33"/>
        <v>0</v>
      </c>
      <c r="L59" s="92">
        <f t="shared" si="33"/>
        <v>0</v>
      </c>
      <c r="M59" s="92">
        <f t="shared" si="33"/>
        <v>0</v>
      </c>
      <c r="N59" s="92">
        <f t="shared" si="33"/>
        <v>0</v>
      </c>
      <c r="O59" s="92">
        <f t="shared" si="33"/>
        <v>0</v>
      </c>
      <c r="P59" s="92">
        <f t="shared" si="33"/>
        <v>0</v>
      </c>
      <c r="Q59" s="92">
        <f t="shared" si="33"/>
        <v>0</v>
      </c>
      <c r="R59" s="92">
        <f t="shared" si="33"/>
        <v>0</v>
      </c>
      <c r="S59" s="92">
        <f t="shared" si="33"/>
        <v>0</v>
      </c>
      <c r="T59" s="92">
        <f t="shared" si="33"/>
        <v>0</v>
      </c>
      <c r="U59" s="92">
        <f t="shared" si="33"/>
        <v>0</v>
      </c>
      <c r="V59" s="92">
        <f t="shared" si="33"/>
        <v>0</v>
      </c>
      <c r="W59" s="92">
        <f t="shared" si="33"/>
        <v>0</v>
      </c>
      <c r="X59" s="92">
        <f t="shared" si="33"/>
        <v>0</v>
      </c>
      <c r="Y59" s="92">
        <f t="shared" si="33"/>
        <v>0</v>
      </c>
      <c r="Z59" s="92">
        <f t="shared" si="33"/>
        <v>0</v>
      </c>
      <c r="AA59" s="92">
        <f t="shared" si="33"/>
        <v>0</v>
      </c>
      <c r="AB59" s="92">
        <f t="shared" si="33"/>
        <v>0</v>
      </c>
      <c r="AC59" s="92">
        <f t="shared" si="33"/>
        <v>0</v>
      </c>
      <c r="AD59" s="92">
        <f t="shared" si="33"/>
        <v>0</v>
      </c>
      <c r="AE59" s="92">
        <f t="shared" si="33"/>
        <v>0</v>
      </c>
      <c r="AF59" s="92">
        <f t="shared" si="33"/>
        <v>0</v>
      </c>
      <c r="AG59" s="92">
        <f t="shared" si="33"/>
        <v>0</v>
      </c>
      <c r="AH59" s="92">
        <f t="shared" si="33"/>
        <v>0</v>
      </c>
      <c r="AI59" s="92">
        <f t="shared" si="33"/>
        <v>0</v>
      </c>
      <c r="AJ59" s="92">
        <f t="shared" si="33"/>
        <v>0</v>
      </c>
      <c r="AK59" s="92">
        <f t="shared" si="33"/>
        <v>0</v>
      </c>
      <c r="AL59" s="92">
        <f t="shared" si="33"/>
        <v>0</v>
      </c>
      <c r="AM59" s="92">
        <f t="shared" si="33"/>
        <v>0</v>
      </c>
      <c r="AN59" s="92">
        <f t="shared" si="33"/>
        <v>0</v>
      </c>
      <c r="AO59" s="92">
        <f t="shared" si="33"/>
        <v>0</v>
      </c>
      <c r="AP59" s="92">
        <f t="shared" si="33"/>
        <v>0</v>
      </c>
      <c r="AQ59" s="92">
        <f t="shared" si="33"/>
        <v>0</v>
      </c>
      <c r="AR59" s="92">
        <f t="shared" si="33"/>
        <v>0</v>
      </c>
      <c r="AS59" s="92">
        <f t="shared" si="33"/>
        <v>0</v>
      </c>
      <c r="AT59" s="92">
        <f t="shared" si="33"/>
        <v>0</v>
      </c>
      <c r="AU59" s="92">
        <f t="shared" si="33"/>
        <v>0</v>
      </c>
      <c r="AV59" s="92">
        <f t="shared" si="33"/>
        <v>0</v>
      </c>
      <c r="AW59" s="92">
        <f t="shared" si="33"/>
        <v>0</v>
      </c>
      <c r="AX59" s="92">
        <f t="shared" si="33"/>
        <v>0</v>
      </c>
      <c r="AY59" s="92">
        <f t="shared" si="33"/>
        <v>0</v>
      </c>
      <c r="AZ59" s="92">
        <f t="shared" si="33"/>
        <v>0</v>
      </c>
      <c r="BA59" s="92">
        <f t="shared" si="33"/>
        <v>0</v>
      </c>
      <c r="BB59" s="92">
        <f t="shared" si="33"/>
        <v>0</v>
      </c>
      <c r="BC59" s="92">
        <f t="shared" si="33"/>
        <v>0</v>
      </c>
      <c r="BD59" s="92">
        <f t="shared" si="33"/>
        <v>0</v>
      </c>
      <c r="BE59" s="92">
        <f t="shared" si="33"/>
        <v>0</v>
      </c>
      <c r="BF59" s="92">
        <f t="shared" si="33"/>
        <v>0</v>
      </c>
      <c r="BG59" s="92">
        <f t="shared" si="33"/>
        <v>0</v>
      </c>
      <c r="BH59" s="92">
        <f t="shared" si="33"/>
        <v>0</v>
      </c>
      <c r="BI59" s="92">
        <f t="shared" si="33"/>
        <v>0</v>
      </c>
      <c r="BJ59" s="92">
        <f t="shared" si="33"/>
        <v>0</v>
      </c>
      <c r="BK59" s="92">
        <f t="shared" si="33"/>
        <v>0</v>
      </c>
      <c r="BL59" s="190">
        <f t="shared" si="33"/>
        <v>0</v>
      </c>
    </row>
    <row r="60" ht="15.75" customHeight="1">
      <c r="D60" s="57" t="str">
        <f t="shared" si="24"/>
        <v>Livestock Batch 1</v>
      </c>
      <c r="E60" s="92">
        <f t="shared" ref="E60:BL60" si="34">IF(E$26 = $G17, $E17, 0)</f>
        <v>0</v>
      </c>
      <c r="F60" s="92">
        <f t="shared" si="34"/>
        <v>0</v>
      </c>
      <c r="G60" s="92">
        <f t="shared" si="34"/>
        <v>0</v>
      </c>
      <c r="H60" s="92">
        <f t="shared" si="34"/>
        <v>0</v>
      </c>
      <c r="I60" s="92">
        <f t="shared" si="34"/>
        <v>18000000</v>
      </c>
      <c r="J60" s="92">
        <f t="shared" si="34"/>
        <v>0</v>
      </c>
      <c r="K60" s="92">
        <f t="shared" si="34"/>
        <v>0</v>
      </c>
      <c r="L60" s="92">
        <f t="shared" si="34"/>
        <v>0</v>
      </c>
      <c r="M60" s="92">
        <f t="shared" si="34"/>
        <v>0</v>
      </c>
      <c r="N60" s="92">
        <f t="shared" si="34"/>
        <v>0</v>
      </c>
      <c r="O60" s="92">
        <f t="shared" si="34"/>
        <v>0</v>
      </c>
      <c r="P60" s="92">
        <f t="shared" si="34"/>
        <v>0</v>
      </c>
      <c r="Q60" s="92">
        <f t="shared" si="34"/>
        <v>0</v>
      </c>
      <c r="R60" s="92">
        <f t="shared" si="34"/>
        <v>0</v>
      </c>
      <c r="S60" s="92">
        <f t="shared" si="34"/>
        <v>0</v>
      </c>
      <c r="T60" s="92">
        <f t="shared" si="34"/>
        <v>0</v>
      </c>
      <c r="U60" s="92">
        <f t="shared" si="34"/>
        <v>0</v>
      </c>
      <c r="V60" s="92">
        <f t="shared" si="34"/>
        <v>0</v>
      </c>
      <c r="W60" s="92">
        <f t="shared" si="34"/>
        <v>0</v>
      </c>
      <c r="X60" s="92">
        <f t="shared" si="34"/>
        <v>0</v>
      </c>
      <c r="Y60" s="92">
        <f t="shared" si="34"/>
        <v>0</v>
      </c>
      <c r="Z60" s="92">
        <f t="shared" si="34"/>
        <v>0</v>
      </c>
      <c r="AA60" s="92">
        <f t="shared" si="34"/>
        <v>0</v>
      </c>
      <c r="AB60" s="92">
        <f t="shared" si="34"/>
        <v>0</v>
      </c>
      <c r="AC60" s="92">
        <f t="shared" si="34"/>
        <v>0</v>
      </c>
      <c r="AD60" s="92">
        <f t="shared" si="34"/>
        <v>0</v>
      </c>
      <c r="AE60" s="92">
        <f t="shared" si="34"/>
        <v>0</v>
      </c>
      <c r="AF60" s="92">
        <f t="shared" si="34"/>
        <v>0</v>
      </c>
      <c r="AG60" s="92">
        <f t="shared" si="34"/>
        <v>0</v>
      </c>
      <c r="AH60" s="92">
        <f t="shared" si="34"/>
        <v>0</v>
      </c>
      <c r="AI60" s="92">
        <f t="shared" si="34"/>
        <v>0</v>
      </c>
      <c r="AJ60" s="92">
        <f t="shared" si="34"/>
        <v>0</v>
      </c>
      <c r="AK60" s="92">
        <f t="shared" si="34"/>
        <v>0</v>
      </c>
      <c r="AL60" s="92">
        <f t="shared" si="34"/>
        <v>0</v>
      </c>
      <c r="AM60" s="92">
        <f t="shared" si="34"/>
        <v>0</v>
      </c>
      <c r="AN60" s="92">
        <f t="shared" si="34"/>
        <v>0</v>
      </c>
      <c r="AO60" s="92">
        <f t="shared" si="34"/>
        <v>0</v>
      </c>
      <c r="AP60" s="92">
        <f t="shared" si="34"/>
        <v>0</v>
      </c>
      <c r="AQ60" s="92">
        <f t="shared" si="34"/>
        <v>0</v>
      </c>
      <c r="AR60" s="92">
        <f t="shared" si="34"/>
        <v>0</v>
      </c>
      <c r="AS60" s="92">
        <f t="shared" si="34"/>
        <v>0</v>
      </c>
      <c r="AT60" s="92">
        <f t="shared" si="34"/>
        <v>0</v>
      </c>
      <c r="AU60" s="92">
        <f t="shared" si="34"/>
        <v>0</v>
      </c>
      <c r="AV60" s="92">
        <f t="shared" si="34"/>
        <v>0</v>
      </c>
      <c r="AW60" s="92">
        <f t="shared" si="34"/>
        <v>0</v>
      </c>
      <c r="AX60" s="92">
        <f t="shared" si="34"/>
        <v>0</v>
      </c>
      <c r="AY60" s="92">
        <f t="shared" si="34"/>
        <v>0</v>
      </c>
      <c r="AZ60" s="92">
        <f t="shared" si="34"/>
        <v>0</v>
      </c>
      <c r="BA60" s="92">
        <f t="shared" si="34"/>
        <v>0</v>
      </c>
      <c r="BB60" s="92">
        <f t="shared" si="34"/>
        <v>0</v>
      </c>
      <c r="BC60" s="92">
        <f t="shared" si="34"/>
        <v>0</v>
      </c>
      <c r="BD60" s="92">
        <f t="shared" si="34"/>
        <v>0</v>
      </c>
      <c r="BE60" s="92">
        <f t="shared" si="34"/>
        <v>0</v>
      </c>
      <c r="BF60" s="92">
        <f t="shared" si="34"/>
        <v>0</v>
      </c>
      <c r="BG60" s="92">
        <f t="shared" si="34"/>
        <v>0</v>
      </c>
      <c r="BH60" s="92">
        <f t="shared" si="34"/>
        <v>0</v>
      </c>
      <c r="BI60" s="92">
        <f t="shared" si="34"/>
        <v>0</v>
      </c>
      <c r="BJ60" s="92">
        <f t="shared" si="34"/>
        <v>0</v>
      </c>
      <c r="BK60" s="92">
        <f t="shared" si="34"/>
        <v>0</v>
      </c>
      <c r="BL60" s="190">
        <f t="shared" si="34"/>
        <v>0</v>
      </c>
    </row>
    <row r="61" ht="15.75" customHeight="1">
      <c r="D61" s="57" t="str">
        <f t="shared" si="24"/>
        <v>Solar System</v>
      </c>
      <c r="E61" s="92">
        <f t="shared" ref="E61:BL61" si="35">IF(E$26 = $G18, $E18, 0)</f>
        <v>0</v>
      </c>
      <c r="F61" s="92">
        <f t="shared" si="35"/>
        <v>0</v>
      </c>
      <c r="G61" s="92">
        <f t="shared" si="35"/>
        <v>0</v>
      </c>
      <c r="H61" s="92">
        <f t="shared" si="35"/>
        <v>0</v>
      </c>
      <c r="I61" s="92">
        <f t="shared" si="35"/>
        <v>0</v>
      </c>
      <c r="J61" s="92">
        <f t="shared" si="35"/>
        <v>13000000</v>
      </c>
      <c r="K61" s="92">
        <f t="shared" si="35"/>
        <v>0</v>
      </c>
      <c r="L61" s="92">
        <f t="shared" si="35"/>
        <v>0</v>
      </c>
      <c r="M61" s="92">
        <f t="shared" si="35"/>
        <v>0</v>
      </c>
      <c r="N61" s="92">
        <f t="shared" si="35"/>
        <v>0</v>
      </c>
      <c r="O61" s="92">
        <f t="shared" si="35"/>
        <v>0</v>
      </c>
      <c r="P61" s="92">
        <f t="shared" si="35"/>
        <v>0</v>
      </c>
      <c r="Q61" s="92">
        <f t="shared" si="35"/>
        <v>0</v>
      </c>
      <c r="R61" s="92">
        <f t="shared" si="35"/>
        <v>0</v>
      </c>
      <c r="S61" s="92">
        <f t="shared" si="35"/>
        <v>0</v>
      </c>
      <c r="T61" s="92">
        <f t="shared" si="35"/>
        <v>0</v>
      </c>
      <c r="U61" s="92">
        <f t="shared" si="35"/>
        <v>0</v>
      </c>
      <c r="V61" s="92">
        <f t="shared" si="35"/>
        <v>0</v>
      </c>
      <c r="W61" s="92">
        <f t="shared" si="35"/>
        <v>0</v>
      </c>
      <c r="X61" s="92">
        <f t="shared" si="35"/>
        <v>0</v>
      </c>
      <c r="Y61" s="92">
        <f t="shared" si="35"/>
        <v>0</v>
      </c>
      <c r="Z61" s="92">
        <f t="shared" si="35"/>
        <v>0</v>
      </c>
      <c r="AA61" s="92">
        <f t="shared" si="35"/>
        <v>0</v>
      </c>
      <c r="AB61" s="92">
        <f t="shared" si="35"/>
        <v>0</v>
      </c>
      <c r="AC61" s="92">
        <f t="shared" si="35"/>
        <v>0</v>
      </c>
      <c r="AD61" s="92">
        <f t="shared" si="35"/>
        <v>0</v>
      </c>
      <c r="AE61" s="92">
        <f t="shared" si="35"/>
        <v>0</v>
      </c>
      <c r="AF61" s="92">
        <f t="shared" si="35"/>
        <v>0</v>
      </c>
      <c r="AG61" s="92">
        <f t="shared" si="35"/>
        <v>0</v>
      </c>
      <c r="AH61" s="92">
        <f t="shared" si="35"/>
        <v>0</v>
      </c>
      <c r="AI61" s="92">
        <f t="shared" si="35"/>
        <v>0</v>
      </c>
      <c r="AJ61" s="92">
        <f t="shared" si="35"/>
        <v>0</v>
      </c>
      <c r="AK61" s="92">
        <f t="shared" si="35"/>
        <v>0</v>
      </c>
      <c r="AL61" s="92">
        <f t="shared" si="35"/>
        <v>0</v>
      </c>
      <c r="AM61" s="92">
        <f t="shared" si="35"/>
        <v>0</v>
      </c>
      <c r="AN61" s="92">
        <f t="shared" si="35"/>
        <v>0</v>
      </c>
      <c r="AO61" s="92">
        <f t="shared" si="35"/>
        <v>0</v>
      </c>
      <c r="AP61" s="92">
        <f t="shared" si="35"/>
        <v>0</v>
      </c>
      <c r="AQ61" s="92">
        <f t="shared" si="35"/>
        <v>0</v>
      </c>
      <c r="AR61" s="92">
        <f t="shared" si="35"/>
        <v>0</v>
      </c>
      <c r="AS61" s="92">
        <f t="shared" si="35"/>
        <v>0</v>
      </c>
      <c r="AT61" s="92">
        <f t="shared" si="35"/>
        <v>0</v>
      </c>
      <c r="AU61" s="92">
        <f t="shared" si="35"/>
        <v>0</v>
      </c>
      <c r="AV61" s="92">
        <f t="shared" si="35"/>
        <v>0</v>
      </c>
      <c r="AW61" s="92">
        <f t="shared" si="35"/>
        <v>0</v>
      </c>
      <c r="AX61" s="92">
        <f t="shared" si="35"/>
        <v>0</v>
      </c>
      <c r="AY61" s="92">
        <f t="shared" si="35"/>
        <v>0</v>
      </c>
      <c r="AZ61" s="92">
        <f t="shared" si="35"/>
        <v>0</v>
      </c>
      <c r="BA61" s="92">
        <f t="shared" si="35"/>
        <v>0</v>
      </c>
      <c r="BB61" s="92">
        <f t="shared" si="35"/>
        <v>0</v>
      </c>
      <c r="BC61" s="92">
        <f t="shared" si="35"/>
        <v>0</v>
      </c>
      <c r="BD61" s="92">
        <f t="shared" si="35"/>
        <v>0</v>
      </c>
      <c r="BE61" s="92">
        <f t="shared" si="35"/>
        <v>0</v>
      </c>
      <c r="BF61" s="92">
        <f t="shared" si="35"/>
        <v>0</v>
      </c>
      <c r="BG61" s="92">
        <f t="shared" si="35"/>
        <v>0</v>
      </c>
      <c r="BH61" s="92">
        <f t="shared" si="35"/>
        <v>0</v>
      </c>
      <c r="BI61" s="92">
        <f t="shared" si="35"/>
        <v>0</v>
      </c>
      <c r="BJ61" s="92">
        <f t="shared" si="35"/>
        <v>0</v>
      </c>
      <c r="BK61" s="92">
        <f t="shared" si="35"/>
        <v>0</v>
      </c>
      <c r="BL61" s="190">
        <f t="shared" si="35"/>
        <v>0</v>
      </c>
    </row>
    <row r="62" ht="15.75" customHeight="1">
      <c r="D62" s="57" t="str">
        <f t="shared" si="24"/>
        <v>Transport Vehicles</v>
      </c>
      <c r="E62" s="92">
        <f t="shared" ref="E62:BL62" si="36">IF(E$26 = $G19, $E19, 0)</f>
        <v>0</v>
      </c>
      <c r="F62" s="92">
        <f t="shared" si="36"/>
        <v>0</v>
      </c>
      <c r="G62" s="92">
        <f t="shared" si="36"/>
        <v>0</v>
      </c>
      <c r="H62" s="92">
        <f t="shared" si="36"/>
        <v>0</v>
      </c>
      <c r="I62" s="92">
        <f t="shared" si="36"/>
        <v>0</v>
      </c>
      <c r="J62" s="92">
        <f t="shared" si="36"/>
        <v>5000000</v>
      </c>
      <c r="K62" s="92">
        <f t="shared" si="36"/>
        <v>0</v>
      </c>
      <c r="L62" s="92">
        <f t="shared" si="36"/>
        <v>0</v>
      </c>
      <c r="M62" s="92">
        <f t="shared" si="36"/>
        <v>0</v>
      </c>
      <c r="N62" s="92">
        <f t="shared" si="36"/>
        <v>0</v>
      </c>
      <c r="O62" s="92">
        <f t="shared" si="36"/>
        <v>0</v>
      </c>
      <c r="P62" s="92">
        <f t="shared" si="36"/>
        <v>0</v>
      </c>
      <c r="Q62" s="92">
        <f t="shared" si="36"/>
        <v>0</v>
      </c>
      <c r="R62" s="92">
        <f t="shared" si="36"/>
        <v>0</v>
      </c>
      <c r="S62" s="92">
        <f t="shared" si="36"/>
        <v>0</v>
      </c>
      <c r="T62" s="92">
        <f t="shared" si="36"/>
        <v>0</v>
      </c>
      <c r="U62" s="92">
        <f t="shared" si="36"/>
        <v>0</v>
      </c>
      <c r="V62" s="92">
        <f t="shared" si="36"/>
        <v>0</v>
      </c>
      <c r="W62" s="92">
        <f t="shared" si="36"/>
        <v>0</v>
      </c>
      <c r="X62" s="92">
        <f t="shared" si="36"/>
        <v>0</v>
      </c>
      <c r="Y62" s="92">
        <f t="shared" si="36"/>
        <v>0</v>
      </c>
      <c r="Z62" s="92">
        <f t="shared" si="36"/>
        <v>0</v>
      </c>
      <c r="AA62" s="92">
        <f t="shared" si="36"/>
        <v>0</v>
      </c>
      <c r="AB62" s="92">
        <f t="shared" si="36"/>
        <v>0</v>
      </c>
      <c r="AC62" s="92">
        <f t="shared" si="36"/>
        <v>0</v>
      </c>
      <c r="AD62" s="92">
        <f t="shared" si="36"/>
        <v>0</v>
      </c>
      <c r="AE62" s="92">
        <f t="shared" si="36"/>
        <v>0</v>
      </c>
      <c r="AF62" s="92">
        <f t="shared" si="36"/>
        <v>0</v>
      </c>
      <c r="AG62" s="92">
        <f t="shared" si="36"/>
        <v>0</v>
      </c>
      <c r="AH62" s="92">
        <f t="shared" si="36"/>
        <v>0</v>
      </c>
      <c r="AI62" s="92">
        <f t="shared" si="36"/>
        <v>0</v>
      </c>
      <c r="AJ62" s="92">
        <f t="shared" si="36"/>
        <v>0</v>
      </c>
      <c r="AK62" s="92">
        <f t="shared" si="36"/>
        <v>0</v>
      </c>
      <c r="AL62" s="92">
        <f t="shared" si="36"/>
        <v>0</v>
      </c>
      <c r="AM62" s="92">
        <f t="shared" si="36"/>
        <v>0</v>
      </c>
      <c r="AN62" s="92">
        <f t="shared" si="36"/>
        <v>0</v>
      </c>
      <c r="AO62" s="92">
        <f t="shared" si="36"/>
        <v>0</v>
      </c>
      <c r="AP62" s="92">
        <f t="shared" si="36"/>
        <v>0</v>
      </c>
      <c r="AQ62" s="92">
        <f t="shared" si="36"/>
        <v>0</v>
      </c>
      <c r="AR62" s="92">
        <f t="shared" si="36"/>
        <v>0</v>
      </c>
      <c r="AS62" s="92">
        <f t="shared" si="36"/>
        <v>0</v>
      </c>
      <c r="AT62" s="92">
        <f t="shared" si="36"/>
        <v>0</v>
      </c>
      <c r="AU62" s="92">
        <f t="shared" si="36"/>
        <v>0</v>
      </c>
      <c r="AV62" s="92">
        <f t="shared" si="36"/>
        <v>0</v>
      </c>
      <c r="AW62" s="92">
        <f t="shared" si="36"/>
        <v>0</v>
      </c>
      <c r="AX62" s="92">
        <f t="shared" si="36"/>
        <v>0</v>
      </c>
      <c r="AY62" s="92">
        <f t="shared" si="36"/>
        <v>0</v>
      </c>
      <c r="AZ62" s="92">
        <f t="shared" si="36"/>
        <v>0</v>
      </c>
      <c r="BA62" s="92">
        <f t="shared" si="36"/>
        <v>0</v>
      </c>
      <c r="BB62" s="92">
        <f t="shared" si="36"/>
        <v>0</v>
      </c>
      <c r="BC62" s="92">
        <f t="shared" si="36"/>
        <v>0</v>
      </c>
      <c r="BD62" s="92">
        <f t="shared" si="36"/>
        <v>0</v>
      </c>
      <c r="BE62" s="92">
        <f t="shared" si="36"/>
        <v>0</v>
      </c>
      <c r="BF62" s="92">
        <f t="shared" si="36"/>
        <v>0</v>
      </c>
      <c r="BG62" s="92">
        <f t="shared" si="36"/>
        <v>0</v>
      </c>
      <c r="BH62" s="92">
        <f t="shared" si="36"/>
        <v>0</v>
      </c>
      <c r="BI62" s="92">
        <f t="shared" si="36"/>
        <v>0</v>
      </c>
      <c r="BJ62" s="92">
        <f t="shared" si="36"/>
        <v>0</v>
      </c>
      <c r="BK62" s="92">
        <f t="shared" si="36"/>
        <v>0</v>
      </c>
      <c r="BL62" s="190">
        <f t="shared" si="36"/>
        <v>0</v>
      </c>
    </row>
    <row r="63" ht="15.75" customHeight="1">
      <c r="D63" s="57" t="str">
        <f t="shared" si="24"/>
        <v>Plant &amp; Machinery Final</v>
      </c>
      <c r="E63" s="92">
        <f t="shared" ref="E63:BL63" si="37">IF(E$26 = $G20, $E20, 0)</f>
        <v>0</v>
      </c>
      <c r="F63" s="92">
        <f t="shared" si="37"/>
        <v>0</v>
      </c>
      <c r="G63" s="92">
        <f t="shared" si="37"/>
        <v>0</v>
      </c>
      <c r="H63" s="92">
        <f t="shared" si="37"/>
        <v>0</v>
      </c>
      <c r="I63" s="92">
        <f t="shared" si="37"/>
        <v>0</v>
      </c>
      <c r="J63" s="92">
        <f t="shared" si="37"/>
        <v>0</v>
      </c>
      <c r="K63" s="92">
        <f t="shared" si="37"/>
        <v>70000000</v>
      </c>
      <c r="L63" s="92">
        <f t="shared" si="37"/>
        <v>0</v>
      </c>
      <c r="M63" s="92">
        <f t="shared" si="37"/>
        <v>0</v>
      </c>
      <c r="N63" s="92">
        <f t="shared" si="37"/>
        <v>0</v>
      </c>
      <c r="O63" s="92">
        <f t="shared" si="37"/>
        <v>0</v>
      </c>
      <c r="P63" s="92">
        <f t="shared" si="37"/>
        <v>0</v>
      </c>
      <c r="Q63" s="92">
        <f t="shared" si="37"/>
        <v>0</v>
      </c>
      <c r="R63" s="92">
        <f t="shared" si="37"/>
        <v>0</v>
      </c>
      <c r="S63" s="92">
        <f t="shared" si="37"/>
        <v>0</v>
      </c>
      <c r="T63" s="92">
        <f t="shared" si="37"/>
        <v>0</v>
      </c>
      <c r="U63" s="92">
        <f t="shared" si="37"/>
        <v>0</v>
      </c>
      <c r="V63" s="92">
        <f t="shared" si="37"/>
        <v>0</v>
      </c>
      <c r="W63" s="92">
        <f t="shared" si="37"/>
        <v>0</v>
      </c>
      <c r="X63" s="92">
        <f t="shared" si="37"/>
        <v>0</v>
      </c>
      <c r="Y63" s="92">
        <f t="shared" si="37"/>
        <v>0</v>
      </c>
      <c r="Z63" s="92">
        <f t="shared" si="37"/>
        <v>0</v>
      </c>
      <c r="AA63" s="92">
        <f t="shared" si="37"/>
        <v>0</v>
      </c>
      <c r="AB63" s="92">
        <f t="shared" si="37"/>
        <v>0</v>
      </c>
      <c r="AC63" s="92">
        <f t="shared" si="37"/>
        <v>0</v>
      </c>
      <c r="AD63" s="92">
        <f t="shared" si="37"/>
        <v>0</v>
      </c>
      <c r="AE63" s="92">
        <f t="shared" si="37"/>
        <v>0</v>
      </c>
      <c r="AF63" s="92">
        <f t="shared" si="37"/>
        <v>0</v>
      </c>
      <c r="AG63" s="92">
        <f t="shared" si="37"/>
        <v>0</v>
      </c>
      <c r="AH63" s="92">
        <f t="shared" si="37"/>
        <v>0</v>
      </c>
      <c r="AI63" s="92">
        <f t="shared" si="37"/>
        <v>0</v>
      </c>
      <c r="AJ63" s="92">
        <f t="shared" si="37"/>
        <v>0</v>
      </c>
      <c r="AK63" s="92">
        <f t="shared" si="37"/>
        <v>0</v>
      </c>
      <c r="AL63" s="92">
        <f t="shared" si="37"/>
        <v>0</v>
      </c>
      <c r="AM63" s="92">
        <f t="shared" si="37"/>
        <v>0</v>
      </c>
      <c r="AN63" s="92">
        <f t="shared" si="37"/>
        <v>0</v>
      </c>
      <c r="AO63" s="92">
        <f t="shared" si="37"/>
        <v>0</v>
      </c>
      <c r="AP63" s="92">
        <f t="shared" si="37"/>
        <v>0</v>
      </c>
      <c r="AQ63" s="92">
        <f t="shared" si="37"/>
        <v>0</v>
      </c>
      <c r="AR63" s="92">
        <f t="shared" si="37"/>
        <v>0</v>
      </c>
      <c r="AS63" s="92">
        <f t="shared" si="37"/>
        <v>0</v>
      </c>
      <c r="AT63" s="92">
        <f t="shared" si="37"/>
        <v>0</v>
      </c>
      <c r="AU63" s="92">
        <f t="shared" si="37"/>
        <v>0</v>
      </c>
      <c r="AV63" s="92">
        <f t="shared" si="37"/>
        <v>0</v>
      </c>
      <c r="AW63" s="92">
        <f t="shared" si="37"/>
        <v>0</v>
      </c>
      <c r="AX63" s="92">
        <f t="shared" si="37"/>
        <v>0</v>
      </c>
      <c r="AY63" s="92">
        <f t="shared" si="37"/>
        <v>0</v>
      </c>
      <c r="AZ63" s="92">
        <f t="shared" si="37"/>
        <v>0</v>
      </c>
      <c r="BA63" s="92">
        <f t="shared" si="37"/>
        <v>0</v>
      </c>
      <c r="BB63" s="92">
        <f t="shared" si="37"/>
        <v>0</v>
      </c>
      <c r="BC63" s="92">
        <f t="shared" si="37"/>
        <v>0</v>
      </c>
      <c r="BD63" s="92">
        <f t="shared" si="37"/>
        <v>0</v>
      </c>
      <c r="BE63" s="92">
        <f t="shared" si="37"/>
        <v>0</v>
      </c>
      <c r="BF63" s="92">
        <f t="shared" si="37"/>
        <v>0</v>
      </c>
      <c r="BG63" s="92">
        <f t="shared" si="37"/>
        <v>0</v>
      </c>
      <c r="BH63" s="92">
        <f t="shared" si="37"/>
        <v>0</v>
      </c>
      <c r="BI63" s="92">
        <f t="shared" si="37"/>
        <v>0</v>
      </c>
      <c r="BJ63" s="92">
        <f t="shared" si="37"/>
        <v>0</v>
      </c>
      <c r="BK63" s="92">
        <f t="shared" si="37"/>
        <v>0</v>
      </c>
      <c r="BL63" s="190">
        <f t="shared" si="37"/>
        <v>0</v>
      </c>
    </row>
    <row r="64" ht="15.75" customHeight="1">
      <c r="D64" s="57" t="str">
        <f t="shared" si="24"/>
        <v>Apartment Cart</v>
      </c>
      <c r="E64" s="92">
        <f t="shared" ref="E64:BL64" si="38">IF(E$26 = $G21, $E21, 0)</f>
        <v>0</v>
      </c>
      <c r="F64" s="92">
        <f t="shared" si="38"/>
        <v>0</v>
      </c>
      <c r="G64" s="92">
        <f t="shared" si="38"/>
        <v>0</v>
      </c>
      <c r="H64" s="92">
        <f t="shared" si="38"/>
        <v>0</v>
      </c>
      <c r="I64" s="92">
        <f t="shared" si="38"/>
        <v>0</v>
      </c>
      <c r="J64" s="92">
        <f t="shared" si="38"/>
        <v>0</v>
      </c>
      <c r="K64" s="92">
        <f t="shared" si="38"/>
        <v>500000</v>
      </c>
      <c r="L64" s="92">
        <f t="shared" si="38"/>
        <v>0</v>
      </c>
      <c r="M64" s="92">
        <f t="shared" si="38"/>
        <v>0</v>
      </c>
      <c r="N64" s="92">
        <f t="shared" si="38"/>
        <v>0</v>
      </c>
      <c r="O64" s="92">
        <f t="shared" si="38"/>
        <v>0</v>
      </c>
      <c r="P64" s="92">
        <f t="shared" si="38"/>
        <v>0</v>
      </c>
      <c r="Q64" s="92">
        <f t="shared" si="38"/>
        <v>0</v>
      </c>
      <c r="R64" s="92">
        <f t="shared" si="38"/>
        <v>0</v>
      </c>
      <c r="S64" s="92">
        <f t="shared" si="38"/>
        <v>0</v>
      </c>
      <c r="T64" s="92">
        <f t="shared" si="38"/>
        <v>0</v>
      </c>
      <c r="U64" s="92">
        <f t="shared" si="38"/>
        <v>0</v>
      </c>
      <c r="V64" s="92">
        <f t="shared" si="38"/>
        <v>0</v>
      </c>
      <c r="W64" s="92">
        <f t="shared" si="38"/>
        <v>0</v>
      </c>
      <c r="X64" s="92">
        <f t="shared" si="38"/>
        <v>0</v>
      </c>
      <c r="Y64" s="92">
        <f t="shared" si="38"/>
        <v>0</v>
      </c>
      <c r="Z64" s="92">
        <f t="shared" si="38"/>
        <v>0</v>
      </c>
      <c r="AA64" s="92">
        <f t="shared" si="38"/>
        <v>0</v>
      </c>
      <c r="AB64" s="92">
        <f t="shared" si="38"/>
        <v>0</v>
      </c>
      <c r="AC64" s="92">
        <f t="shared" si="38"/>
        <v>0</v>
      </c>
      <c r="AD64" s="92">
        <f t="shared" si="38"/>
        <v>0</v>
      </c>
      <c r="AE64" s="92">
        <f t="shared" si="38"/>
        <v>0</v>
      </c>
      <c r="AF64" s="92">
        <f t="shared" si="38"/>
        <v>0</v>
      </c>
      <c r="AG64" s="92">
        <f t="shared" si="38"/>
        <v>0</v>
      </c>
      <c r="AH64" s="92">
        <f t="shared" si="38"/>
        <v>0</v>
      </c>
      <c r="AI64" s="92">
        <f t="shared" si="38"/>
        <v>0</v>
      </c>
      <c r="AJ64" s="92">
        <f t="shared" si="38"/>
        <v>0</v>
      </c>
      <c r="AK64" s="92">
        <f t="shared" si="38"/>
        <v>0</v>
      </c>
      <c r="AL64" s="92">
        <f t="shared" si="38"/>
        <v>0</v>
      </c>
      <c r="AM64" s="92">
        <f t="shared" si="38"/>
        <v>0</v>
      </c>
      <c r="AN64" s="92">
        <f t="shared" si="38"/>
        <v>0</v>
      </c>
      <c r="AO64" s="92">
        <f t="shared" si="38"/>
        <v>0</v>
      </c>
      <c r="AP64" s="92">
        <f t="shared" si="38"/>
        <v>0</v>
      </c>
      <c r="AQ64" s="92">
        <f t="shared" si="38"/>
        <v>0</v>
      </c>
      <c r="AR64" s="92">
        <f t="shared" si="38"/>
        <v>0</v>
      </c>
      <c r="AS64" s="92">
        <f t="shared" si="38"/>
        <v>0</v>
      </c>
      <c r="AT64" s="92">
        <f t="shared" si="38"/>
        <v>0</v>
      </c>
      <c r="AU64" s="92">
        <f t="shared" si="38"/>
        <v>0</v>
      </c>
      <c r="AV64" s="92">
        <f t="shared" si="38"/>
        <v>0</v>
      </c>
      <c r="AW64" s="92">
        <f t="shared" si="38"/>
        <v>0</v>
      </c>
      <c r="AX64" s="92">
        <f t="shared" si="38"/>
        <v>0</v>
      </c>
      <c r="AY64" s="92">
        <f t="shared" si="38"/>
        <v>0</v>
      </c>
      <c r="AZ64" s="92">
        <f t="shared" si="38"/>
        <v>0</v>
      </c>
      <c r="BA64" s="92">
        <f t="shared" si="38"/>
        <v>0</v>
      </c>
      <c r="BB64" s="92">
        <f t="shared" si="38"/>
        <v>0</v>
      </c>
      <c r="BC64" s="92">
        <f t="shared" si="38"/>
        <v>0</v>
      </c>
      <c r="BD64" s="92">
        <f t="shared" si="38"/>
        <v>0</v>
      </c>
      <c r="BE64" s="92">
        <f t="shared" si="38"/>
        <v>0</v>
      </c>
      <c r="BF64" s="92">
        <f t="shared" si="38"/>
        <v>0</v>
      </c>
      <c r="BG64" s="92">
        <f t="shared" si="38"/>
        <v>0</v>
      </c>
      <c r="BH64" s="92">
        <f t="shared" si="38"/>
        <v>0</v>
      </c>
      <c r="BI64" s="92">
        <f t="shared" si="38"/>
        <v>0</v>
      </c>
      <c r="BJ64" s="92">
        <f t="shared" si="38"/>
        <v>0</v>
      </c>
      <c r="BK64" s="92">
        <f t="shared" si="38"/>
        <v>0</v>
      </c>
      <c r="BL64" s="190">
        <f t="shared" si="38"/>
        <v>0</v>
      </c>
    </row>
    <row r="65" ht="15.75" customHeight="1">
      <c r="D65" s="57" t="str">
        <f t="shared" si="24"/>
        <v>Livestock Batch 2</v>
      </c>
      <c r="E65" s="92">
        <f t="shared" ref="E65:BL65" si="39">IF(E$26 = $G22, $E22, 0)</f>
        <v>0</v>
      </c>
      <c r="F65" s="92">
        <f t="shared" si="39"/>
        <v>0</v>
      </c>
      <c r="G65" s="92">
        <f t="shared" si="39"/>
        <v>0</v>
      </c>
      <c r="H65" s="92">
        <f t="shared" si="39"/>
        <v>0</v>
      </c>
      <c r="I65" s="92">
        <f t="shared" si="39"/>
        <v>0</v>
      </c>
      <c r="J65" s="92">
        <f t="shared" si="39"/>
        <v>0</v>
      </c>
      <c r="K65" s="92">
        <f t="shared" si="39"/>
        <v>0</v>
      </c>
      <c r="L65" s="92">
        <f t="shared" si="39"/>
        <v>0</v>
      </c>
      <c r="M65" s="92">
        <f t="shared" si="39"/>
        <v>0</v>
      </c>
      <c r="N65" s="92">
        <f t="shared" si="39"/>
        <v>0</v>
      </c>
      <c r="O65" s="92">
        <f t="shared" si="39"/>
        <v>0</v>
      </c>
      <c r="P65" s="92">
        <f t="shared" si="39"/>
        <v>0</v>
      </c>
      <c r="Q65" s="92">
        <f t="shared" si="39"/>
        <v>0</v>
      </c>
      <c r="R65" s="92">
        <f t="shared" si="39"/>
        <v>0</v>
      </c>
      <c r="S65" s="92">
        <f t="shared" si="39"/>
        <v>0</v>
      </c>
      <c r="T65" s="92">
        <f t="shared" si="39"/>
        <v>0</v>
      </c>
      <c r="U65" s="92">
        <f t="shared" si="39"/>
        <v>0</v>
      </c>
      <c r="V65" s="92">
        <f t="shared" si="39"/>
        <v>0</v>
      </c>
      <c r="W65" s="92">
        <f t="shared" si="39"/>
        <v>0</v>
      </c>
      <c r="X65" s="92">
        <f t="shared" si="39"/>
        <v>0</v>
      </c>
      <c r="Y65" s="92">
        <f t="shared" si="39"/>
        <v>0</v>
      </c>
      <c r="Z65" s="92">
        <f t="shared" si="39"/>
        <v>0</v>
      </c>
      <c r="AA65" s="92">
        <f t="shared" si="39"/>
        <v>0</v>
      </c>
      <c r="AB65" s="92">
        <f t="shared" si="39"/>
        <v>0</v>
      </c>
      <c r="AC65" s="92">
        <f t="shared" si="39"/>
        <v>27000000</v>
      </c>
      <c r="AD65" s="92">
        <f t="shared" si="39"/>
        <v>0</v>
      </c>
      <c r="AE65" s="92">
        <f t="shared" si="39"/>
        <v>0</v>
      </c>
      <c r="AF65" s="92">
        <f t="shared" si="39"/>
        <v>0</v>
      </c>
      <c r="AG65" s="92">
        <f t="shared" si="39"/>
        <v>0</v>
      </c>
      <c r="AH65" s="92">
        <f t="shared" si="39"/>
        <v>0</v>
      </c>
      <c r="AI65" s="92">
        <f t="shared" si="39"/>
        <v>0</v>
      </c>
      <c r="AJ65" s="92">
        <f t="shared" si="39"/>
        <v>0</v>
      </c>
      <c r="AK65" s="92">
        <f t="shared" si="39"/>
        <v>0</v>
      </c>
      <c r="AL65" s="92">
        <f t="shared" si="39"/>
        <v>0</v>
      </c>
      <c r="AM65" s="92">
        <f t="shared" si="39"/>
        <v>0</v>
      </c>
      <c r="AN65" s="92">
        <f t="shared" si="39"/>
        <v>0</v>
      </c>
      <c r="AO65" s="92">
        <f t="shared" si="39"/>
        <v>0</v>
      </c>
      <c r="AP65" s="92">
        <f t="shared" si="39"/>
        <v>0</v>
      </c>
      <c r="AQ65" s="92">
        <f t="shared" si="39"/>
        <v>0</v>
      </c>
      <c r="AR65" s="92">
        <f t="shared" si="39"/>
        <v>0</v>
      </c>
      <c r="AS65" s="92">
        <f t="shared" si="39"/>
        <v>0</v>
      </c>
      <c r="AT65" s="92">
        <f t="shared" si="39"/>
        <v>0</v>
      </c>
      <c r="AU65" s="92">
        <f t="shared" si="39"/>
        <v>0</v>
      </c>
      <c r="AV65" s="92">
        <f t="shared" si="39"/>
        <v>0</v>
      </c>
      <c r="AW65" s="92">
        <f t="shared" si="39"/>
        <v>0</v>
      </c>
      <c r="AX65" s="92">
        <f t="shared" si="39"/>
        <v>0</v>
      </c>
      <c r="AY65" s="92">
        <f t="shared" si="39"/>
        <v>0</v>
      </c>
      <c r="AZ65" s="92">
        <f t="shared" si="39"/>
        <v>0</v>
      </c>
      <c r="BA65" s="92">
        <f t="shared" si="39"/>
        <v>0</v>
      </c>
      <c r="BB65" s="92">
        <f t="shared" si="39"/>
        <v>0</v>
      </c>
      <c r="BC65" s="92">
        <f t="shared" si="39"/>
        <v>0</v>
      </c>
      <c r="BD65" s="92">
        <f t="shared" si="39"/>
        <v>0</v>
      </c>
      <c r="BE65" s="92">
        <f t="shared" si="39"/>
        <v>0</v>
      </c>
      <c r="BF65" s="92">
        <f t="shared" si="39"/>
        <v>0</v>
      </c>
      <c r="BG65" s="92">
        <f t="shared" si="39"/>
        <v>0</v>
      </c>
      <c r="BH65" s="92">
        <f t="shared" si="39"/>
        <v>0</v>
      </c>
      <c r="BI65" s="92">
        <f t="shared" si="39"/>
        <v>0</v>
      </c>
      <c r="BJ65" s="92">
        <f t="shared" si="39"/>
        <v>0</v>
      </c>
      <c r="BK65" s="92">
        <f t="shared" si="39"/>
        <v>0</v>
      </c>
      <c r="BL65" s="190">
        <f t="shared" si="39"/>
        <v>0</v>
      </c>
    </row>
    <row r="66" ht="15.75" customHeight="1">
      <c r="D66" s="57" t="str">
        <f t="shared" si="24"/>
        <v>Transport Vehicles Batch 2</v>
      </c>
      <c r="E66" s="92">
        <f t="shared" ref="E66:BL66" si="40">IF(E$26 = $G23, $E23, 0)</f>
        <v>0</v>
      </c>
      <c r="F66" s="92">
        <f t="shared" si="40"/>
        <v>0</v>
      </c>
      <c r="G66" s="92">
        <f t="shared" si="40"/>
        <v>0</v>
      </c>
      <c r="H66" s="92">
        <f t="shared" si="40"/>
        <v>0</v>
      </c>
      <c r="I66" s="92">
        <f t="shared" si="40"/>
        <v>0</v>
      </c>
      <c r="J66" s="92">
        <f t="shared" si="40"/>
        <v>0</v>
      </c>
      <c r="K66" s="92">
        <f t="shared" si="40"/>
        <v>0</v>
      </c>
      <c r="L66" s="92">
        <f t="shared" si="40"/>
        <v>0</v>
      </c>
      <c r="M66" s="92">
        <f t="shared" si="40"/>
        <v>0</v>
      </c>
      <c r="N66" s="92">
        <f t="shared" si="40"/>
        <v>0</v>
      </c>
      <c r="O66" s="92">
        <f t="shared" si="40"/>
        <v>0</v>
      </c>
      <c r="P66" s="92">
        <f t="shared" si="40"/>
        <v>5000000</v>
      </c>
      <c r="Q66" s="92">
        <f t="shared" si="40"/>
        <v>0</v>
      </c>
      <c r="R66" s="92">
        <f t="shared" si="40"/>
        <v>0</v>
      </c>
      <c r="S66" s="92">
        <f t="shared" si="40"/>
        <v>0</v>
      </c>
      <c r="T66" s="92">
        <f t="shared" si="40"/>
        <v>0</v>
      </c>
      <c r="U66" s="92">
        <f t="shared" si="40"/>
        <v>0</v>
      </c>
      <c r="V66" s="92">
        <f t="shared" si="40"/>
        <v>0</v>
      </c>
      <c r="W66" s="92">
        <f t="shared" si="40"/>
        <v>0</v>
      </c>
      <c r="X66" s="92">
        <f t="shared" si="40"/>
        <v>0</v>
      </c>
      <c r="Y66" s="92">
        <f t="shared" si="40"/>
        <v>0</v>
      </c>
      <c r="Z66" s="92">
        <f t="shared" si="40"/>
        <v>0</v>
      </c>
      <c r="AA66" s="92">
        <f t="shared" si="40"/>
        <v>0</v>
      </c>
      <c r="AB66" s="92">
        <f t="shared" si="40"/>
        <v>0</v>
      </c>
      <c r="AC66" s="92">
        <f t="shared" si="40"/>
        <v>0</v>
      </c>
      <c r="AD66" s="92">
        <f t="shared" si="40"/>
        <v>0</v>
      </c>
      <c r="AE66" s="92">
        <f t="shared" si="40"/>
        <v>0</v>
      </c>
      <c r="AF66" s="92">
        <f t="shared" si="40"/>
        <v>0</v>
      </c>
      <c r="AG66" s="92">
        <f t="shared" si="40"/>
        <v>0</v>
      </c>
      <c r="AH66" s="92">
        <f t="shared" si="40"/>
        <v>0</v>
      </c>
      <c r="AI66" s="92">
        <f t="shared" si="40"/>
        <v>0</v>
      </c>
      <c r="AJ66" s="92">
        <f t="shared" si="40"/>
        <v>0</v>
      </c>
      <c r="AK66" s="92">
        <f t="shared" si="40"/>
        <v>0</v>
      </c>
      <c r="AL66" s="92">
        <f t="shared" si="40"/>
        <v>0</v>
      </c>
      <c r="AM66" s="92">
        <f t="shared" si="40"/>
        <v>0</v>
      </c>
      <c r="AN66" s="92">
        <f t="shared" si="40"/>
        <v>0</v>
      </c>
      <c r="AO66" s="92">
        <f t="shared" si="40"/>
        <v>0</v>
      </c>
      <c r="AP66" s="92">
        <f t="shared" si="40"/>
        <v>0</v>
      </c>
      <c r="AQ66" s="92">
        <f t="shared" si="40"/>
        <v>0</v>
      </c>
      <c r="AR66" s="92">
        <f t="shared" si="40"/>
        <v>0</v>
      </c>
      <c r="AS66" s="92">
        <f t="shared" si="40"/>
        <v>0</v>
      </c>
      <c r="AT66" s="92">
        <f t="shared" si="40"/>
        <v>0</v>
      </c>
      <c r="AU66" s="92">
        <f t="shared" si="40"/>
        <v>0</v>
      </c>
      <c r="AV66" s="92">
        <f t="shared" si="40"/>
        <v>0</v>
      </c>
      <c r="AW66" s="92">
        <f t="shared" si="40"/>
        <v>0</v>
      </c>
      <c r="AX66" s="92">
        <f t="shared" si="40"/>
        <v>0</v>
      </c>
      <c r="AY66" s="92">
        <f t="shared" si="40"/>
        <v>0</v>
      </c>
      <c r="AZ66" s="92">
        <f t="shared" si="40"/>
        <v>0</v>
      </c>
      <c r="BA66" s="92">
        <f t="shared" si="40"/>
        <v>0</v>
      </c>
      <c r="BB66" s="92">
        <f t="shared" si="40"/>
        <v>0</v>
      </c>
      <c r="BC66" s="92">
        <f t="shared" si="40"/>
        <v>0</v>
      </c>
      <c r="BD66" s="92">
        <f t="shared" si="40"/>
        <v>0</v>
      </c>
      <c r="BE66" s="92">
        <f t="shared" si="40"/>
        <v>0</v>
      </c>
      <c r="BF66" s="92">
        <f t="shared" si="40"/>
        <v>0</v>
      </c>
      <c r="BG66" s="92">
        <f t="shared" si="40"/>
        <v>0</v>
      </c>
      <c r="BH66" s="92">
        <f t="shared" si="40"/>
        <v>0</v>
      </c>
      <c r="BI66" s="92">
        <f t="shared" si="40"/>
        <v>0</v>
      </c>
      <c r="BJ66" s="92">
        <f t="shared" si="40"/>
        <v>0</v>
      </c>
      <c r="BK66" s="92">
        <f t="shared" si="40"/>
        <v>0</v>
      </c>
      <c r="BL66" s="190">
        <f t="shared" si="40"/>
        <v>0</v>
      </c>
    </row>
    <row r="67" ht="15.75" customHeight="1">
      <c r="A67" s="66"/>
      <c r="B67" s="66"/>
      <c r="C67" s="66"/>
      <c r="D67" s="57" t="str">
        <f t="shared" si="24"/>
        <v>Shed Construction 2</v>
      </c>
      <c r="E67" s="92">
        <f t="shared" ref="E67:BL67" si="41">IF(E$26 = $G24, $E24, 0)</f>
        <v>0</v>
      </c>
      <c r="F67" s="92">
        <f t="shared" si="41"/>
        <v>0</v>
      </c>
      <c r="G67" s="92">
        <f t="shared" si="41"/>
        <v>0</v>
      </c>
      <c r="H67" s="92">
        <f t="shared" si="41"/>
        <v>0</v>
      </c>
      <c r="I67" s="92">
        <f t="shared" si="41"/>
        <v>0</v>
      </c>
      <c r="J67" s="92">
        <f t="shared" si="41"/>
        <v>0</v>
      </c>
      <c r="K67" s="92">
        <f t="shared" si="41"/>
        <v>0</v>
      </c>
      <c r="L67" s="92">
        <f t="shared" si="41"/>
        <v>0</v>
      </c>
      <c r="M67" s="92">
        <f t="shared" si="41"/>
        <v>0</v>
      </c>
      <c r="N67" s="92">
        <f t="shared" si="41"/>
        <v>0</v>
      </c>
      <c r="O67" s="92">
        <f t="shared" si="41"/>
        <v>0</v>
      </c>
      <c r="P67" s="92">
        <f t="shared" si="41"/>
        <v>0</v>
      </c>
      <c r="Q67" s="92">
        <f t="shared" si="41"/>
        <v>0</v>
      </c>
      <c r="R67" s="92">
        <f t="shared" si="41"/>
        <v>0</v>
      </c>
      <c r="S67" s="92">
        <f t="shared" si="41"/>
        <v>0</v>
      </c>
      <c r="T67" s="92">
        <f t="shared" si="41"/>
        <v>0</v>
      </c>
      <c r="U67" s="92">
        <f t="shared" si="41"/>
        <v>0</v>
      </c>
      <c r="V67" s="92">
        <f t="shared" si="41"/>
        <v>0</v>
      </c>
      <c r="W67" s="92">
        <f t="shared" si="41"/>
        <v>0</v>
      </c>
      <c r="X67" s="92">
        <f t="shared" si="41"/>
        <v>0</v>
      </c>
      <c r="Y67" s="92">
        <f t="shared" si="41"/>
        <v>0</v>
      </c>
      <c r="Z67" s="92">
        <f t="shared" si="41"/>
        <v>0</v>
      </c>
      <c r="AA67" s="92">
        <f t="shared" si="41"/>
        <v>0</v>
      </c>
      <c r="AB67" s="92">
        <f t="shared" si="41"/>
        <v>0</v>
      </c>
      <c r="AC67" s="92">
        <f t="shared" si="41"/>
        <v>0</v>
      </c>
      <c r="AD67" s="92">
        <f t="shared" si="41"/>
        <v>0</v>
      </c>
      <c r="AE67" s="92">
        <f t="shared" si="41"/>
        <v>0</v>
      </c>
      <c r="AF67" s="92">
        <f t="shared" si="41"/>
        <v>0</v>
      </c>
      <c r="AG67" s="92">
        <f t="shared" si="41"/>
        <v>0</v>
      </c>
      <c r="AH67" s="92">
        <f t="shared" si="41"/>
        <v>5000000</v>
      </c>
      <c r="AI67" s="92">
        <f t="shared" si="41"/>
        <v>0</v>
      </c>
      <c r="AJ67" s="92">
        <f t="shared" si="41"/>
        <v>0</v>
      </c>
      <c r="AK67" s="92">
        <f t="shared" si="41"/>
        <v>0</v>
      </c>
      <c r="AL67" s="92">
        <f t="shared" si="41"/>
        <v>0</v>
      </c>
      <c r="AM67" s="92">
        <f t="shared" si="41"/>
        <v>0</v>
      </c>
      <c r="AN67" s="92">
        <f t="shared" si="41"/>
        <v>0</v>
      </c>
      <c r="AO67" s="92">
        <f t="shared" si="41"/>
        <v>0</v>
      </c>
      <c r="AP67" s="92">
        <f t="shared" si="41"/>
        <v>0</v>
      </c>
      <c r="AQ67" s="92">
        <f t="shared" si="41"/>
        <v>0</v>
      </c>
      <c r="AR67" s="92">
        <f t="shared" si="41"/>
        <v>0</v>
      </c>
      <c r="AS67" s="92">
        <f t="shared" si="41"/>
        <v>0</v>
      </c>
      <c r="AT67" s="92">
        <f t="shared" si="41"/>
        <v>0</v>
      </c>
      <c r="AU67" s="92">
        <f t="shared" si="41"/>
        <v>0</v>
      </c>
      <c r="AV67" s="92">
        <f t="shared" si="41"/>
        <v>0</v>
      </c>
      <c r="AW67" s="92">
        <f t="shared" si="41"/>
        <v>0</v>
      </c>
      <c r="AX67" s="92">
        <f t="shared" si="41"/>
        <v>0</v>
      </c>
      <c r="AY67" s="92">
        <f t="shared" si="41"/>
        <v>0</v>
      </c>
      <c r="AZ67" s="92">
        <f t="shared" si="41"/>
        <v>0</v>
      </c>
      <c r="BA67" s="92">
        <f t="shared" si="41"/>
        <v>0</v>
      </c>
      <c r="BB67" s="92">
        <f t="shared" si="41"/>
        <v>0</v>
      </c>
      <c r="BC67" s="92">
        <f t="shared" si="41"/>
        <v>0</v>
      </c>
      <c r="BD67" s="92">
        <f t="shared" si="41"/>
        <v>0</v>
      </c>
      <c r="BE67" s="92">
        <f t="shared" si="41"/>
        <v>0</v>
      </c>
      <c r="BF67" s="92">
        <f t="shared" si="41"/>
        <v>0</v>
      </c>
      <c r="BG67" s="92">
        <f t="shared" si="41"/>
        <v>0</v>
      </c>
      <c r="BH67" s="92">
        <f t="shared" si="41"/>
        <v>0</v>
      </c>
      <c r="BI67" s="92">
        <f t="shared" si="41"/>
        <v>0</v>
      </c>
      <c r="BJ67" s="92">
        <f t="shared" si="41"/>
        <v>0</v>
      </c>
      <c r="BK67" s="92">
        <f t="shared" si="41"/>
        <v>0</v>
      </c>
      <c r="BL67" s="92">
        <f t="shared" si="41"/>
        <v>0</v>
      </c>
    </row>
    <row r="68" ht="15.75" customHeight="1">
      <c r="A68" s="66"/>
      <c r="B68" s="66"/>
      <c r="C68" s="66"/>
      <c r="D68" s="192" t="s">
        <v>241</v>
      </c>
      <c r="E68" s="193">
        <f t="shared" ref="E68:BL68" si="42">SUM(E50:E67)</f>
        <v>57500000</v>
      </c>
      <c r="F68" s="193">
        <f t="shared" si="42"/>
        <v>16764000</v>
      </c>
      <c r="G68" s="193">
        <f t="shared" si="42"/>
        <v>20000000</v>
      </c>
      <c r="H68" s="193">
        <f t="shared" si="42"/>
        <v>0</v>
      </c>
      <c r="I68" s="193">
        <f t="shared" si="42"/>
        <v>76736000</v>
      </c>
      <c r="J68" s="193">
        <f t="shared" si="42"/>
        <v>20500000</v>
      </c>
      <c r="K68" s="193">
        <f t="shared" si="42"/>
        <v>70500000</v>
      </c>
      <c r="L68" s="193">
        <f t="shared" si="42"/>
        <v>0</v>
      </c>
      <c r="M68" s="193">
        <f t="shared" si="42"/>
        <v>0</v>
      </c>
      <c r="N68" s="193">
        <f t="shared" si="42"/>
        <v>0</v>
      </c>
      <c r="O68" s="193">
        <f t="shared" si="42"/>
        <v>0</v>
      </c>
      <c r="P68" s="193">
        <f t="shared" si="42"/>
        <v>5000000</v>
      </c>
      <c r="Q68" s="193">
        <f t="shared" si="42"/>
        <v>0</v>
      </c>
      <c r="R68" s="193">
        <f t="shared" si="42"/>
        <v>0</v>
      </c>
      <c r="S68" s="193">
        <f t="shared" si="42"/>
        <v>0</v>
      </c>
      <c r="T68" s="193">
        <f t="shared" si="42"/>
        <v>0</v>
      </c>
      <c r="U68" s="193">
        <f t="shared" si="42"/>
        <v>0</v>
      </c>
      <c r="V68" s="193">
        <f t="shared" si="42"/>
        <v>0</v>
      </c>
      <c r="W68" s="193">
        <f t="shared" si="42"/>
        <v>0</v>
      </c>
      <c r="X68" s="193">
        <f t="shared" si="42"/>
        <v>0</v>
      </c>
      <c r="Y68" s="193">
        <f t="shared" si="42"/>
        <v>0</v>
      </c>
      <c r="Z68" s="193">
        <f t="shared" si="42"/>
        <v>0</v>
      </c>
      <c r="AA68" s="193">
        <f t="shared" si="42"/>
        <v>0</v>
      </c>
      <c r="AB68" s="193">
        <f t="shared" si="42"/>
        <v>0</v>
      </c>
      <c r="AC68" s="193">
        <f t="shared" si="42"/>
        <v>27000000</v>
      </c>
      <c r="AD68" s="193">
        <f t="shared" si="42"/>
        <v>0</v>
      </c>
      <c r="AE68" s="193">
        <f t="shared" si="42"/>
        <v>0</v>
      </c>
      <c r="AF68" s="193">
        <f t="shared" si="42"/>
        <v>0</v>
      </c>
      <c r="AG68" s="193">
        <f t="shared" si="42"/>
        <v>0</v>
      </c>
      <c r="AH68" s="193">
        <f t="shared" si="42"/>
        <v>5000000</v>
      </c>
      <c r="AI68" s="193">
        <f t="shared" si="42"/>
        <v>0</v>
      </c>
      <c r="AJ68" s="193">
        <f t="shared" si="42"/>
        <v>0</v>
      </c>
      <c r="AK68" s="193">
        <f t="shared" si="42"/>
        <v>0</v>
      </c>
      <c r="AL68" s="193">
        <f t="shared" si="42"/>
        <v>0</v>
      </c>
      <c r="AM68" s="193">
        <f t="shared" si="42"/>
        <v>0</v>
      </c>
      <c r="AN68" s="193">
        <f t="shared" si="42"/>
        <v>0</v>
      </c>
      <c r="AO68" s="193">
        <f t="shared" si="42"/>
        <v>0</v>
      </c>
      <c r="AP68" s="193">
        <f t="shared" si="42"/>
        <v>0</v>
      </c>
      <c r="AQ68" s="193">
        <f t="shared" si="42"/>
        <v>0</v>
      </c>
      <c r="AR68" s="193">
        <f t="shared" si="42"/>
        <v>0</v>
      </c>
      <c r="AS68" s="193">
        <f t="shared" si="42"/>
        <v>0</v>
      </c>
      <c r="AT68" s="193">
        <f t="shared" si="42"/>
        <v>0</v>
      </c>
      <c r="AU68" s="193">
        <f t="shared" si="42"/>
        <v>0</v>
      </c>
      <c r="AV68" s="193">
        <f t="shared" si="42"/>
        <v>0</v>
      </c>
      <c r="AW68" s="193">
        <f t="shared" si="42"/>
        <v>0</v>
      </c>
      <c r="AX68" s="193">
        <f t="shared" si="42"/>
        <v>0</v>
      </c>
      <c r="AY68" s="193">
        <f t="shared" si="42"/>
        <v>0</v>
      </c>
      <c r="AZ68" s="193">
        <f t="shared" si="42"/>
        <v>0</v>
      </c>
      <c r="BA68" s="193">
        <f t="shared" si="42"/>
        <v>0</v>
      </c>
      <c r="BB68" s="193">
        <f t="shared" si="42"/>
        <v>0</v>
      </c>
      <c r="BC68" s="193">
        <f t="shared" si="42"/>
        <v>0</v>
      </c>
      <c r="BD68" s="193">
        <f t="shared" si="42"/>
        <v>0</v>
      </c>
      <c r="BE68" s="193">
        <f t="shared" si="42"/>
        <v>0</v>
      </c>
      <c r="BF68" s="193">
        <f t="shared" si="42"/>
        <v>0</v>
      </c>
      <c r="BG68" s="193">
        <f t="shared" si="42"/>
        <v>0</v>
      </c>
      <c r="BH68" s="193">
        <f t="shared" si="42"/>
        <v>0</v>
      </c>
      <c r="BI68" s="193">
        <f t="shared" si="42"/>
        <v>0</v>
      </c>
      <c r="BJ68" s="193">
        <f t="shared" si="42"/>
        <v>0</v>
      </c>
      <c r="BK68" s="193">
        <f t="shared" si="42"/>
        <v>0</v>
      </c>
      <c r="BL68" s="193">
        <f t="shared" si="42"/>
        <v>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5.63"/>
    <col customWidth="1" min="4" max="4" width="20.75"/>
    <col customWidth="1" min="5" max="8" width="12.88"/>
    <col customWidth="1" min="9" max="10" width="14.5"/>
    <col customWidth="1" min="11" max="64" width="15.5"/>
  </cols>
  <sheetData>
    <row r="1">
      <c r="A1" s="111" t="str">
        <f>COVER!$B$12</f>
        <v>Narayan Dairy Project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ht="15.75" customHeight="1">
      <c r="A2" s="112" t="s">
        <v>242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4" ht="15.75" customHeight="1">
      <c r="A4" s="64"/>
      <c r="B4" s="64"/>
      <c r="C4" s="64"/>
      <c r="D4" s="114" t="s">
        <v>127</v>
      </c>
      <c r="E4" s="115">
        <v>1.0</v>
      </c>
      <c r="F4" s="115">
        <f t="shared" ref="F4:BL4" si="1">E4+1</f>
        <v>2</v>
      </c>
      <c r="G4" s="115">
        <f t="shared" si="1"/>
        <v>3</v>
      </c>
      <c r="H4" s="115">
        <f t="shared" si="1"/>
        <v>4</v>
      </c>
      <c r="I4" s="115">
        <f t="shared" si="1"/>
        <v>5</v>
      </c>
      <c r="J4" s="115">
        <f t="shared" si="1"/>
        <v>6</v>
      </c>
      <c r="K4" s="115">
        <f t="shared" si="1"/>
        <v>7</v>
      </c>
      <c r="L4" s="115">
        <f t="shared" si="1"/>
        <v>8</v>
      </c>
      <c r="M4" s="115">
        <f t="shared" si="1"/>
        <v>9</v>
      </c>
      <c r="N4" s="115">
        <f t="shared" si="1"/>
        <v>10</v>
      </c>
      <c r="O4" s="115">
        <f t="shared" si="1"/>
        <v>11</v>
      </c>
      <c r="P4" s="115">
        <f t="shared" si="1"/>
        <v>12</v>
      </c>
      <c r="Q4" s="115">
        <f t="shared" si="1"/>
        <v>13</v>
      </c>
      <c r="R4" s="115">
        <f t="shared" si="1"/>
        <v>14</v>
      </c>
      <c r="S4" s="115">
        <f t="shared" si="1"/>
        <v>15</v>
      </c>
      <c r="T4" s="115">
        <f t="shared" si="1"/>
        <v>16</v>
      </c>
      <c r="U4" s="115">
        <f t="shared" si="1"/>
        <v>17</v>
      </c>
      <c r="V4" s="115">
        <f t="shared" si="1"/>
        <v>18</v>
      </c>
      <c r="W4" s="115">
        <f t="shared" si="1"/>
        <v>19</v>
      </c>
      <c r="X4" s="115">
        <f t="shared" si="1"/>
        <v>20</v>
      </c>
      <c r="Y4" s="115">
        <f t="shared" si="1"/>
        <v>21</v>
      </c>
      <c r="Z4" s="115">
        <f t="shared" si="1"/>
        <v>22</v>
      </c>
      <c r="AA4" s="115">
        <f t="shared" si="1"/>
        <v>23</v>
      </c>
      <c r="AB4" s="115">
        <f t="shared" si="1"/>
        <v>24</v>
      </c>
      <c r="AC4" s="115">
        <f t="shared" si="1"/>
        <v>25</v>
      </c>
      <c r="AD4" s="115">
        <f t="shared" si="1"/>
        <v>26</v>
      </c>
      <c r="AE4" s="115">
        <f t="shared" si="1"/>
        <v>27</v>
      </c>
      <c r="AF4" s="115">
        <f t="shared" si="1"/>
        <v>28</v>
      </c>
      <c r="AG4" s="115">
        <f t="shared" si="1"/>
        <v>29</v>
      </c>
      <c r="AH4" s="115">
        <f t="shared" si="1"/>
        <v>30</v>
      </c>
      <c r="AI4" s="115">
        <f t="shared" si="1"/>
        <v>31</v>
      </c>
      <c r="AJ4" s="115">
        <f t="shared" si="1"/>
        <v>32</v>
      </c>
      <c r="AK4" s="115">
        <f t="shared" si="1"/>
        <v>33</v>
      </c>
      <c r="AL4" s="115">
        <f t="shared" si="1"/>
        <v>34</v>
      </c>
      <c r="AM4" s="115">
        <f t="shared" si="1"/>
        <v>35</v>
      </c>
      <c r="AN4" s="115">
        <f t="shared" si="1"/>
        <v>36</v>
      </c>
      <c r="AO4" s="115">
        <f t="shared" si="1"/>
        <v>37</v>
      </c>
      <c r="AP4" s="115">
        <f t="shared" si="1"/>
        <v>38</v>
      </c>
      <c r="AQ4" s="115">
        <f t="shared" si="1"/>
        <v>39</v>
      </c>
      <c r="AR4" s="115">
        <f t="shared" si="1"/>
        <v>40</v>
      </c>
      <c r="AS4" s="115">
        <f t="shared" si="1"/>
        <v>41</v>
      </c>
      <c r="AT4" s="115">
        <f t="shared" si="1"/>
        <v>42</v>
      </c>
      <c r="AU4" s="115">
        <f t="shared" si="1"/>
        <v>43</v>
      </c>
      <c r="AV4" s="115">
        <f t="shared" si="1"/>
        <v>44</v>
      </c>
      <c r="AW4" s="115">
        <f t="shared" si="1"/>
        <v>45</v>
      </c>
      <c r="AX4" s="115">
        <f t="shared" si="1"/>
        <v>46</v>
      </c>
      <c r="AY4" s="115">
        <f t="shared" si="1"/>
        <v>47</v>
      </c>
      <c r="AZ4" s="115">
        <f t="shared" si="1"/>
        <v>48</v>
      </c>
      <c r="BA4" s="115">
        <f t="shared" si="1"/>
        <v>49</v>
      </c>
      <c r="BB4" s="115">
        <f t="shared" si="1"/>
        <v>50</v>
      </c>
      <c r="BC4" s="115">
        <f t="shared" si="1"/>
        <v>51</v>
      </c>
      <c r="BD4" s="115">
        <f t="shared" si="1"/>
        <v>52</v>
      </c>
      <c r="BE4" s="115">
        <f t="shared" si="1"/>
        <v>53</v>
      </c>
      <c r="BF4" s="115">
        <f t="shared" si="1"/>
        <v>54</v>
      </c>
      <c r="BG4" s="115">
        <f t="shared" si="1"/>
        <v>55</v>
      </c>
      <c r="BH4" s="115">
        <f t="shared" si="1"/>
        <v>56</v>
      </c>
      <c r="BI4" s="115">
        <f t="shared" si="1"/>
        <v>57</v>
      </c>
      <c r="BJ4" s="115">
        <f t="shared" si="1"/>
        <v>58</v>
      </c>
      <c r="BK4" s="115">
        <f t="shared" si="1"/>
        <v>59</v>
      </c>
      <c r="BL4" s="116">
        <f t="shared" si="1"/>
        <v>60</v>
      </c>
    </row>
    <row r="5" ht="1.5" customHeight="1">
      <c r="A5" s="64"/>
      <c r="B5" s="64"/>
      <c r="C5" s="64"/>
      <c r="D5" s="11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9"/>
    </row>
    <row r="6" ht="1.5" customHeight="1">
      <c r="A6" s="64"/>
      <c r="B6" s="64"/>
      <c r="C6" s="64"/>
      <c r="D6" s="120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2"/>
    </row>
    <row r="7" ht="15.75" customHeight="1">
      <c r="D7" s="57" t="s">
        <v>243</v>
      </c>
      <c r="E7" s="153">
        <f>'PRODUCT PRICING &amp; REVENUE ENGIN'!E58</f>
        <v>0</v>
      </c>
      <c r="F7" s="153">
        <f>'PRODUCT PRICING &amp; REVENUE ENGIN'!F58</f>
        <v>0</v>
      </c>
      <c r="G7" s="153">
        <f>'PRODUCT PRICING &amp; REVENUE ENGIN'!G58</f>
        <v>0</v>
      </c>
      <c r="H7" s="153">
        <f>'PRODUCT PRICING &amp; REVENUE ENGIN'!H58</f>
        <v>0</v>
      </c>
      <c r="I7" s="153">
        <f>'PRODUCT PRICING &amp; REVENUE ENGIN'!I58</f>
        <v>2387024.64</v>
      </c>
      <c r="J7" s="153">
        <f>'PRODUCT PRICING &amp; REVENUE ENGIN'!J58</f>
        <v>4774049.28</v>
      </c>
      <c r="K7" s="153">
        <f>'PRODUCT PRICING &amp; REVENUE ENGIN'!K58</f>
        <v>19546446.24</v>
      </c>
      <c r="L7" s="153">
        <f>'PRODUCT PRICING &amp; REVENUE ENGIN'!L58</f>
        <v>21933470.88</v>
      </c>
      <c r="M7" s="153">
        <f>'PRODUCT PRICING &amp; REVENUE ENGIN'!M58</f>
        <v>24320495.52</v>
      </c>
      <c r="N7" s="153">
        <f>'PRODUCT PRICING &amp; REVENUE ENGIN'!N58</f>
        <v>26707520.16</v>
      </c>
      <c r="O7" s="153">
        <f>'PRODUCT PRICING &amp; REVENUE ENGIN'!O58</f>
        <v>29094544.8</v>
      </c>
      <c r="P7" s="153">
        <f>'PRODUCT PRICING &amp; REVENUE ENGIN'!P58</f>
        <v>31481569.44</v>
      </c>
      <c r="Q7" s="153">
        <f>'PRODUCT PRICING &amp; REVENUE ENGIN'!Q58</f>
        <v>35733958.65</v>
      </c>
      <c r="R7" s="153">
        <f>'PRODUCT PRICING &amp; REVENUE ENGIN'!R58</f>
        <v>38228735.46</v>
      </c>
      <c r="S7" s="153">
        <f>'PRODUCT PRICING &amp; REVENUE ENGIN'!S58</f>
        <v>40723512.27</v>
      </c>
      <c r="T7" s="153">
        <f>'PRODUCT PRICING &amp; REVENUE ENGIN'!T58</f>
        <v>43218289.08</v>
      </c>
      <c r="U7" s="153">
        <f>'PRODUCT PRICING &amp; REVENUE ENGIN'!U58</f>
        <v>45713065.89</v>
      </c>
      <c r="V7" s="153">
        <f>'PRODUCT PRICING &amp; REVENUE ENGIN'!V58</f>
        <v>48207842.7</v>
      </c>
      <c r="W7" s="153">
        <f>'PRODUCT PRICING &amp; REVENUE ENGIN'!W58</f>
        <v>50702619.51</v>
      </c>
      <c r="X7" s="153">
        <f>'PRODUCT PRICING &amp; REVENUE ENGIN'!X58</f>
        <v>53197396.32</v>
      </c>
      <c r="Y7" s="153">
        <f>'PRODUCT PRICING &amp; REVENUE ENGIN'!Y58</f>
        <v>55692173.13</v>
      </c>
      <c r="Z7" s="153">
        <f>'PRODUCT PRICING &amp; REVENUE ENGIN'!Z58</f>
        <v>58186949.94</v>
      </c>
      <c r="AA7" s="153">
        <f>'PRODUCT PRICING &amp; REVENUE ENGIN'!AA58</f>
        <v>60681726.75</v>
      </c>
      <c r="AB7" s="153">
        <f>'PRODUCT PRICING &amp; REVENUE ENGIN'!AB58</f>
        <v>63176503.56</v>
      </c>
      <c r="AC7" s="153">
        <f>'PRODUCT PRICING &amp; REVENUE ENGIN'!AC58</f>
        <v>84481806.73</v>
      </c>
      <c r="AD7" s="153">
        <f>'PRODUCT PRICING &amp; REVENUE ENGIN'!AD58</f>
        <v>87125878.2</v>
      </c>
      <c r="AE7" s="153">
        <f>'PRODUCT PRICING &amp; REVENUE ENGIN'!AE58</f>
        <v>89769949.66</v>
      </c>
      <c r="AF7" s="153">
        <f>'PRODUCT PRICING &amp; REVENUE ENGIN'!AF58</f>
        <v>92414021.12</v>
      </c>
      <c r="AG7" s="153">
        <f>'PRODUCT PRICING &amp; REVENUE ENGIN'!AG58</f>
        <v>95058092.58</v>
      </c>
      <c r="AH7" s="153">
        <f>'PRODUCT PRICING &amp; REVENUE ENGIN'!AH58</f>
        <v>97702164.05</v>
      </c>
      <c r="AI7" s="153">
        <f>'PRODUCT PRICING &amp; REVENUE ENGIN'!AI58</f>
        <v>100346235.5</v>
      </c>
      <c r="AJ7" s="153">
        <f>'PRODUCT PRICING &amp; REVENUE ENGIN'!AJ58</f>
        <v>102990307</v>
      </c>
      <c r="AK7" s="153">
        <f>'PRODUCT PRICING &amp; REVENUE ENGIN'!AK58</f>
        <v>105634378.4</v>
      </c>
      <c r="AL7" s="153">
        <f>'PRODUCT PRICING &amp; REVENUE ENGIN'!AL58</f>
        <v>108278449.9</v>
      </c>
      <c r="AM7" s="153">
        <f>'PRODUCT PRICING &amp; REVENUE ENGIN'!AM58</f>
        <v>110922521.4</v>
      </c>
      <c r="AN7" s="153">
        <f>'PRODUCT PRICING &amp; REVENUE ENGIN'!AN58</f>
        <v>113566592.8</v>
      </c>
      <c r="AO7" s="153">
        <f>'PRODUCT PRICING &amp; REVENUE ENGIN'!AO58</f>
        <v>192598814.2</v>
      </c>
      <c r="AP7" s="153">
        <f>'PRODUCT PRICING &amp; REVENUE ENGIN'!AP58</f>
        <v>200999049.7</v>
      </c>
      <c r="AQ7" s="153">
        <f>'PRODUCT PRICING &amp; REVENUE ENGIN'!AQ58</f>
        <v>209399285.2</v>
      </c>
      <c r="AR7" s="153">
        <f>'PRODUCT PRICING &amp; REVENUE ENGIN'!AR58</f>
        <v>217799520.7</v>
      </c>
      <c r="AS7" s="153">
        <f>'PRODUCT PRICING &amp; REVENUE ENGIN'!AS58</f>
        <v>226199756.2</v>
      </c>
      <c r="AT7" s="153">
        <f>'PRODUCT PRICING &amp; REVENUE ENGIN'!AT58</f>
        <v>234599991.6</v>
      </c>
      <c r="AU7" s="153">
        <f>'PRODUCT PRICING &amp; REVENUE ENGIN'!AU58</f>
        <v>243000227.1</v>
      </c>
      <c r="AV7" s="153">
        <f>'PRODUCT PRICING &amp; REVENUE ENGIN'!AV58</f>
        <v>251400462.6</v>
      </c>
      <c r="AW7" s="153">
        <f>'PRODUCT PRICING &amp; REVENUE ENGIN'!AW58</f>
        <v>251400462.6</v>
      </c>
      <c r="AX7" s="153">
        <f>'PRODUCT PRICING &amp; REVENUE ENGIN'!AX58</f>
        <v>251400462.6</v>
      </c>
      <c r="AY7" s="153">
        <f>'PRODUCT PRICING &amp; REVENUE ENGIN'!AY58</f>
        <v>251400462.6</v>
      </c>
      <c r="AZ7" s="153">
        <f>'PRODUCT PRICING &amp; REVENUE ENGIN'!AZ58</f>
        <v>251400462.6</v>
      </c>
      <c r="BA7" s="153">
        <f>'PRODUCT PRICING &amp; REVENUE ENGIN'!BA58</f>
        <v>280285017.3</v>
      </c>
      <c r="BB7" s="153">
        <f>'PRODUCT PRICING &amp; REVENUE ENGIN'!BB58</f>
        <v>280285017.3</v>
      </c>
      <c r="BC7" s="153">
        <f>'PRODUCT PRICING &amp; REVENUE ENGIN'!BC58</f>
        <v>280285017.3</v>
      </c>
      <c r="BD7" s="153">
        <f>'PRODUCT PRICING &amp; REVENUE ENGIN'!BD58</f>
        <v>280285017.3</v>
      </c>
      <c r="BE7" s="153">
        <f>'PRODUCT PRICING &amp; REVENUE ENGIN'!BE58</f>
        <v>280285017.3</v>
      </c>
      <c r="BF7" s="153">
        <f>'PRODUCT PRICING &amp; REVENUE ENGIN'!BF58</f>
        <v>280285017.3</v>
      </c>
      <c r="BG7" s="153">
        <f>'PRODUCT PRICING &amp; REVENUE ENGIN'!BG58</f>
        <v>280285017.3</v>
      </c>
      <c r="BH7" s="153">
        <f>'PRODUCT PRICING &amp; REVENUE ENGIN'!BH58</f>
        <v>280285017.3</v>
      </c>
      <c r="BI7" s="153">
        <f>'PRODUCT PRICING &amp; REVENUE ENGIN'!BI58</f>
        <v>280285017.3</v>
      </c>
      <c r="BJ7" s="153">
        <f>'PRODUCT PRICING &amp; REVENUE ENGIN'!BJ58</f>
        <v>280285017.3</v>
      </c>
      <c r="BK7" s="153">
        <f>'PRODUCT PRICING &amp; REVENUE ENGIN'!BK58</f>
        <v>280285017.3</v>
      </c>
      <c r="BL7" s="140">
        <f>'PRODUCT PRICING &amp; REVENUE ENGIN'!BL58</f>
        <v>280285017.3</v>
      </c>
    </row>
    <row r="8" ht="15.75" customHeight="1">
      <c r="D8" s="57" t="s">
        <v>71</v>
      </c>
      <c r="E8" s="30">
        <f>ASSUMPTIONS!$H$46</f>
        <v>1</v>
      </c>
      <c r="F8" s="30">
        <f>ASSUMPTIONS!$H$46</f>
        <v>1</v>
      </c>
      <c r="G8" s="30">
        <f>ASSUMPTIONS!$H$46</f>
        <v>1</v>
      </c>
      <c r="H8" s="30">
        <f>ASSUMPTIONS!$H$46</f>
        <v>1</v>
      </c>
      <c r="I8" s="30">
        <f>ASSUMPTIONS!$H$46</f>
        <v>1</v>
      </c>
      <c r="J8" s="30">
        <f>ASSUMPTIONS!$H$46</f>
        <v>1</v>
      </c>
      <c r="K8" s="30">
        <f>ASSUMPTIONS!$H$46</f>
        <v>1</v>
      </c>
      <c r="L8" s="30">
        <f>ASSUMPTIONS!$H$46</f>
        <v>1</v>
      </c>
      <c r="M8" s="30">
        <f>ASSUMPTIONS!$H$46</f>
        <v>1</v>
      </c>
      <c r="N8" s="30">
        <f>ASSUMPTIONS!$H$46</f>
        <v>1</v>
      </c>
      <c r="O8" s="30">
        <f>ASSUMPTIONS!$H$46</f>
        <v>1</v>
      </c>
      <c r="P8" s="30">
        <f>ASSUMPTIONS!$H$46</f>
        <v>1</v>
      </c>
      <c r="Q8" s="30">
        <f>ASSUMPTIONS!$H$46</f>
        <v>1</v>
      </c>
      <c r="R8" s="30">
        <f>ASSUMPTIONS!$H$46</f>
        <v>1</v>
      </c>
      <c r="S8" s="30">
        <f>ASSUMPTIONS!$H$46</f>
        <v>1</v>
      </c>
      <c r="T8" s="30">
        <f>ASSUMPTIONS!$H$46</f>
        <v>1</v>
      </c>
      <c r="U8" s="30">
        <f>ASSUMPTIONS!$H$46</f>
        <v>1</v>
      </c>
      <c r="V8" s="30">
        <f>ASSUMPTIONS!$H$46</f>
        <v>1</v>
      </c>
      <c r="W8" s="30">
        <f>ASSUMPTIONS!$H$46</f>
        <v>1</v>
      </c>
      <c r="X8" s="30">
        <f>ASSUMPTIONS!$H$46</f>
        <v>1</v>
      </c>
      <c r="Y8" s="30">
        <f>ASSUMPTIONS!$H$46</f>
        <v>1</v>
      </c>
      <c r="Z8" s="30">
        <f>ASSUMPTIONS!$H$46</f>
        <v>1</v>
      </c>
      <c r="AA8" s="30">
        <f>ASSUMPTIONS!$H$46</f>
        <v>1</v>
      </c>
      <c r="AB8" s="30">
        <f>ASSUMPTIONS!$H$46</f>
        <v>1</v>
      </c>
      <c r="AC8" s="30">
        <f>ASSUMPTIONS!$H$46</f>
        <v>1</v>
      </c>
      <c r="AD8" s="30">
        <f>ASSUMPTIONS!$H$46</f>
        <v>1</v>
      </c>
      <c r="AE8" s="30">
        <f>ASSUMPTIONS!$H$46</f>
        <v>1</v>
      </c>
      <c r="AF8" s="30">
        <f>ASSUMPTIONS!$H$46</f>
        <v>1</v>
      </c>
      <c r="AG8" s="30">
        <f>ASSUMPTIONS!$H$46</f>
        <v>1</v>
      </c>
      <c r="AH8" s="30">
        <f>ASSUMPTIONS!$H$46</f>
        <v>1</v>
      </c>
      <c r="AI8" s="30">
        <f>ASSUMPTIONS!$H$46</f>
        <v>1</v>
      </c>
      <c r="AJ8" s="30">
        <f>ASSUMPTIONS!$H$46</f>
        <v>1</v>
      </c>
      <c r="AK8" s="30">
        <f>ASSUMPTIONS!$H$46</f>
        <v>1</v>
      </c>
      <c r="AL8" s="30">
        <f>ASSUMPTIONS!$H$46</f>
        <v>1</v>
      </c>
      <c r="AM8" s="30">
        <f>ASSUMPTIONS!$H$46</f>
        <v>1</v>
      </c>
      <c r="AN8" s="30">
        <f>ASSUMPTIONS!$H$46</f>
        <v>1</v>
      </c>
      <c r="AO8" s="30">
        <f>ASSUMPTIONS!$H$46</f>
        <v>1</v>
      </c>
      <c r="AP8" s="30">
        <f>ASSUMPTIONS!$H$46</f>
        <v>1</v>
      </c>
      <c r="AQ8" s="30">
        <f>ASSUMPTIONS!$H$46</f>
        <v>1</v>
      </c>
      <c r="AR8" s="30">
        <f>ASSUMPTIONS!$H$46</f>
        <v>1</v>
      </c>
      <c r="AS8" s="30">
        <f>ASSUMPTIONS!$H$46</f>
        <v>1</v>
      </c>
      <c r="AT8" s="30">
        <f>ASSUMPTIONS!$H$46</f>
        <v>1</v>
      </c>
      <c r="AU8" s="30">
        <f>ASSUMPTIONS!$H$46</f>
        <v>1</v>
      </c>
      <c r="AV8" s="30">
        <f>ASSUMPTIONS!$H$46</f>
        <v>1</v>
      </c>
      <c r="AW8" s="30">
        <f>ASSUMPTIONS!$H$46</f>
        <v>1</v>
      </c>
      <c r="AX8" s="30">
        <f>ASSUMPTIONS!$H$46</f>
        <v>1</v>
      </c>
      <c r="AY8" s="30">
        <f>ASSUMPTIONS!$H$46</f>
        <v>1</v>
      </c>
      <c r="AZ8" s="30">
        <f>ASSUMPTIONS!$H$46</f>
        <v>1</v>
      </c>
      <c r="BA8" s="30">
        <f>ASSUMPTIONS!$H$46</f>
        <v>1</v>
      </c>
      <c r="BB8" s="30">
        <f>ASSUMPTIONS!$H$46</f>
        <v>1</v>
      </c>
      <c r="BC8" s="30">
        <f>ASSUMPTIONS!$H$46</f>
        <v>1</v>
      </c>
      <c r="BD8" s="30">
        <f>ASSUMPTIONS!$H$46</f>
        <v>1</v>
      </c>
      <c r="BE8" s="30">
        <f>ASSUMPTIONS!$H$46</f>
        <v>1</v>
      </c>
      <c r="BF8" s="30">
        <f>ASSUMPTIONS!$H$46</f>
        <v>1</v>
      </c>
      <c r="BG8" s="30">
        <f>ASSUMPTIONS!$H$46</f>
        <v>1</v>
      </c>
      <c r="BH8" s="30">
        <f>ASSUMPTIONS!$H$46</f>
        <v>1</v>
      </c>
      <c r="BI8" s="30">
        <f>ASSUMPTIONS!$H$46</f>
        <v>1</v>
      </c>
      <c r="BJ8" s="30">
        <f>ASSUMPTIONS!$H$46</f>
        <v>1</v>
      </c>
      <c r="BK8" s="30">
        <f>ASSUMPTIONS!$H$46</f>
        <v>1</v>
      </c>
      <c r="BL8" s="31">
        <f>ASSUMPTIONS!$H$46</f>
        <v>1</v>
      </c>
    </row>
    <row r="9" ht="15.75" customHeight="1">
      <c r="D9" s="57" t="s">
        <v>244</v>
      </c>
      <c r="E9" s="153">
        <f t="shared" ref="E9:BL9" si="2">(E7 / 30) * E8</f>
        <v>0</v>
      </c>
      <c r="F9" s="153">
        <f t="shared" si="2"/>
        <v>0</v>
      </c>
      <c r="G9" s="153">
        <f t="shared" si="2"/>
        <v>0</v>
      </c>
      <c r="H9" s="153">
        <f t="shared" si="2"/>
        <v>0</v>
      </c>
      <c r="I9" s="153">
        <f t="shared" si="2"/>
        <v>79567.488</v>
      </c>
      <c r="J9" s="153">
        <f t="shared" si="2"/>
        <v>159134.976</v>
      </c>
      <c r="K9" s="153">
        <f t="shared" si="2"/>
        <v>651548.208</v>
      </c>
      <c r="L9" s="153">
        <f t="shared" si="2"/>
        <v>731115.696</v>
      </c>
      <c r="M9" s="153">
        <f t="shared" si="2"/>
        <v>810683.184</v>
      </c>
      <c r="N9" s="153">
        <f t="shared" si="2"/>
        <v>890250.672</v>
      </c>
      <c r="O9" s="153">
        <f t="shared" si="2"/>
        <v>969818.16</v>
      </c>
      <c r="P9" s="153">
        <f t="shared" si="2"/>
        <v>1049385.648</v>
      </c>
      <c r="Q9" s="153">
        <f t="shared" si="2"/>
        <v>1191131.955</v>
      </c>
      <c r="R9" s="153">
        <f t="shared" si="2"/>
        <v>1274291.182</v>
      </c>
      <c r="S9" s="153">
        <f t="shared" si="2"/>
        <v>1357450.409</v>
      </c>
      <c r="T9" s="153">
        <f t="shared" si="2"/>
        <v>1440609.636</v>
      </c>
      <c r="U9" s="153">
        <f t="shared" si="2"/>
        <v>1523768.863</v>
      </c>
      <c r="V9" s="153">
        <f t="shared" si="2"/>
        <v>1606928.09</v>
      </c>
      <c r="W9" s="153">
        <f t="shared" si="2"/>
        <v>1690087.317</v>
      </c>
      <c r="X9" s="153">
        <f t="shared" si="2"/>
        <v>1773246.544</v>
      </c>
      <c r="Y9" s="153">
        <f t="shared" si="2"/>
        <v>1856405.771</v>
      </c>
      <c r="Z9" s="153">
        <f t="shared" si="2"/>
        <v>1939564.998</v>
      </c>
      <c r="AA9" s="153">
        <f t="shared" si="2"/>
        <v>2022724.225</v>
      </c>
      <c r="AB9" s="153">
        <f t="shared" si="2"/>
        <v>2105883.452</v>
      </c>
      <c r="AC9" s="153">
        <f t="shared" si="2"/>
        <v>2816060.224</v>
      </c>
      <c r="AD9" s="153">
        <f t="shared" si="2"/>
        <v>2904195.94</v>
      </c>
      <c r="AE9" s="153">
        <f t="shared" si="2"/>
        <v>2992331.655</v>
      </c>
      <c r="AF9" s="153">
        <f t="shared" si="2"/>
        <v>3080467.371</v>
      </c>
      <c r="AG9" s="153">
        <f t="shared" si="2"/>
        <v>3168603.086</v>
      </c>
      <c r="AH9" s="153">
        <f t="shared" si="2"/>
        <v>3256738.802</v>
      </c>
      <c r="AI9" s="153">
        <f t="shared" si="2"/>
        <v>3344874.517</v>
      </c>
      <c r="AJ9" s="153">
        <f t="shared" si="2"/>
        <v>3433010.232</v>
      </c>
      <c r="AK9" s="153">
        <f t="shared" si="2"/>
        <v>3521145.948</v>
      </c>
      <c r="AL9" s="153">
        <f t="shared" si="2"/>
        <v>3609281.663</v>
      </c>
      <c r="AM9" s="153">
        <f t="shared" si="2"/>
        <v>3697417.379</v>
      </c>
      <c r="AN9" s="153">
        <f t="shared" si="2"/>
        <v>3785553.094</v>
      </c>
      <c r="AO9" s="153">
        <f t="shared" si="2"/>
        <v>6419960.474</v>
      </c>
      <c r="AP9" s="153">
        <f t="shared" si="2"/>
        <v>6699968.324</v>
      </c>
      <c r="AQ9" s="153">
        <f t="shared" si="2"/>
        <v>6979976.173</v>
      </c>
      <c r="AR9" s="153">
        <f t="shared" si="2"/>
        <v>7259984.023</v>
      </c>
      <c r="AS9" s="153">
        <f t="shared" si="2"/>
        <v>7539991.872</v>
      </c>
      <c r="AT9" s="153">
        <f t="shared" si="2"/>
        <v>7819999.722</v>
      </c>
      <c r="AU9" s="153">
        <f t="shared" si="2"/>
        <v>8100007.571</v>
      </c>
      <c r="AV9" s="153">
        <f t="shared" si="2"/>
        <v>8380015.42</v>
      </c>
      <c r="AW9" s="153">
        <f t="shared" si="2"/>
        <v>8380015.42</v>
      </c>
      <c r="AX9" s="153">
        <f t="shared" si="2"/>
        <v>8380015.42</v>
      </c>
      <c r="AY9" s="153">
        <f t="shared" si="2"/>
        <v>8380015.42</v>
      </c>
      <c r="AZ9" s="153">
        <f t="shared" si="2"/>
        <v>8380015.42</v>
      </c>
      <c r="BA9" s="153">
        <f t="shared" si="2"/>
        <v>9342833.911</v>
      </c>
      <c r="BB9" s="153">
        <f t="shared" si="2"/>
        <v>9342833.911</v>
      </c>
      <c r="BC9" s="153">
        <f t="shared" si="2"/>
        <v>9342833.911</v>
      </c>
      <c r="BD9" s="153">
        <f t="shared" si="2"/>
        <v>9342833.911</v>
      </c>
      <c r="BE9" s="153">
        <f t="shared" si="2"/>
        <v>9342833.911</v>
      </c>
      <c r="BF9" s="153">
        <f t="shared" si="2"/>
        <v>9342833.911</v>
      </c>
      <c r="BG9" s="153">
        <f t="shared" si="2"/>
        <v>9342833.911</v>
      </c>
      <c r="BH9" s="153">
        <f t="shared" si="2"/>
        <v>9342833.911</v>
      </c>
      <c r="BI9" s="153">
        <f t="shared" si="2"/>
        <v>9342833.911</v>
      </c>
      <c r="BJ9" s="153">
        <f t="shared" si="2"/>
        <v>9342833.911</v>
      </c>
      <c r="BK9" s="153">
        <f t="shared" si="2"/>
        <v>9342833.911</v>
      </c>
      <c r="BL9" s="140">
        <f t="shared" si="2"/>
        <v>9342833.911</v>
      </c>
    </row>
    <row r="10" ht="15.75" customHeight="1">
      <c r="D10" s="57" t="s">
        <v>72</v>
      </c>
      <c r="E10" s="30">
        <f>ASSUMPTIONS!$H$47</f>
        <v>5</v>
      </c>
      <c r="F10" s="30">
        <f>ASSUMPTIONS!$H$47</f>
        <v>5</v>
      </c>
      <c r="G10" s="30">
        <f>ASSUMPTIONS!$H$47</f>
        <v>5</v>
      </c>
      <c r="H10" s="30">
        <f>ASSUMPTIONS!$H$47</f>
        <v>5</v>
      </c>
      <c r="I10" s="30">
        <f>ASSUMPTIONS!$H$47</f>
        <v>5</v>
      </c>
      <c r="J10" s="30">
        <f>ASSUMPTIONS!$H$47</f>
        <v>5</v>
      </c>
      <c r="K10" s="30">
        <f>ASSUMPTIONS!$H$47</f>
        <v>5</v>
      </c>
      <c r="L10" s="30">
        <f>ASSUMPTIONS!$H$47</f>
        <v>5</v>
      </c>
      <c r="M10" s="30">
        <f>ASSUMPTIONS!$H$47</f>
        <v>5</v>
      </c>
      <c r="N10" s="30">
        <f>ASSUMPTIONS!$H$47</f>
        <v>5</v>
      </c>
      <c r="O10" s="30">
        <f>ASSUMPTIONS!$H$47</f>
        <v>5</v>
      </c>
      <c r="P10" s="30">
        <f>ASSUMPTIONS!$H$47</f>
        <v>5</v>
      </c>
      <c r="Q10" s="30">
        <f>ASSUMPTIONS!$H$47</f>
        <v>5</v>
      </c>
      <c r="R10" s="30">
        <f>ASSUMPTIONS!$H$47</f>
        <v>5</v>
      </c>
      <c r="S10" s="30">
        <f>ASSUMPTIONS!$H$47</f>
        <v>5</v>
      </c>
      <c r="T10" s="30">
        <f>ASSUMPTIONS!$H$47</f>
        <v>5</v>
      </c>
      <c r="U10" s="30">
        <f>ASSUMPTIONS!$H$47</f>
        <v>5</v>
      </c>
      <c r="V10" s="30">
        <f>ASSUMPTIONS!$H$47</f>
        <v>5</v>
      </c>
      <c r="W10" s="30">
        <f>ASSUMPTIONS!$H$47</f>
        <v>5</v>
      </c>
      <c r="X10" s="30">
        <f>ASSUMPTIONS!$H$47</f>
        <v>5</v>
      </c>
      <c r="Y10" s="30">
        <f>ASSUMPTIONS!$H$47</f>
        <v>5</v>
      </c>
      <c r="Z10" s="30">
        <f>ASSUMPTIONS!$H$47</f>
        <v>5</v>
      </c>
      <c r="AA10" s="30">
        <f>ASSUMPTIONS!$H$47</f>
        <v>5</v>
      </c>
      <c r="AB10" s="30">
        <f>ASSUMPTIONS!$H$47</f>
        <v>5</v>
      </c>
      <c r="AC10" s="30">
        <f>ASSUMPTIONS!$H$47</f>
        <v>5</v>
      </c>
      <c r="AD10" s="30">
        <f>ASSUMPTIONS!$H$47</f>
        <v>5</v>
      </c>
      <c r="AE10" s="30">
        <f>ASSUMPTIONS!$H$47</f>
        <v>5</v>
      </c>
      <c r="AF10" s="30">
        <f>ASSUMPTIONS!$H$47</f>
        <v>5</v>
      </c>
      <c r="AG10" s="30">
        <f>ASSUMPTIONS!$H$47</f>
        <v>5</v>
      </c>
      <c r="AH10" s="30">
        <f>ASSUMPTIONS!$H$47</f>
        <v>5</v>
      </c>
      <c r="AI10" s="30">
        <f>ASSUMPTIONS!$H$47</f>
        <v>5</v>
      </c>
      <c r="AJ10" s="30">
        <f>ASSUMPTIONS!$H$47</f>
        <v>5</v>
      </c>
      <c r="AK10" s="30">
        <f>ASSUMPTIONS!$H$47</f>
        <v>5</v>
      </c>
      <c r="AL10" s="30">
        <f>ASSUMPTIONS!$H$47</f>
        <v>5</v>
      </c>
      <c r="AM10" s="30">
        <f>ASSUMPTIONS!$H$47</f>
        <v>5</v>
      </c>
      <c r="AN10" s="30">
        <f>ASSUMPTIONS!$H$47</f>
        <v>5</v>
      </c>
      <c r="AO10" s="30">
        <f>ASSUMPTIONS!$H$47</f>
        <v>5</v>
      </c>
      <c r="AP10" s="30">
        <f>ASSUMPTIONS!$H$47</f>
        <v>5</v>
      </c>
      <c r="AQ10" s="30">
        <f>ASSUMPTIONS!$H$47</f>
        <v>5</v>
      </c>
      <c r="AR10" s="30">
        <f>ASSUMPTIONS!$H$47</f>
        <v>5</v>
      </c>
      <c r="AS10" s="30">
        <f>ASSUMPTIONS!$H$47</f>
        <v>5</v>
      </c>
      <c r="AT10" s="30">
        <f>ASSUMPTIONS!$H$47</f>
        <v>5</v>
      </c>
      <c r="AU10" s="30">
        <f>ASSUMPTIONS!$H$47</f>
        <v>5</v>
      </c>
      <c r="AV10" s="30">
        <f>ASSUMPTIONS!$H$47</f>
        <v>5</v>
      </c>
      <c r="AW10" s="30">
        <f>ASSUMPTIONS!$H$47</f>
        <v>5</v>
      </c>
      <c r="AX10" s="30">
        <f>ASSUMPTIONS!$H$47</f>
        <v>5</v>
      </c>
      <c r="AY10" s="30">
        <f>ASSUMPTIONS!$H$47</f>
        <v>5</v>
      </c>
      <c r="AZ10" s="30">
        <f>ASSUMPTIONS!$H$47</f>
        <v>5</v>
      </c>
      <c r="BA10" s="30">
        <f>ASSUMPTIONS!$H$47</f>
        <v>5</v>
      </c>
      <c r="BB10" s="30">
        <f>ASSUMPTIONS!$H$47</f>
        <v>5</v>
      </c>
      <c r="BC10" s="30">
        <f>ASSUMPTIONS!$H$47</f>
        <v>5</v>
      </c>
      <c r="BD10" s="30">
        <f>ASSUMPTIONS!$H$47</f>
        <v>5</v>
      </c>
      <c r="BE10" s="30">
        <f>ASSUMPTIONS!$H$47</f>
        <v>5</v>
      </c>
      <c r="BF10" s="30">
        <f>ASSUMPTIONS!$H$47</f>
        <v>5</v>
      </c>
      <c r="BG10" s="30">
        <f>ASSUMPTIONS!$H$47</f>
        <v>5</v>
      </c>
      <c r="BH10" s="30">
        <f>ASSUMPTIONS!$H$47</f>
        <v>5</v>
      </c>
      <c r="BI10" s="30">
        <f>ASSUMPTIONS!$H$47</f>
        <v>5</v>
      </c>
      <c r="BJ10" s="30">
        <f>ASSUMPTIONS!$H$47</f>
        <v>5</v>
      </c>
      <c r="BK10" s="30">
        <f>ASSUMPTIONS!$H$47</f>
        <v>5</v>
      </c>
      <c r="BL10" s="31">
        <f>ASSUMPTIONS!$H$47</f>
        <v>5</v>
      </c>
    </row>
    <row r="11" ht="15.75" customHeight="1">
      <c r="D11" s="57" t="s">
        <v>245</v>
      </c>
      <c r="E11" s="153">
        <f>'COGS ENGINE'!E39</f>
        <v>0</v>
      </c>
      <c r="F11" s="153">
        <f>'COGS ENGINE'!F39</f>
        <v>0</v>
      </c>
      <c r="G11" s="153">
        <f>'COGS ENGINE'!G39</f>
        <v>0</v>
      </c>
      <c r="H11" s="153">
        <f>'COGS ENGINE'!H39</f>
        <v>0</v>
      </c>
      <c r="I11" s="153">
        <f>'COGS ENGINE'!I39</f>
        <v>1892442.957</v>
      </c>
      <c r="J11" s="153">
        <f>'COGS ENGINE'!J39</f>
        <v>3784885.914</v>
      </c>
      <c r="K11" s="153">
        <f>'COGS ENGINE'!K39</f>
        <v>15294868.23</v>
      </c>
      <c r="L11" s="153">
        <f>'COGS ENGINE'!L39</f>
        <v>17187311.19</v>
      </c>
      <c r="M11" s="153">
        <f>'COGS ENGINE'!M39</f>
        <v>19079754.15</v>
      </c>
      <c r="N11" s="153">
        <f>'COGS ENGINE'!N39</f>
        <v>20972197.1</v>
      </c>
      <c r="O11" s="153">
        <f>'COGS ENGINE'!O39</f>
        <v>22864640.06</v>
      </c>
      <c r="P11" s="153">
        <f>'COGS ENGINE'!P39</f>
        <v>24757083.02</v>
      </c>
      <c r="Q11" s="153">
        <f>'COGS ENGINE'!Q39</f>
        <v>28184454.17</v>
      </c>
      <c r="R11" s="153">
        <f>'COGS ENGINE'!R39</f>
        <v>30194919.1</v>
      </c>
      <c r="S11" s="153">
        <f>'COGS ENGINE'!S39</f>
        <v>32205384.04</v>
      </c>
      <c r="T11" s="153">
        <f>'COGS ENGINE'!T39</f>
        <v>34215848.98</v>
      </c>
      <c r="U11" s="153">
        <f>'COGS ENGINE'!U39</f>
        <v>36226313.91</v>
      </c>
      <c r="V11" s="153">
        <f>'COGS ENGINE'!V39</f>
        <v>38236778.85</v>
      </c>
      <c r="W11" s="153">
        <f>'COGS ENGINE'!W39</f>
        <v>40247243.78</v>
      </c>
      <c r="X11" s="153">
        <f>'COGS ENGINE'!X39</f>
        <v>42257708.72</v>
      </c>
      <c r="Y11" s="153">
        <f>'COGS ENGINE'!Y39</f>
        <v>44268173.66</v>
      </c>
      <c r="Z11" s="153">
        <f>'COGS ENGINE'!Z39</f>
        <v>46278638.59</v>
      </c>
      <c r="AA11" s="153">
        <f>'COGS ENGINE'!AA39</f>
        <v>48289103.53</v>
      </c>
      <c r="AB11" s="153">
        <f>'COGS ENGINE'!AB39</f>
        <v>50299568.46</v>
      </c>
      <c r="AC11" s="153">
        <f>'COGS ENGINE'!AC39</f>
        <v>66213585</v>
      </c>
      <c r="AD11" s="153">
        <f>'COGS ENGINE'!AD39</f>
        <v>68354346.39</v>
      </c>
      <c r="AE11" s="153">
        <f>'COGS ENGINE'!AE39</f>
        <v>70495107.78</v>
      </c>
      <c r="AF11" s="153">
        <f>'COGS ENGINE'!AF39</f>
        <v>72635869.17</v>
      </c>
      <c r="AG11" s="153">
        <f>'COGS ENGINE'!AG39</f>
        <v>74776630.55</v>
      </c>
      <c r="AH11" s="153">
        <f>'COGS ENGINE'!AH39</f>
        <v>76917391.94</v>
      </c>
      <c r="AI11" s="153">
        <f>'COGS ENGINE'!AI39</f>
        <v>79058153.33</v>
      </c>
      <c r="AJ11" s="153">
        <f>'COGS ENGINE'!AJ39</f>
        <v>81198914.72</v>
      </c>
      <c r="AK11" s="153">
        <f>'COGS ENGINE'!AK39</f>
        <v>83339676.11</v>
      </c>
      <c r="AL11" s="153">
        <f>'COGS ENGINE'!AL39</f>
        <v>85480437.49</v>
      </c>
      <c r="AM11" s="153">
        <f>'COGS ENGINE'!AM39</f>
        <v>87621198.88</v>
      </c>
      <c r="AN11" s="153">
        <f>'COGS ENGINE'!AN39</f>
        <v>89761960.27</v>
      </c>
      <c r="AO11" s="153">
        <f>'COGS ENGINE'!AO39</f>
        <v>147020513</v>
      </c>
      <c r="AP11" s="153">
        <f>'COGS ENGINE'!AP39</f>
        <v>153859542.4</v>
      </c>
      <c r="AQ11" s="153">
        <f>'COGS ENGINE'!AQ39</f>
        <v>160698571.9</v>
      </c>
      <c r="AR11" s="153">
        <f>'COGS ENGINE'!AR39</f>
        <v>167537601.3</v>
      </c>
      <c r="AS11" s="153">
        <f>'COGS ENGINE'!AS39</f>
        <v>174376630.7</v>
      </c>
      <c r="AT11" s="153">
        <f>'COGS ENGINE'!AT39</f>
        <v>181215660.2</v>
      </c>
      <c r="AU11" s="153">
        <f>'COGS ENGINE'!AU39</f>
        <v>188054689.6</v>
      </c>
      <c r="AV11" s="153">
        <f>'COGS ENGINE'!AV39</f>
        <v>194893719.1</v>
      </c>
      <c r="AW11" s="153">
        <f>'COGS ENGINE'!AW39</f>
        <v>194893719.1</v>
      </c>
      <c r="AX11" s="153">
        <f>'COGS ENGINE'!AX39</f>
        <v>194893719.1</v>
      </c>
      <c r="AY11" s="153">
        <f>'COGS ENGINE'!AY39</f>
        <v>194893719.1</v>
      </c>
      <c r="AZ11" s="153">
        <f>'COGS ENGINE'!AZ39</f>
        <v>194893719.1</v>
      </c>
      <c r="BA11" s="153">
        <f>'COGS ENGINE'!BA39</f>
        <v>208550882.4</v>
      </c>
      <c r="BB11" s="153">
        <f>'COGS ENGINE'!BB39</f>
        <v>208550882.4</v>
      </c>
      <c r="BC11" s="153">
        <f>'COGS ENGINE'!BC39</f>
        <v>208550882.4</v>
      </c>
      <c r="BD11" s="153">
        <f>'COGS ENGINE'!BD39</f>
        <v>208550882.4</v>
      </c>
      <c r="BE11" s="153">
        <f>'COGS ENGINE'!BE39</f>
        <v>208550882.4</v>
      </c>
      <c r="BF11" s="153">
        <f>'COGS ENGINE'!BF39</f>
        <v>208550882.4</v>
      </c>
      <c r="BG11" s="153">
        <f>'COGS ENGINE'!BG39</f>
        <v>208550882.4</v>
      </c>
      <c r="BH11" s="153">
        <f>'COGS ENGINE'!BH39</f>
        <v>208550882.4</v>
      </c>
      <c r="BI11" s="153">
        <f>'COGS ENGINE'!BI39</f>
        <v>208550882.4</v>
      </c>
      <c r="BJ11" s="153">
        <f>'COGS ENGINE'!BJ39</f>
        <v>208550882.4</v>
      </c>
      <c r="BK11" s="153">
        <f>'COGS ENGINE'!BK39</f>
        <v>208550882.4</v>
      </c>
      <c r="BL11" s="140">
        <f>'COGS ENGINE'!BL39</f>
        <v>208550882.4</v>
      </c>
    </row>
    <row r="12" ht="15.75" customHeight="1">
      <c r="D12" s="57" t="s">
        <v>246</v>
      </c>
      <c r="E12" s="153">
        <f t="shared" ref="E12:BL12" si="3">(E11 / 30) * E10</f>
        <v>0</v>
      </c>
      <c r="F12" s="153">
        <f t="shared" si="3"/>
        <v>0</v>
      </c>
      <c r="G12" s="153">
        <f t="shared" si="3"/>
        <v>0</v>
      </c>
      <c r="H12" s="153">
        <f t="shared" si="3"/>
        <v>0</v>
      </c>
      <c r="I12" s="153">
        <f t="shared" si="3"/>
        <v>315407.1595</v>
      </c>
      <c r="J12" s="153">
        <f t="shared" si="3"/>
        <v>630814.3189</v>
      </c>
      <c r="K12" s="153">
        <f t="shared" si="3"/>
        <v>2549144.706</v>
      </c>
      <c r="L12" s="153">
        <f t="shared" si="3"/>
        <v>2864551.865</v>
      </c>
      <c r="M12" s="153">
        <f t="shared" si="3"/>
        <v>3179959.025</v>
      </c>
      <c r="N12" s="153">
        <f t="shared" si="3"/>
        <v>3495366.184</v>
      </c>
      <c r="O12" s="153">
        <f t="shared" si="3"/>
        <v>3810773.343</v>
      </c>
      <c r="P12" s="153">
        <f t="shared" si="3"/>
        <v>4126180.503</v>
      </c>
      <c r="Q12" s="153">
        <f t="shared" si="3"/>
        <v>4697409.028</v>
      </c>
      <c r="R12" s="153">
        <f t="shared" si="3"/>
        <v>5032486.517</v>
      </c>
      <c r="S12" s="153">
        <f t="shared" si="3"/>
        <v>5367564.007</v>
      </c>
      <c r="T12" s="153">
        <f t="shared" si="3"/>
        <v>5702641.496</v>
      </c>
      <c r="U12" s="153">
        <f t="shared" si="3"/>
        <v>6037718.985</v>
      </c>
      <c r="V12" s="153">
        <f t="shared" si="3"/>
        <v>6372796.475</v>
      </c>
      <c r="W12" s="153">
        <f t="shared" si="3"/>
        <v>6707873.964</v>
      </c>
      <c r="X12" s="153">
        <f t="shared" si="3"/>
        <v>7042951.453</v>
      </c>
      <c r="Y12" s="153">
        <f t="shared" si="3"/>
        <v>7378028.943</v>
      </c>
      <c r="Z12" s="153">
        <f t="shared" si="3"/>
        <v>7713106.432</v>
      </c>
      <c r="AA12" s="153">
        <f t="shared" si="3"/>
        <v>8048183.921</v>
      </c>
      <c r="AB12" s="153">
        <f t="shared" si="3"/>
        <v>8383261.411</v>
      </c>
      <c r="AC12" s="153">
        <f t="shared" si="3"/>
        <v>11035597.5</v>
      </c>
      <c r="AD12" s="153">
        <f t="shared" si="3"/>
        <v>11392391.06</v>
      </c>
      <c r="AE12" s="153">
        <f t="shared" si="3"/>
        <v>11749184.63</v>
      </c>
      <c r="AF12" s="153">
        <f t="shared" si="3"/>
        <v>12105978.19</v>
      </c>
      <c r="AG12" s="153">
        <f t="shared" si="3"/>
        <v>12462771.76</v>
      </c>
      <c r="AH12" s="153">
        <f t="shared" si="3"/>
        <v>12819565.32</v>
      </c>
      <c r="AI12" s="153">
        <f t="shared" si="3"/>
        <v>13176358.89</v>
      </c>
      <c r="AJ12" s="153">
        <f t="shared" si="3"/>
        <v>13533152.45</v>
      </c>
      <c r="AK12" s="153">
        <f t="shared" si="3"/>
        <v>13889946.02</v>
      </c>
      <c r="AL12" s="153">
        <f t="shared" si="3"/>
        <v>14246739.58</v>
      </c>
      <c r="AM12" s="153">
        <f t="shared" si="3"/>
        <v>14603533.15</v>
      </c>
      <c r="AN12" s="153">
        <f t="shared" si="3"/>
        <v>14960326.71</v>
      </c>
      <c r="AO12" s="153">
        <f t="shared" si="3"/>
        <v>24503418.83</v>
      </c>
      <c r="AP12" s="153">
        <f t="shared" si="3"/>
        <v>25643257.07</v>
      </c>
      <c r="AQ12" s="153">
        <f t="shared" si="3"/>
        <v>26783095.31</v>
      </c>
      <c r="AR12" s="153">
        <f t="shared" si="3"/>
        <v>27922933.55</v>
      </c>
      <c r="AS12" s="153">
        <f t="shared" si="3"/>
        <v>29062771.79</v>
      </c>
      <c r="AT12" s="153">
        <f t="shared" si="3"/>
        <v>30202610.03</v>
      </c>
      <c r="AU12" s="153">
        <f t="shared" si="3"/>
        <v>31342448.27</v>
      </c>
      <c r="AV12" s="153">
        <f t="shared" si="3"/>
        <v>32482286.51</v>
      </c>
      <c r="AW12" s="153">
        <f t="shared" si="3"/>
        <v>32482286.51</v>
      </c>
      <c r="AX12" s="153">
        <f t="shared" si="3"/>
        <v>32482286.51</v>
      </c>
      <c r="AY12" s="153">
        <f t="shared" si="3"/>
        <v>32482286.51</v>
      </c>
      <c r="AZ12" s="153">
        <f t="shared" si="3"/>
        <v>32482286.51</v>
      </c>
      <c r="BA12" s="153">
        <f t="shared" si="3"/>
        <v>34758480.4</v>
      </c>
      <c r="BB12" s="153">
        <f t="shared" si="3"/>
        <v>34758480.4</v>
      </c>
      <c r="BC12" s="153">
        <f t="shared" si="3"/>
        <v>34758480.4</v>
      </c>
      <c r="BD12" s="153">
        <f t="shared" si="3"/>
        <v>34758480.4</v>
      </c>
      <c r="BE12" s="153">
        <f t="shared" si="3"/>
        <v>34758480.4</v>
      </c>
      <c r="BF12" s="153">
        <f t="shared" si="3"/>
        <v>34758480.4</v>
      </c>
      <c r="BG12" s="153">
        <f t="shared" si="3"/>
        <v>34758480.4</v>
      </c>
      <c r="BH12" s="153">
        <f t="shared" si="3"/>
        <v>34758480.4</v>
      </c>
      <c r="BI12" s="153">
        <f t="shared" si="3"/>
        <v>34758480.4</v>
      </c>
      <c r="BJ12" s="153">
        <f t="shared" si="3"/>
        <v>34758480.4</v>
      </c>
      <c r="BK12" s="153">
        <f t="shared" si="3"/>
        <v>34758480.4</v>
      </c>
      <c r="BL12" s="140">
        <f t="shared" si="3"/>
        <v>34758480.4</v>
      </c>
    </row>
    <row r="13" ht="15.75" customHeight="1">
      <c r="D13" s="57" t="s">
        <v>247</v>
      </c>
      <c r="E13" s="30">
        <f>ASSUMPTIONS!$H$48</f>
        <v>2</v>
      </c>
      <c r="F13" s="30">
        <f>ASSUMPTIONS!$H$48</f>
        <v>2</v>
      </c>
      <c r="G13" s="30">
        <f>ASSUMPTIONS!$H$48</f>
        <v>2</v>
      </c>
      <c r="H13" s="30">
        <f>ASSUMPTIONS!$H$48</f>
        <v>2</v>
      </c>
      <c r="I13" s="30">
        <f>ASSUMPTIONS!$H$48</f>
        <v>2</v>
      </c>
      <c r="J13" s="30">
        <f>ASSUMPTIONS!$H$48</f>
        <v>2</v>
      </c>
      <c r="K13" s="30">
        <f>ASSUMPTIONS!$H$48</f>
        <v>2</v>
      </c>
      <c r="L13" s="30">
        <f>ASSUMPTIONS!$H$48</f>
        <v>2</v>
      </c>
      <c r="M13" s="30">
        <f>ASSUMPTIONS!$H$48</f>
        <v>2</v>
      </c>
      <c r="N13" s="30">
        <f>ASSUMPTIONS!$H$48</f>
        <v>2</v>
      </c>
      <c r="O13" s="30">
        <f>ASSUMPTIONS!$H$48</f>
        <v>2</v>
      </c>
      <c r="P13" s="30">
        <f>ASSUMPTIONS!$H$48</f>
        <v>2</v>
      </c>
      <c r="Q13" s="30">
        <f>ASSUMPTIONS!$H$48</f>
        <v>2</v>
      </c>
      <c r="R13" s="30">
        <f>ASSUMPTIONS!$H$48</f>
        <v>2</v>
      </c>
      <c r="S13" s="30">
        <f>ASSUMPTIONS!$H$48</f>
        <v>2</v>
      </c>
      <c r="T13" s="30">
        <f>ASSUMPTIONS!$H$48</f>
        <v>2</v>
      </c>
      <c r="U13" s="30">
        <f>ASSUMPTIONS!$H$48</f>
        <v>2</v>
      </c>
      <c r="V13" s="30">
        <f>ASSUMPTIONS!$H$48</f>
        <v>2</v>
      </c>
      <c r="W13" s="30">
        <f>ASSUMPTIONS!$H$48</f>
        <v>2</v>
      </c>
      <c r="X13" s="30">
        <f>ASSUMPTIONS!$H$48</f>
        <v>2</v>
      </c>
      <c r="Y13" s="30">
        <f>ASSUMPTIONS!$H$48</f>
        <v>2</v>
      </c>
      <c r="Z13" s="30">
        <f>ASSUMPTIONS!$H$48</f>
        <v>2</v>
      </c>
      <c r="AA13" s="30">
        <f>ASSUMPTIONS!$H$48</f>
        <v>2</v>
      </c>
      <c r="AB13" s="30">
        <f>ASSUMPTIONS!$H$48</f>
        <v>2</v>
      </c>
      <c r="AC13" s="30">
        <f>ASSUMPTIONS!$H$48</f>
        <v>2</v>
      </c>
      <c r="AD13" s="30">
        <f>ASSUMPTIONS!$H$48</f>
        <v>2</v>
      </c>
      <c r="AE13" s="30">
        <f>ASSUMPTIONS!$H$48</f>
        <v>2</v>
      </c>
      <c r="AF13" s="30">
        <f>ASSUMPTIONS!$H$48</f>
        <v>2</v>
      </c>
      <c r="AG13" s="30">
        <f>ASSUMPTIONS!$H$48</f>
        <v>2</v>
      </c>
      <c r="AH13" s="30">
        <f>ASSUMPTIONS!$H$48</f>
        <v>2</v>
      </c>
      <c r="AI13" s="30">
        <f>ASSUMPTIONS!$H$48</f>
        <v>2</v>
      </c>
      <c r="AJ13" s="30">
        <f>ASSUMPTIONS!$H$48</f>
        <v>2</v>
      </c>
      <c r="AK13" s="30">
        <f>ASSUMPTIONS!$H$48</f>
        <v>2</v>
      </c>
      <c r="AL13" s="30">
        <f>ASSUMPTIONS!$H$48</f>
        <v>2</v>
      </c>
      <c r="AM13" s="30">
        <f>ASSUMPTIONS!$H$48</f>
        <v>2</v>
      </c>
      <c r="AN13" s="30">
        <f>ASSUMPTIONS!$H$48</f>
        <v>2</v>
      </c>
      <c r="AO13" s="30">
        <f>ASSUMPTIONS!$H$48</f>
        <v>2</v>
      </c>
      <c r="AP13" s="30">
        <f>ASSUMPTIONS!$H$48</f>
        <v>2</v>
      </c>
      <c r="AQ13" s="30">
        <f>ASSUMPTIONS!$H$48</f>
        <v>2</v>
      </c>
      <c r="AR13" s="30">
        <f>ASSUMPTIONS!$H$48</f>
        <v>2</v>
      </c>
      <c r="AS13" s="30">
        <f>ASSUMPTIONS!$H$48</f>
        <v>2</v>
      </c>
      <c r="AT13" s="30">
        <f>ASSUMPTIONS!$H$48</f>
        <v>2</v>
      </c>
      <c r="AU13" s="30">
        <f>ASSUMPTIONS!$H$48</f>
        <v>2</v>
      </c>
      <c r="AV13" s="30">
        <f>ASSUMPTIONS!$H$48</f>
        <v>2</v>
      </c>
      <c r="AW13" s="30">
        <f>ASSUMPTIONS!$H$48</f>
        <v>2</v>
      </c>
      <c r="AX13" s="30">
        <f>ASSUMPTIONS!$H$48</f>
        <v>2</v>
      </c>
      <c r="AY13" s="30">
        <f>ASSUMPTIONS!$H$48</f>
        <v>2</v>
      </c>
      <c r="AZ13" s="30">
        <f>ASSUMPTIONS!$H$48</f>
        <v>2</v>
      </c>
      <c r="BA13" s="30">
        <f>ASSUMPTIONS!$H$48</f>
        <v>2</v>
      </c>
      <c r="BB13" s="30">
        <f>ASSUMPTIONS!$H$48</f>
        <v>2</v>
      </c>
      <c r="BC13" s="30">
        <f>ASSUMPTIONS!$H$48</f>
        <v>2</v>
      </c>
      <c r="BD13" s="30">
        <f>ASSUMPTIONS!$H$48</f>
        <v>2</v>
      </c>
      <c r="BE13" s="30">
        <f>ASSUMPTIONS!$H$48</f>
        <v>2</v>
      </c>
      <c r="BF13" s="30">
        <f>ASSUMPTIONS!$H$48</f>
        <v>2</v>
      </c>
      <c r="BG13" s="30">
        <f>ASSUMPTIONS!$H$48</f>
        <v>2</v>
      </c>
      <c r="BH13" s="30">
        <f>ASSUMPTIONS!$H$48</f>
        <v>2</v>
      </c>
      <c r="BI13" s="30">
        <f>ASSUMPTIONS!$H$48</f>
        <v>2</v>
      </c>
      <c r="BJ13" s="30">
        <f>ASSUMPTIONS!$H$48</f>
        <v>2</v>
      </c>
      <c r="BK13" s="30">
        <f>ASSUMPTIONS!$H$48</f>
        <v>2</v>
      </c>
      <c r="BL13" s="31">
        <f>ASSUMPTIONS!$H$48</f>
        <v>2</v>
      </c>
    </row>
    <row r="14" ht="15.75" customHeight="1">
      <c r="D14" s="57" t="s">
        <v>248</v>
      </c>
      <c r="E14" s="153">
        <f t="shared" ref="E14:BL14" si="4">(E11 / 30) *E13</f>
        <v>0</v>
      </c>
      <c r="F14" s="153">
        <f t="shared" si="4"/>
        <v>0</v>
      </c>
      <c r="G14" s="153">
        <f t="shared" si="4"/>
        <v>0</v>
      </c>
      <c r="H14" s="153">
        <f t="shared" si="4"/>
        <v>0</v>
      </c>
      <c r="I14" s="153">
        <f t="shared" si="4"/>
        <v>126162.8638</v>
      </c>
      <c r="J14" s="153">
        <f t="shared" si="4"/>
        <v>252325.7276</v>
      </c>
      <c r="K14" s="153">
        <f t="shared" si="4"/>
        <v>1019657.882</v>
      </c>
      <c r="L14" s="153">
        <f t="shared" si="4"/>
        <v>1145820.746</v>
      </c>
      <c r="M14" s="153">
        <f t="shared" si="4"/>
        <v>1271983.61</v>
      </c>
      <c r="N14" s="153">
        <f t="shared" si="4"/>
        <v>1398146.474</v>
      </c>
      <c r="O14" s="153">
        <f t="shared" si="4"/>
        <v>1524309.337</v>
      </c>
      <c r="P14" s="153">
        <f t="shared" si="4"/>
        <v>1650472.201</v>
      </c>
      <c r="Q14" s="153">
        <f t="shared" si="4"/>
        <v>1878963.611</v>
      </c>
      <c r="R14" s="153">
        <f t="shared" si="4"/>
        <v>2012994.607</v>
      </c>
      <c r="S14" s="153">
        <f t="shared" si="4"/>
        <v>2147025.603</v>
      </c>
      <c r="T14" s="153">
        <f t="shared" si="4"/>
        <v>2281056.598</v>
      </c>
      <c r="U14" s="153">
        <f t="shared" si="4"/>
        <v>2415087.594</v>
      </c>
      <c r="V14" s="153">
        <f t="shared" si="4"/>
        <v>2549118.59</v>
      </c>
      <c r="W14" s="153">
        <f t="shared" si="4"/>
        <v>2683149.586</v>
      </c>
      <c r="X14" s="153">
        <f t="shared" si="4"/>
        <v>2817180.581</v>
      </c>
      <c r="Y14" s="153">
        <f t="shared" si="4"/>
        <v>2951211.577</v>
      </c>
      <c r="Z14" s="153">
        <f t="shared" si="4"/>
        <v>3085242.573</v>
      </c>
      <c r="AA14" s="153">
        <f t="shared" si="4"/>
        <v>3219273.569</v>
      </c>
      <c r="AB14" s="153">
        <f t="shared" si="4"/>
        <v>3353304.564</v>
      </c>
      <c r="AC14" s="153">
        <f t="shared" si="4"/>
        <v>4414239</v>
      </c>
      <c r="AD14" s="153">
        <f t="shared" si="4"/>
        <v>4556956.426</v>
      </c>
      <c r="AE14" s="153">
        <f t="shared" si="4"/>
        <v>4699673.852</v>
      </c>
      <c r="AF14" s="153">
        <f t="shared" si="4"/>
        <v>4842391.278</v>
      </c>
      <c r="AG14" s="153">
        <f t="shared" si="4"/>
        <v>4985108.704</v>
      </c>
      <c r="AH14" s="153">
        <f t="shared" si="4"/>
        <v>5127826.129</v>
      </c>
      <c r="AI14" s="153">
        <f t="shared" si="4"/>
        <v>5270543.555</v>
      </c>
      <c r="AJ14" s="153">
        <f t="shared" si="4"/>
        <v>5413260.981</v>
      </c>
      <c r="AK14" s="153">
        <f t="shared" si="4"/>
        <v>5555978.407</v>
      </c>
      <c r="AL14" s="153">
        <f t="shared" si="4"/>
        <v>5698695.833</v>
      </c>
      <c r="AM14" s="153">
        <f t="shared" si="4"/>
        <v>5841413.259</v>
      </c>
      <c r="AN14" s="153">
        <f t="shared" si="4"/>
        <v>5984130.685</v>
      </c>
      <c r="AO14" s="153">
        <f t="shared" si="4"/>
        <v>9801367.531</v>
      </c>
      <c r="AP14" s="153">
        <f t="shared" si="4"/>
        <v>10257302.83</v>
      </c>
      <c r="AQ14" s="153">
        <f t="shared" si="4"/>
        <v>10713238.12</v>
      </c>
      <c r="AR14" s="153">
        <f t="shared" si="4"/>
        <v>11169173.42</v>
      </c>
      <c r="AS14" s="153">
        <f t="shared" si="4"/>
        <v>11625108.72</v>
      </c>
      <c r="AT14" s="153">
        <f t="shared" si="4"/>
        <v>12081044.01</v>
      </c>
      <c r="AU14" s="153">
        <f t="shared" si="4"/>
        <v>12536979.31</v>
      </c>
      <c r="AV14" s="153">
        <f t="shared" si="4"/>
        <v>12992914.61</v>
      </c>
      <c r="AW14" s="153">
        <f t="shared" si="4"/>
        <v>12992914.61</v>
      </c>
      <c r="AX14" s="153">
        <f t="shared" si="4"/>
        <v>12992914.61</v>
      </c>
      <c r="AY14" s="153">
        <f t="shared" si="4"/>
        <v>12992914.61</v>
      </c>
      <c r="AZ14" s="153">
        <f t="shared" si="4"/>
        <v>12992914.61</v>
      </c>
      <c r="BA14" s="153">
        <f t="shared" si="4"/>
        <v>13903392.16</v>
      </c>
      <c r="BB14" s="153">
        <f t="shared" si="4"/>
        <v>13903392.16</v>
      </c>
      <c r="BC14" s="153">
        <f t="shared" si="4"/>
        <v>13903392.16</v>
      </c>
      <c r="BD14" s="153">
        <f t="shared" si="4"/>
        <v>13903392.16</v>
      </c>
      <c r="BE14" s="153">
        <f t="shared" si="4"/>
        <v>13903392.16</v>
      </c>
      <c r="BF14" s="153">
        <f t="shared" si="4"/>
        <v>13903392.16</v>
      </c>
      <c r="BG14" s="153">
        <f t="shared" si="4"/>
        <v>13903392.16</v>
      </c>
      <c r="BH14" s="153">
        <f t="shared" si="4"/>
        <v>13903392.16</v>
      </c>
      <c r="BI14" s="153">
        <f t="shared" si="4"/>
        <v>13903392.16</v>
      </c>
      <c r="BJ14" s="153">
        <f t="shared" si="4"/>
        <v>13903392.16</v>
      </c>
      <c r="BK14" s="153">
        <f t="shared" si="4"/>
        <v>13903392.16</v>
      </c>
      <c r="BL14" s="140">
        <f t="shared" si="4"/>
        <v>13903392.16</v>
      </c>
    </row>
    <row r="15" ht="15.75" customHeight="1">
      <c r="D15" s="57" t="s">
        <v>249</v>
      </c>
      <c r="E15" s="153">
        <f t="shared" ref="E15:BL15" si="5">E9 + E12 - E14</f>
        <v>0</v>
      </c>
      <c r="F15" s="153">
        <f t="shared" si="5"/>
        <v>0</v>
      </c>
      <c r="G15" s="153">
        <f t="shared" si="5"/>
        <v>0</v>
      </c>
      <c r="H15" s="153">
        <f t="shared" si="5"/>
        <v>0</v>
      </c>
      <c r="I15" s="153">
        <f t="shared" si="5"/>
        <v>268811.7837</v>
      </c>
      <c r="J15" s="153">
        <f t="shared" si="5"/>
        <v>537623.5674</v>
      </c>
      <c r="K15" s="153">
        <f t="shared" si="5"/>
        <v>2181035.031</v>
      </c>
      <c r="L15" s="153">
        <f t="shared" si="5"/>
        <v>2449846.815</v>
      </c>
      <c r="M15" s="153">
        <f t="shared" si="5"/>
        <v>2718658.599</v>
      </c>
      <c r="N15" s="153">
        <f t="shared" si="5"/>
        <v>2987470.382</v>
      </c>
      <c r="O15" s="153">
        <f t="shared" si="5"/>
        <v>3256282.166</v>
      </c>
      <c r="P15" s="153">
        <f t="shared" si="5"/>
        <v>3525093.95</v>
      </c>
      <c r="Q15" s="153">
        <f t="shared" si="5"/>
        <v>4009577.372</v>
      </c>
      <c r="R15" s="153">
        <f t="shared" si="5"/>
        <v>4293783.092</v>
      </c>
      <c r="S15" s="153">
        <f t="shared" si="5"/>
        <v>4577988.813</v>
      </c>
      <c r="T15" s="153">
        <f t="shared" si="5"/>
        <v>4862194.534</v>
      </c>
      <c r="U15" s="153">
        <f t="shared" si="5"/>
        <v>5146400.254</v>
      </c>
      <c r="V15" s="153">
        <f t="shared" si="5"/>
        <v>5430605.975</v>
      </c>
      <c r="W15" s="153">
        <f t="shared" si="5"/>
        <v>5714811.695</v>
      </c>
      <c r="X15" s="153">
        <f t="shared" si="5"/>
        <v>5999017.416</v>
      </c>
      <c r="Y15" s="153">
        <f t="shared" si="5"/>
        <v>6283223.137</v>
      </c>
      <c r="Z15" s="153">
        <f t="shared" si="5"/>
        <v>6567428.857</v>
      </c>
      <c r="AA15" s="153">
        <f t="shared" si="5"/>
        <v>6851634.578</v>
      </c>
      <c r="AB15" s="153">
        <f t="shared" si="5"/>
        <v>7135840.298</v>
      </c>
      <c r="AC15" s="153">
        <f t="shared" si="5"/>
        <v>9437418.725</v>
      </c>
      <c r="AD15" s="153">
        <f t="shared" si="5"/>
        <v>9739630.579</v>
      </c>
      <c r="AE15" s="153">
        <f t="shared" si="5"/>
        <v>10041842.43</v>
      </c>
      <c r="AF15" s="153">
        <f t="shared" si="5"/>
        <v>10344054.29</v>
      </c>
      <c r="AG15" s="153">
        <f t="shared" si="5"/>
        <v>10646266.14</v>
      </c>
      <c r="AH15" s="153">
        <f t="shared" si="5"/>
        <v>10948478</v>
      </c>
      <c r="AI15" s="153">
        <f t="shared" si="5"/>
        <v>11250689.85</v>
      </c>
      <c r="AJ15" s="153">
        <f t="shared" si="5"/>
        <v>11552901.7</v>
      </c>
      <c r="AK15" s="153">
        <f t="shared" si="5"/>
        <v>11855113.56</v>
      </c>
      <c r="AL15" s="153">
        <f t="shared" si="5"/>
        <v>12157325.41</v>
      </c>
      <c r="AM15" s="153">
        <f t="shared" si="5"/>
        <v>12459537.27</v>
      </c>
      <c r="AN15" s="153">
        <f t="shared" si="5"/>
        <v>12761749.12</v>
      </c>
      <c r="AO15" s="153">
        <f t="shared" si="5"/>
        <v>21122011.77</v>
      </c>
      <c r="AP15" s="153">
        <f t="shared" si="5"/>
        <v>22085922.56</v>
      </c>
      <c r="AQ15" s="153">
        <f t="shared" si="5"/>
        <v>23049833.36</v>
      </c>
      <c r="AR15" s="153">
        <f t="shared" si="5"/>
        <v>24013744.15</v>
      </c>
      <c r="AS15" s="153">
        <f t="shared" si="5"/>
        <v>24977654.95</v>
      </c>
      <c r="AT15" s="153">
        <f t="shared" si="5"/>
        <v>25941565.74</v>
      </c>
      <c r="AU15" s="153">
        <f t="shared" si="5"/>
        <v>26905476.53</v>
      </c>
      <c r="AV15" s="153">
        <f t="shared" si="5"/>
        <v>27869387.33</v>
      </c>
      <c r="AW15" s="153">
        <f t="shared" si="5"/>
        <v>27869387.33</v>
      </c>
      <c r="AX15" s="153">
        <f t="shared" si="5"/>
        <v>27869387.33</v>
      </c>
      <c r="AY15" s="153">
        <f t="shared" si="5"/>
        <v>27869387.33</v>
      </c>
      <c r="AZ15" s="153">
        <f t="shared" si="5"/>
        <v>27869387.33</v>
      </c>
      <c r="BA15" s="153">
        <f t="shared" si="5"/>
        <v>30197922.15</v>
      </c>
      <c r="BB15" s="153">
        <f t="shared" si="5"/>
        <v>30197922.15</v>
      </c>
      <c r="BC15" s="153">
        <f t="shared" si="5"/>
        <v>30197922.15</v>
      </c>
      <c r="BD15" s="153">
        <f t="shared" si="5"/>
        <v>30197922.15</v>
      </c>
      <c r="BE15" s="153">
        <f t="shared" si="5"/>
        <v>30197922.15</v>
      </c>
      <c r="BF15" s="153">
        <f t="shared" si="5"/>
        <v>30197922.15</v>
      </c>
      <c r="BG15" s="153">
        <f t="shared" si="5"/>
        <v>30197922.15</v>
      </c>
      <c r="BH15" s="153">
        <f t="shared" si="5"/>
        <v>30197922.15</v>
      </c>
      <c r="BI15" s="153">
        <f t="shared" si="5"/>
        <v>30197922.15</v>
      </c>
      <c r="BJ15" s="153">
        <f t="shared" si="5"/>
        <v>30197922.15</v>
      </c>
      <c r="BK15" s="153">
        <f t="shared" si="5"/>
        <v>30197922.15</v>
      </c>
      <c r="BL15" s="140">
        <f t="shared" si="5"/>
        <v>30197922.15</v>
      </c>
    </row>
    <row r="16" ht="15.75" customHeight="1">
      <c r="D16" s="85" t="s">
        <v>250</v>
      </c>
      <c r="E16" s="161">
        <f>E15</f>
        <v>0</v>
      </c>
      <c r="F16" s="161">
        <f t="shared" ref="F16:BL16" si="6">F15 - E15</f>
        <v>0</v>
      </c>
      <c r="G16" s="161">
        <f t="shared" si="6"/>
        <v>0</v>
      </c>
      <c r="H16" s="161">
        <f t="shared" si="6"/>
        <v>0</v>
      </c>
      <c r="I16" s="161">
        <f t="shared" si="6"/>
        <v>268811.7837</v>
      </c>
      <c r="J16" s="161">
        <f t="shared" si="6"/>
        <v>268811.7837</v>
      </c>
      <c r="K16" s="161">
        <f t="shared" si="6"/>
        <v>1643411.464</v>
      </c>
      <c r="L16" s="161">
        <f t="shared" si="6"/>
        <v>268811.7837</v>
      </c>
      <c r="M16" s="161">
        <f t="shared" si="6"/>
        <v>268811.7837</v>
      </c>
      <c r="N16" s="161">
        <f t="shared" si="6"/>
        <v>268811.7837</v>
      </c>
      <c r="O16" s="161">
        <f t="shared" si="6"/>
        <v>268811.7837</v>
      </c>
      <c r="P16" s="161">
        <f t="shared" si="6"/>
        <v>268811.7837</v>
      </c>
      <c r="Q16" s="161">
        <f t="shared" si="6"/>
        <v>484483.422</v>
      </c>
      <c r="R16" s="161">
        <f t="shared" si="6"/>
        <v>284205.7206</v>
      </c>
      <c r="S16" s="161">
        <f t="shared" si="6"/>
        <v>284205.7206</v>
      </c>
      <c r="T16" s="161">
        <f t="shared" si="6"/>
        <v>284205.7206</v>
      </c>
      <c r="U16" s="161">
        <f t="shared" si="6"/>
        <v>284205.7206</v>
      </c>
      <c r="V16" s="161">
        <f t="shared" si="6"/>
        <v>284205.7206</v>
      </c>
      <c r="W16" s="161">
        <f t="shared" si="6"/>
        <v>284205.7206</v>
      </c>
      <c r="X16" s="161">
        <f t="shared" si="6"/>
        <v>284205.7206</v>
      </c>
      <c r="Y16" s="161">
        <f t="shared" si="6"/>
        <v>284205.7206</v>
      </c>
      <c r="Z16" s="161">
        <f t="shared" si="6"/>
        <v>284205.7206</v>
      </c>
      <c r="AA16" s="161">
        <f t="shared" si="6"/>
        <v>284205.7206</v>
      </c>
      <c r="AB16" s="161">
        <f t="shared" si="6"/>
        <v>284205.7206</v>
      </c>
      <c r="AC16" s="161">
        <f t="shared" si="6"/>
        <v>2301578.426</v>
      </c>
      <c r="AD16" s="161">
        <f t="shared" si="6"/>
        <v>302211.8542</v>
      </c>
      <c r="AE16" s="161">
        <f t="shared" si="6"/>
        <v>302211.8542</v>
      </c>
      <c r="AF16" s="161">
        <f t="shared" si="6"/>
        <v>302211.8542</v>
      </c>
      <c r="AG16" s="161">
        <f t="shared" si="6"/>
        <v>302211.8542</v>
      </c>
      <c r="AH16" s="161">
        <f t="shared" si="6"/>
        <v>302211.8542</v>
      </c>
      <c r="AI16" s="161">
        <f t="shared" si="6"/>
        <v>302211.8542</v>
      </c>
      <c r="AJ16" s="161">
        <f t="shared" si="6"/>
        <v>302211.8542</v>
      </c>
      <c r="AK16" s="161">
        <f t="shared" si="6"/>
        <v>302211.8542</v>
      </c>
      <c r="AL16" s="161">
        <f t="shared" si="6"/>
        <v>302211.8542</v>
      </c>
      <c r="AM16" s="161">
        <f t="shared" si="6"/>
        <v>302211.8542</v>
      </c>
      <c r="AN16" s="161">
        <f t="shared" si="6"/>
        <v>302211.8542</v>
      </c>
      <c r="AO16" s="161">
        <f t="shared" si="6"/>
        <v>8360262.649</v>
      </c>
      <c r="AP16" s="161">
        <f t="shared" si="6"/>
        <v>963910.7939</v>
      </c>
      <c r="AQ16" s="161">
        <f t="shared" si="6"/>
        <v>963910.7939</v>
      </c>
      <c r="AR16" s="161">
        <f t="shared" si="6"/>
        <v>963910.7939</v>
      </c>
      <c r="AS16" s="161">
        <f t="shared" si="6"/>
        <v>963910.7939</v>
      </c>
      <c r="AT16" s="161">
        <f t="shared" si="6"/>
        <v>963910.7939</v>
      </c>
      <c r="AU16" s="161">
        <f t="shared" si="6"/>
        <v>963910.7939</v>
      </c>
      <c r="AV16" s="161">
        <f t="shared" si="6"/>
        <v>963910.7939</v>
      </c>
      <c r="AW16" s="161">
        <f t="shared" si="6"/>
        <v>0</v>
      </c>
      <c r="AX16" s="161">
        <f t="shared" si="6"/>
        <v>0</v>
      </c>
      <c r="AY16" s="161">
        <f t="shared" si="6"/>
        <v>0</v>
      </c>
      <c r="AZ16" s="161">
        <f t="shared" si="6"/>
        <v>0</v>
      </c>
      <c r="BA16" s="161">
        <f t="shared" si="6"/>
        <v>2328534.821</v>
      </c>
      <c r="BB16" s="161">
        <f t="shared" si="6"/>
        <v>0</v>
      </c>
      <c r="BC16" s="161">
        <f t="shared" si="6"/>
        <v>0</v>
      </c>
      <c r="BD16" s="161">
        <f t="shared" si="6"/>
        <v>0</v>
      </c>
      <c r="BE16" s="161">
        <f t="shared" si="6"/>
        <v>0</v>
      </c>
      <c r="BF16" s="161">
        <f t="shared" si="6"/>
        <v>0</v>
      </c>
      <c r="BG16" s="161">
        <f t="shared" si="6"/>
        <v>0</v>
      </c>
      <c r="BH16" s="161">
        <f t="shared" si="6"/>
        <v>0</v>
      </c>
      <c r="BI16" s="161">
        <f t="shared" si="6"/>
        <v>0</v>
      </c>
      <c r="BJ16" s="161">
        <f t="shared" si="6"/>
        <v>0</v>
      </c>
      <c r="BK16" s="161">
        <f t="shared" si="6"/>
        <v>0</v>
      </c>
      <c r="BL16" s="143">
        <f t="shared" si="6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2" width="5.75"/>
    <col customWidth="1" min="3" max="3" width="3.38"/>
    <col customWidth="1" min="4" max="4" width="21.63"/>
    <col customWidth="1" min="5" max="8" width="13.5"/>
    <col customWidth="1" min="9" max="9" width="14.5"/>
    <col customWidth="1" min="10" max="10" width="15.13"/>
    <col customWidth="1" min="11" max="64" width="15.5"/>
  </cols>
  <sheetData>
    <row r="1">
      <c r="A1" s="194" t="str">
        <f>COVER!$B$12</f>
        <v>Narayan Dairy Project</v>
      </c>
      <c r="C1" s="195"/>
      <c r="D1" s="60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</row>
    <row r="2" ht="15.75" customHeight="1">
      <c r="A2" s="197" t="s">
        <v>251</v>
      </c>
      <c r="C2" s="195"/>
      <c r="D2" s="60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</row>
    <row r="3" ht="15.75" customHeight="1">
      <c r="A3" s="198"/>
      <c r="B3" s="198"/>
      <c r="C3" s="199"/>
      <c r="D3" s="200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</row>
    <row r="4" ht="15.75" customHeight="1">
      <c r="A4" s="202"/>
      <c r="B4" s="202"/>
      <c r="C4" s="203"/>
      <c r="D4" s="131" t="s">
        <v>252</v>
      </c>
      <c r="E4" s="131">
        <v>1.0</v>
      </c>
      <c r="F4" s="131">
        <f t="shared" ref="F4:BL4" si="1">E4+1</f>
        <v>2</v>
      </c>
      <c r="G4" s="131">
        <f t="shared" si="1"/>
        <v>3</v>
      </c>
      <c r="H4" s="131">
        <f t="shared" si="1"/>
        <v>4</v>
      </c>
      <c r="I4" s="131">
        <f t="shared" si="1"/>
        <v>5</v>
      </c>
      <c r="J4" s="131">
        <f t="shared" si="1"/>
        <v>6</v>
      </c>
      <c r="K4" s="131">
        <f t="shared" si="1"/>
        <v>7</v>
      </c>
      <c r="L4" s="131">
        <f t="shared" si="1"/>
        <v>8</v>
      </c>
      <c r="M4" s="131">
        <f t="shared" si="1"/>
        <v>9</v>
      </c>
      <c r="N4" s="131">
        <f t="shared" si="1"/>
        <v>10</v>
      </c>
      <c r="O4" s="131">
        <f t="shared" si="1"/>
        <v>11</v>
      </c>
      <c r="P4" s="131">
        <f t="shared" si="1"/>
        <v>12</v>
      </c>
      <c r="Q4" s="131">
        <f t="shared" si="1"/>
        <v>13</v>
      </c>
      <c r="R4" s="131">
        <f t="shared" si="1"/>
        <v>14</v>
      </c>
      <c r="S4" s="131">
        <f t="shared" si="1"/>
        <v>15</v>
      </c>
      <c r="T4" s="131">
        <f t="shared" si="1"/>
        <v>16</v>
      </c>
      <c r="U4" s="131">
        <f t="shared" si="1"/>
        <v>17</v>
      </c>
      <c r="V4" s="131">
        <f t="shared" si="1"/>
        <v>18</v>
      </c>
      <c r="W4" s="131">
        <f t="shared" si="1"/>
        <v>19</v>
      </c>
      <c r="X4" s="131">
        <f t="shared" si="1"/>
        <v>20</v>
      </c>
      <c r="Y4" s="131">
        <f t="shared" si="1"/>
        <v>21</v>
      </c>
      <c r="Z4" s="131">
        <f t="shared" si="1"/>
        <v>22</v>
      </c>
      <c r="AA4" s="131">
        <f t="shared" si="1"/>
        <v>23</v>
      </c>
      <c r="AB4" s="131">
        <f t="shared" si="1"/>
        <v>24</v>
      </c>
      <c r="AC4" s="131">
        <f t="shared" si="1"/>
        <v>25</v>
      </c>
      <c r="AD4" s="131">
        <f t="shared" si="1"/>
        <v>26</v>
      </c>
      <c r="AE4" s="131">
        <f t="shared" si="1"/>
        <v>27</v>
      </c>
      <c r="AF4" s="131">
        <f t="shared" si="1"/>
        <v>28</v>
      </c>
      <c r="AG4" s="131">
        <f t="shared" si="1"/>
        <v>29</v>
      </c>
      <c r="AH4" s="131">
        <f t="shared" si="1"/>
        <v>30</v>
      </c>
      <c r="AI4" s="131">
        <f t="shared" si="1"/>
        <v>31</v>
      </c>
      <c r="AJ4" s="131">
        <f t="shared" si="1"/>
        <v>32</v>
      </c>
      <c r="AK4" s="131">
        <f t="shared" si="1"/>
        <v>33</v>
      </c>
      <c r="AL4" s="131">
        <f t="shared" si="1"/>
        <v>34</v>
      </c>
      <c r="AM4" s="131">
        <f t="shared" si="1"/>
        <v>35</v>
      </c>
      <c r="AN4" s="131">
        <f t="shared" si="1"/>
        <v>36</v>
      </c>
      <c r="AO4" s="131">
        <f t="shared" si="1"/>
        <v>37</v>
      </c>
      <c r="AP4" s="131">
        <f t="shared" si="1"/>
        <v>38</v>
      </c>
      <c r="AQ4" s="131">
        <f t="shared" si="1"/>
        <v>39</v>
      </c>
      <c r="AR4" s="131">
        <f t="shared" si="1"/>
        <v>40</v>
      </c>
      <c r="AS4" s="131">
        <f t="shared" si="1"/>
        <v>41</v>
      </c>
      <c r="AT4" s="131">
        <f t="shared" si="1"/>
        <v>42</v>
      </c>
      <c r="AU4" s="131">
        <f t="shared" si="1"/>
        <v>43</v>
      </c>
      <c r="AV4" s="131">
        <f t="shared" si="1"/>
        <v>44</v>
      </c>
      <c r="AW4" s="131">
        <f t="shared" si="1"/>
        <v>45</v>
      </c>
      <c r="AX4" s="131">
        <f t="shared" si="1"/>
        <v>46</v>
      </c>
      <c r="AY4" s="131">
        <f t="shared" si="1"/>
        <v>47</v>
      </c>
      <c r="AZ4" s="131">
        <f t="shared" si="1"/>
        <v>48</v>
      </c>
      <c r="BA4" s="131">
        <f t="shared" si="1"/>
        <v>49</v>
      </c>
      <c r="BB4" s="131">
        <f t="shared" si="1"/>
        <v>50</v>
      </c>
      <c r="BC4" s="131">
        <f t="shared" si="1"/>
        <v>51</v>
      </c>
      <c r="BD4" s="131">
        <f t="shared" si="1"/>
        <v>52</v>
      </c>
      <c r="BE4" s="131">
        <f t="shared" si="1"/>
        <v>53</v>
      </c>
      <c r="BF4" s="131">
        <f t="shared" si="1"/>
        <v>54</v>
      </c>
      <c r="BG4" s="131">
        <f t="shared" si="1"/>
        <v>55</v>
      </c>
      <c r="BH4" s="131">
        <f t="shared" si="1"/>
        <v>56</v>
      </c>
      <c r="BI4" s="131">
        <f t="shared" si="1"/>
        <v>57</v>
      </c>
      <c r="BJ4" s="131">
        <f t="shared" si="1"/>
        <v>58</v>
      </c>
      <c r="BK4" s="131">
        <f t="shared" si="1"/>
        <v>59</v>
      </c>
      <c r="BL4" s="132">
        <f t="shared" si="1"/>
        <v>60</v>
      </c>
    </row>
    <row r="5" ht="1.5" customHeight="1">
      <c r="C5" s="204"/>
      <c r="D5" s="134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6"/>
    </row>
    <row r="6" ht="1.5" customHeight="1">
      <c r="C6" s="207"/>
      <c r="D6" s="137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9"/>
    </row>
    <row r="7" ht="15.75" customHeight="1">
      <c r="B7" s="202"/>
      <c r="C7" s="210" t="s">
        <v>253</v>
      </c>
      <c r="D7" s="75" t="s">
        <v>243</v>
      </c>
      <c r="E7" s="211">
        <f>'PRODUCT PRICING &amp; REVENUE ENGIN'!E58</f>
        <v>0</v>
      </c>
      <c r="F7" s="211">
        <f>'PRODUCT PRICING &amp; REVENUE ENGIN'!F58</f>
        <v>0</v>
      </c>
      <c r="G7" s="211">
        <f>'PRODUCT PRICING &amp; REVENUE ENGIN'!G58</f>
        <v>0</v>
      </c>
      <c r="H7" s="211">
        <f>'PRODUCT PRICING &amp; REVENUE ENGIN'!H58</f>
        <v>0</v>
      </c>
      <c r="I7" s="211">
        <f>'PRODUCT PRICING &amp; REVENUE ENGIN'!I58</f>
        <v>2387024.64</v>
      </c>
      <c r="J7" s="211">
        <f>'PRODUCT PRICING &amp; REVENUE ENGIN'!J58</f>
        <v>4774049.28</v>
      </c>
      <c r="K7" s="211">
        <f>'PRODUCT PRICING &amp; REVENUE ENGIN'!K58</f>
        <v>19546446.24</v>
      </c>
      <c r="L7" s="211">
        <f>'PRODUCT PRICING &amp; REVENUE ENGIN'!L58</f>
        <v>21933470.88</v>
      </c>
      <c r="M7" s="211">
        <f>'PRODUCT PRICING &amp; REVENUE ENGIN'!M58</f>
        <v>24320495.52</v>
      </c>
      <c r="N7" s="211">
        <f>'PRODUCT PRICING &amp; REVENUE ENGIN'!N58</f>
        <v>26707520.16</v>
      </c>
      <c r="O7" s="211">
        <f>'PRODUCT PRICING &amp; REVENUE ENGIN'!O58</f>
        <v>29094544.8</v>
      </c>
      <c r="P7" s="211">
        <f>'PRODUCT PRICING &amp; REVENUE ENGIN'!P58</f>
        <v>31481569.44</v>
      </c>
      <c r="Q7" s="211">
        <f>'PRODUCT PRICING &amp; REVENUE ENGIN'!Q58</f>
        <v>35733958.65</v>
      </c>
      <c r="R7" s="211">
        <f>'PRODUCT PRICING &amp; REVENUE ENGIN'!R58</f>
        <v>38228735.46</v>
      </c>
      <c r="S7" s="211">
        <f>'PRODUCT PRICING &amp; REVENUE ENGIN'!S58</f>
        <v>40723512.27</v>
      </c>
      <c r="T7" s="211">
        <f>'PRODUCT PRICING &amp; REVENUE ENGIN'!T58</f>
        <v>43218289.08</v>
      </c>
      <c r="U7" s="211">
        <f>'PRODUCT PRICING &amp; REVENUE ENGIN'!U58</f>
        <v>45713065.89</v>
      </c>
      <c r="V7" s="211">
        <f>'PRODUCT PRICING &amp; REVENUE ENGIN'!V58</f>
        <v>48207842.7</v>
      </c>
      <c r="W7" s="211">
        <f>'PRODUCT PRICING &amp; REVENUE ENGIN'!W58</f>
        <v>50702619.51</v>
      </c>
      <c r="X7" s="211">
        <f>'PRODUCT PRICING &amp; REVENUE ENGIN'!X58</f>
        <v>53197396.32</v>
      </c>
      <c r="Y7" s="211">
        <f>'PRODUCT PRICING &amp; REVENUE ENGIN'!Y58</f>
        <v>55692173.13</v>
      </c>
      <c r="Z7" s="211">
        <f>'PRODUCT PRICING &amp; REVENUE ENGIN'!Z58</f>
        <v>58186949.94</v>
      </c>
      <c r="AA7" s="211">
        <f>'PRODUCT PRICING &amp; REVENUE ENGIN'!AA58</f>
        <v>60681726.75</v>
      </c>
      <c r="AB7" s="211">
        <f>'PRODUCT PRICING &amp; REVENUE ENGIN'!AB58</f>
        <v>63176503.56</v>
      </c>
      <c r="AC7" s="211">
        <f>'PRODUCT PRICING &amp; REVENUE ENGIN'!AC58</f>
        <v>84481806.73</v>
      </c>
      <c r="AD7" s="211">
        <f>'PRODUCT PRICING &amp; REVENUE ENGIN'!AD58</f>
        <v>87125878.2</v>
      </c>
      <c r="AE7" s="211">
        <f>'PRODUCT PRICING &amp; REVENUE ENGIN'!AE58</f>
        <v>89769949.66</v>
      </c>
      <c r="AF7" s="211">
        <f>'PRODUCT PRICING &amp; REVENUE ENGIN'!AF58</f>
        <v>92414021.12</v>
      </c>
      <c r="AG7" s="211">
        <f>'PRODUCT PRICING &amp; REVENUE ENGIN'!AG58</f>
        <v>95058092.58</v>
      </c>
      <c r="AH7" s="211">
        <f>'PRODUCT PRICING &amp; REVENUE ENGIN'!AH58</f>
        <v>97702164.05</v>
      </c>
      <c r="AI7" s="211">
        <f>'PRODUCT PRICING &amp; REVENUE ENGIN'!AI58</f>
        <v>100346235.5</v>
      </c>
      <c r="AJ7" s="211">
        <f>'PRODUCT PRICING &amp; REVENUE ENGIN'!AJ58</f>
        <v>102990307</v>
      </c>
      <c r="AK7" s="211">
        <f>'PRODUCT PRICING &amp; REVENUE ENGIN'!AK58</f>
        <v>105634378.4</v>
      </c>
      <c r="AL7" s="211">
        <f>'PRODUCT PRICING &amp; REVENUE ENGIN'!AL58</f>
        <v>108278449.9</v>
      </c>
      <c r="AM7" s="211">
        <f>'PRODUCT PRICING &amp; REVENUE ENGIN'!AM58</f>
        <v>110922521.4</v>
      </c>
      <c r="AN7" s="211">
        <f>'PRODUCT PRICING &amp; REVENUE ENGIN'!AN58</f>
        <v>113566592.8</v>
      </c>
      <c r="AO7" s="211">
        <f>'PRODUCT PRICING &amp; REVENUE ENGIN'!AO58</f>
        <v>192598814.2</v>
      </c>
      <c r="AP7" s="211">
        <f>'PRODUCT PRICING &amp; REVENUE ENGIN'!AP58</f>
        <v>200999049.7</v>
      </c>
      <c r="AQ7" s="211">
        <f>'PRODUCT PRICING &amp; REVENUE ENGIN'!AQ58</f>
        <v>209399285.2</v>
      </c>
      <c r="AR7" s="211">
        <f>'PRODUCT PRICING &amp; REVENUE ENGIN'!AR58</f>
        <v>217799520.7</v>
      </c>
      <c r="AS7" s="211">
        <f>'PRODUCT PRICING &amp; REVENUE ENGIN'!AS58</f>
        <v>226199756.2</v>
      </c>
      <c r="AT7" s="211">
        <f>'PRODUCT PRICING &amp; REVENUE ENGIN'!AT58</f>
        <v>234599991.6</v>
      </c>
      <c r="AU7" s="211">
        <f>'PRODUCT PRICING &amp; REVENUE ENGIN'!AU58</f>
        <v>243000227.1</v>
      </c>
      <c r="AV7" s="211">
        <f>'PRODUCT PRICING &amp; REVENUE ENGIN'!AV58</f>
        <v>251400462.6</v>
      </c>
      <c r="AW7" s="211">
        <f>'PRODUCT PRICING &amp; REVENUE ENGIN'!AW58</f>
        <v>251400462.6</v>
      </c>
      <c r="AX7" s="211">
        <f>'PRODUCT PRICING &amp; REVENUE ENGIN'!AX58</f>
        <v>251400462.6</v>
      </c>
      <c r="AY7" s="211">
        <f>'PRODUCT PRICING &amp; REVENUE ENGIN'!AY58</f>
        <v>251400462.6</v>
      </c>
      <c r="AZ7" s="211">
        <f>'PRODUCT PRICING &amp; REVENUE ENGIN'!AZ58</f>
        <v>251400462.6</v>
      </c>
      <c r="BA7" s="211">
        <f>'PRODUCT PRICING &amp; REVENUE ENGIN'!BA58</f>
        <v>280285017.3</v>
      </c>
      <c r="BB7" s="211">
        <f>'PRODUCT PRICING &amp; REVENUE ENGIN'!BB58</f>
        <v>280285017.3</v>
      </c>
      <c r="BC7" s="211">
        <f>'PRODUCT PRICING &amp; REVENUE ENGIN'!BC58</f>
        <v>280285017.3</v>
      </c>
      <c r="BD7" s="211">
        <f>'PRODUCT PRICING &amp; REVENUE ENGIN'!BD58</f>
        <v>280285017.3</v>
      </c>
      <c r="BE7" s="211">
        <f>'PRODUCT PRICING &amp; REVENUE ENGIN'!BE58</f>
        <v>280285017.3</v>
      </c>
      <c r="BF7" s="211">
        <f>'PRODUCT PRICING &amp; REVENUE ENGIN'!BF58</f>
        <v>280285017.3</v>
      </c>
      <c r="BG7" s="211">
        <f>'PRODUCT PRICING &amp; REVENUE ENGIN'!BG58</f>
        <v>280285017.3</v>
      </c>
      <c r="BH7" s="211">
        <f>'PRODUCT PRICING &amp; REVENUE ENGIN'!BH58</f>
        <v>280285017.3</v>
      </c>
      <c r="BI7" s="211">
        <f>'PRODUCT PRICING &amp; REVENUE ENGIN'!BI58</f>
        <v>280285017.3</v>
      </c>
      <c r="BJ7" s="211">
        <f>'PRODUCT PRICING &amp; REVENUE ENGIN'!BJ58</f>
        <v>280285017.3</v>
      </c>
      <c r="BK7" s="211">
        <f>'PRODUCT PRICING &amp; REVENUE ENGIN'!BK58</f>
        <v>280285017.3</v>
      </c>
      <c r="BL7" s="212">
        <f>'PRODUCT PRICING &amp; REVENUE ENGIN'!BL58</f>
        <v>280285017.3</v>
      </c>
    </row>
    <row r="8" ht="15.75" customHeight="1">
      <c r="A8" s="202"/>
      <c r="B8" s="202"/>
      <c r="C8" s="210" t="s">
        <v>254</v>
      </c>
      <c r="D8" s="213" t="s">
        <v>245</v>
      </c>
      <c r="E8" s="214">
        <f>'COGS ENGINE'!E39</f>
        <v>0</v>
      </c>
      <c r="F8" s="214">
        <f>'COGS ENGINE'!F39</f>
        <v>0</v>
      </c>
      <c r="G8" s="214">
        <f>'COGS ENGINE'!G39</f>
        <v>0</v>
      </c>
      <c r="H8" s="214">
        <f>'COGS ENGINE'!H39</f>
        <v>0</v>
      </c>
      <c r="I8" s="214">
        <f>'COGS ENGINE'!I39</f>
        <v>1892442.957</v>
      </c>
      <c r="J8" s="214">
        <f>'COGS ENGINE'!J39</f>
        <v>3784885.914</v>
      </c>
      <c r="K8" s="214">
        <f>'COGS ENGINE'!K39</f>
        <v>15294868.23</v>
      </c>
      <c r="L8" s="214">
        <f>'COGS ENGINE'!L39</f>
        <v>17187311.19</v>
      </c>
      <c r="M8" s="214">
        <f>'COGS ENGINE'!M39</f>
        <v>19079754.15</v>
      </c>
      <c r="N8" s="214">
        <f>'COGS ENGINE'!N39</f>
        <v>20972197.1</v>
      </c>
      <c r="O8" s="214">
        <f>'COGS ENGINE'!O39</f>
        <v>22864640.06</v>
      </c>
      <c r="P8" s="214">
        <f>'COGS ENGINE'!P39</f>
        <v>24757083.02</v>
      </c>
      <c r="Q8" s="214">
        <f>'COGS ENGINE'!Q39</f>
        <v>28184454.17</v>
      </c>
      <c r="R8" s="214">
        <f>'COGS ENGINE'!R39</f>
        <v>30194919.1</v>
      </c>
      <c r="S8" s="214">
        <f>'COGS ENGINE'!S39</f>
        <v>32205384.04</v>
      </c>
      <c r="T8" s="214">
        <f>'COGS ENGINE'!T39</f>
        <v>34215848.98</v>
      </c>
      <c r="U8" s="214">
        <f>'COGS ENGINE'!U39</f>
        <v>36226313.91</v>
      </c>
      <c r="V8" s="214">
        <f>'COGS ENGINE'!V39</f>
        <v>38236778.85</v>
      </c>
      <c r="W8" s="214">
        <f>'COGS ENGINE'!W39</f>
        <v>40247243.78</v>
      </c>
      <c r="X8" s="214">
        <f>'COGS ENGINE'!X39</f>
        <v>42257708.72</v>
      </c>
      <c r="Y8" s="214">
        <f>'COGS ENGINE'!Y39</f>
        <v>44268173.66</v>
      </c>
      <c r="Z8" s="214">
        <f>'COGS ENGINE'!Z39</f>
        <v>46278638.59</v>
      </c>
      <c r="AA8" s="214">
        <f>'COGS ENGINE'!AA39</f>
        <v>48289103.53</v>
      </c>
      <c r="AB8" s="214">
        <f>'COGS ENGINE'!AB39</f>
        <v>50299568.46</v>
      </c>
      <c r="AC8" s="214">
        <f>'COGS ENGINE'!AC39</f>
        <v>66213585</v>
      </c>
      <c r="AD8" s="214">
        <f>'COGS ENGINE'!AD39</f>
        <v>68354346.39</v>
      </c>
      <c r="AE8" s="214">
        <f>'COGS ENGINE'!AE39</f>
        <v>70495107.78</v>
      </c>
      <c r="AF8" s="214">
        <f>'COGS ENGINE'!AF39</f>
        <v>72635869.17</v>
      </c>
      <c r="AG8" s="214">
        <f>'COGS ENGINE'!AG39</f>
        <v>74776630.55</v>
      </c>
      <c r="AH8" s="214">
        <f>'COGS ENGINE'!AH39</f>
        <v>76917391.94</v>
      </c>
      <c r="AI8" s="214">
        <f>'COGS ENGINE'!AI39</f>
        <v>79058153.33</v>
      </c>
      <c r="AJ8" s="214">
        <f>'COGS ENGINE'!AJ39</f>
        <v>81198914.72</v>
      </c>
      <c r="AK8" s="214">
        <f>'COGS ENGINE'!AK39</f>
        <v>83339676.11</v>
      </c>
      <c r="AL8" s="214">
        <f>'COGS ENGINE'!AL39</f>
        <v>85480437.49</v>
      </c>
      <c r="AM8" s="214">
        <f>'COGS ENGINE'!AM39</f>
        <v>87621198.88</v>
      </c>
      <c r="AN8" s="214">
        <f>'COGS ENGINE'!AN39</f>
        <v>89761960.27</v>
      </c>
      <c r="AO8" s="214">
        <f>'COGS ENGINE'!AO39</f>
        <v>147020513</v>
      </c>
      <c r="AP8" s="214">
        <f>'COGS ENGINE'!AP39</f>
        <v>153859542.4</v>
      </c>
      <c r="AQ8" s="214">
        <f>'COGS ENGINE'!AQ39</f>
        <v>160698571.9</v>
      </c>
      <c r="AR8" s="214">
        <f>'COGS ENGINE'!AR39</f>
        <v>167537601.3</v>
      </c>
      <c r="AS8" s="214">
        <f>'COGS ENGINE'!AS39</f>
        <v>174376630.7</v>
      </c>
      <c r="AT8" s="214">
        <f>'COGS ENGINE'!AT39</f>
        <v>181215660.2</v>
      </c>
      <c r="AU8" s="214">
        <f>'COGS ENGINE'!AU39</f>
        <v>188054689.6</v>
      </c>
      <c r="AV8" s="214">
        <f>'COGS ENGINE'!AV39</f>
        <v>194893719.1</v>
      </c>
      <c r="AW8" s="214">
        <f>'COGS ENGINE'!AW39</f>
        <v>194893719.1</v>
      </c>
      <c r="AX8" s="214">
        <f>'COGS ENGINE'!AX39</f>
        <v>194893719.1</v>
      </c>
      <c r="AY8" s="214">
        <f>'COGS ENGINE'!AY39</f>
        <v>194893719.1</v>
      </c>
      <c r="AZ8" s="214">
        <f>'COGS ENGINE'!AZ39</f>
        <v>194893719.1</v>
      </c>
      <c r="BA8" s="214">
        <f>'COGS ENGINE'!BA39</f>
        <v>208550882.4</v>
      </c>
      <c r="BB8" s="214">
        <f>'COGS ENGINE'!BB39</f>
        <v>208550882.4</v>
      </c>
      <c r="BC8" s="214">
        <f>'COGS ENGINE'!BC39</f>
        <v>208550882.4</v>
      </c>
      <c r="BD8" s="214">
        <f>'COGS ENGINE'!BD39</f>
        <v>208550882.4</v>
      </c>
      <c r="BE8" s="214">
        <f>'COGS ENGINE'!BE39</f>
        <v>208550882.4</v>
      </c>
      <c r="BF8" s="214">
        <f>'COGS ENGINE'!BF39</f>
        <v>208550882.4</v>
      </c>
      <c r="BG8" s="214">
        <f>'COGS ENGINE'!BG39</f>
        <v>208550882.4</v>
      </c>
      <c r="BH8" s="214">
        <f>'COGS ENGINE'!BH39</f>
        <v>208550882.4</v>
      </c>
      <c r="BI8" s="214">
        <f>'COGS ENGINE'!BI39</f>
        <v>208550882.4</v>
      </c>
      <c r="BJ8" s="214">
        <f>'COGS ENGINE'!BJ39</f>
        <v>208550882.4</v>
      </c>
      <c r="BK8" s="214">
        <f>'COGS ENGINE'!BK39</f>
        <v>208550882.4</v>
      </c>
      <c r="BL8" s="215">
        <f>'COGS ENGINE'!BL39</f>
        <v>208550882.4</v>
      </c>
    </row>
    <row r="9" ht="15.75" customHeight="1">
      <c r="A9" s="202"/>
      <c r="B9" s="202"/>
      <c r="C9" s="216" t="s">
        <v>255</v>
      </c>
      <c r="D9" s="32" t="s">
        <v>256</v>
      </c>
      <c r="E9" s="211">
        <f t="shared" ref="E9:BL9" si="2">E7 - E8</f>
        <v>0</v>
      </c>
      <c r="F9" s="211">
        <f t="shared" si="2"/>
        <v>0</v>
      </c>
      <c r="G9" s="211">
        <f t="shared" si="2"/>
        <v>0</v>
      </c>
      <c r="H9" s="211">
        <f t="shared" si="2"/>
        <v>0</v>
      </c>
      <c r="I9" s="211">
        <f t="shared" si="2"/>
        <v>494581.6832</v>
      </c>
      <c r="J9" s="211">
        <f t="shared" si="2"/>
        <v>989163.3664</v>
      </c>
      <c r="K9" s="211">
        <f t="shared" si="2"/>
        <v>4251578.006</v>
      </c>
      <c r="L9" s="211">
        <f t="shared" si="2"/>
        <v>4746159.69</v>
      </c>
      <c r="M9" s="211">
        <f t="shared" si="2"/>
        <v>5240741.373</v>
      </c>
      <c r="N9" s="211">
        <f t="shared" si="2"/>
        <v>5735323.056</v>
      </c>
      <c r="O9" s="211">
        <f t="shared" si="2"/>
        <v>6229904.739</v>
      </c>
      <c r="P9" s="211">
        <f t="shared" si="2"/>
        <v>6724486.422</v>
      </c>
      <c r="Q9" s="211">
        <f t="shared" si="2"/>
        <v>7549504.48</v>
      </c>
      <c r="R9" s="211">
        <f t="shared" si="2"/>
        <v>8033816.354</v>
      </c>
      <c r="S9" s="211">
        <f t="shared" si="2"/>
        <v>8518128.228</v>
      </c>
      <c r="T9" s="211">
        <f t="shared" si="2"/>
        <v>9002440.102</v>
      </c>
      <c r="U9" s="211">
        <f t="shared" si="2"/>
        <v>9486751.976</v>
      </c>
      <c r="V9" s="211">
        <f t="shared" si="2"/>
        <v>9971063.85</v>
      </c>
      <c r="W9" s="211">
        <f t="shared" si="2"/>
        <v>10455375.72</v>
      </c>
      <c r="X9" s="211">
        <f t="shared" si="2"/>
        <v>10939687.6</v>
      </c>
      <c r="Y9" s="211">
        <f t="shared" si="2"/>
        <v>11423999.47</v>
      </c>
      <c r="Z9" s="211">
        <f t="shared" si="2"/>
        <v>11908311.35</v>
      </c>
      <c r="AA9" s="211">
        <f t="shared" si="2"/>
        <v>12392623.22</v>
      </c>
      <c r="AB9" s="211">
        <f t="shared" si="2"/>
        <v>12876935.1</v>
      </c>
      <c r="AC9" s="211">
        <f t="shared" si="2"/>
        <v>18268221.73</v>
      </c>
      <c r="AD9" s="211">
        <f t="shared" si="2"/>
        <v>18771531.81</v>
      </c>
      <c r="AE9" s="211">
        <f t="shared" si="2"/>
        <v>19274841.88</v>
      </c>
      <c r="AF9" s="211">
        <f t="shared" si="2"/>
        <v>19778151.96</v>
      </c>
      <c r="AG9" s="211">
        <f t="shared" si="2"/>
        <v>20281462.03</v>
      </c>
      <c r="AH9" s="211">
        <f t="shared" si="2"/>
        <v>20784772.1</v>
      </c>
      <c r="AI9" s="211">
        <f t="shared" si="2"/>
        <v>21288082.18</v>
      </c>
      <c r="AJ9" s="211">
        <f t="shared" si="2"/>
        <v>21791392.25</v>
      </c>
      <c r="AK9" s="211">
        <f t="shared" si="2"/>
        <v>22294702.33</v>
      </c>
      <c r="AL9" s="211">
        <f t="shared" si="2"/>
        <v>22798012.4</v>
      </c>
      <c r="AM9" s="211">
        <f t="shared" si="2"/>
        <v>23301322.48</v>
      </c>
      <c r="AN9" s="211">
        <f t="shared" si="2"/>
        <v>23804632.55</v>
      </c>
      <c r="AO9" s="211">
        <f t="shared" si="2"/>
        <v>45578301.26</v>
      </c>
      <c r="AP9" s="211">
        <f t="shared" si="2"/>
        <v>47139507.3</v>
      </c>
      <c r="AQ9" s="211">
        <f t="shared" si="2"/>
        <v>48700713.34</v>
      </c>
      <c r="AR9" s="211">
        <f t="shared" si="2"/>
        <v>50261919.38</v>
      </c>
      <c r="AS9" s="211">
        <f t="shared" si="2"/>
        <v>51823125.42</v>
      </c>
      <c r="AT9" s="211">
        <f t="shared" si="2"/>
        <v>53384331.46</v>
      </c>
      <c r="AU9" s="211">
        <f t="shared" si="2"/>
        <v>54945537.5</v>
      </c>
      <c r="AV9" s="211">
        <f t="shared" si="2"/>
        <v>56506743.54</v>
      </c>
      <c r="AW9" s="211">
        <f t="shared" si="2"/>
        <v>56506743.54</v>
      </c>
      <c r="AX9" s="211">
        <f t="shared" si="2"/>
        <v>56506743.54</v>
      </c>
      <c r="AY9" s="211">
        <f t="shared" si="2"/>
        <v>56506743.54</v>
      </c>
      <c r="AZ9" s="211">
        <f t="shared" si="2"/>
        <v>56506743.54</v>
      </c>
      <c r="BA9" s="211">
        <f t="shared" si="2"/>
        <v>71734134.94</v>
      </c>
      <c r="BB9" s="211">
        <f t="shared" si="2"/>
        <v>71734134.94</v>
      </c>
      <c r="BC9" s="211">
        <f t="shared" si="2"/>
        <v>71734134.94</v>
      </c>
      <c r="BD9" s="211">
        <f t="shared" si="2"/>
        <v>71734134.94</v>
      </c>
      <c r="BE9" s="211">
        <f t="shared" si="2"/>
        <v>71734134.94</v>
      </c>
      <c r="BF9" s="211">
        <f t="shared" si="2"/>
        <v>71734134.94</v>
      </c>
      <c r="BG9" s="211">
        <f t="shared" si="2"/>
        <v>71734134.94</v>
      </c>
      <c r="BH9" s="211">
        <f t="shared" si="2"/>
        <v>71734134.94</v>
      </c>
      <c r="BI9" s="211">
        <f t="shared" si="2"/>
        <v>71734134.94</v>
      </c>
      <c r="BJ9" s="211">
        <f t="shared" si="2"/>
        <v>71734134.94</v>
      </c>
      <c r="BK9" s="211">
        <f t="shared" si="2"/>
        <v>71734134.94</v>
      </c>
      <c r="BL9" s="212">
        <f t="shared" si="2"/>
        <v>71734134.94</v>
      </c>
    </row>
    <row r="10" ht="15.75" customHeight="1">
      <c r="C10" s="216" t="s">
        <v>257</v>
      </c>
      <c r="D10" s="32" t="s">
        <v>258</v>
      </c>
      <c r="E10" s="217">
        <f t="shared" ref="E10:BL10" si="3">IF(E9 = 0, 0, E9 / E7)</f>
        <v>0</v>
      </c>
      <c r="F10" s="217">
        <f t="shared" si="3"/>
        <v>0</v>
      </c>
      <c r="G10" s="217">
        <f t="shared" si="3"/>
        <v>0</v>
      </c>
      <c r="H10" s="217">
        <f t="shared" si="3"/>
        <v>0</v>
      </c>
      <c r="I10" s="217">
        <f t="shared" si="3"/>
        <v>0.2071958852</v>
      </c>
      <c r="J10" s="217">
        <f t="shared" si="3"/>
        <v>0.2071958852</v>
      </c>
      <c r="K10" s="217">
        <f t="shared" si="3"/>
        <v>0.2175115596</v>
      </c>
      <c r="L10" s="217">
        <f t="shared" si="3"/>
        <v>0.2163889024</v>
      </c>
      <c r="M10" s="217">
        <f t="shared" si="3"/>
        <v>0.2154866199</v>
      </c>
      <c r="N10" s="217">
        <f t="shared" si="3"/>
        <v>0.214745623</v>
      </c>
      <c r="O10" s="217">
        <f t="shared" si="3"/>
        <v>0.2141262145</v>
      </c>
      <c r="P10" s="217">
        <f t="shared" si="3"/>
        <v>0.2136007366</v>
      </c>
      <c r="Q10" s="217">
        <f t="shared" si="3"/>
        <v>0.2112697491</v>
      </c>
      <c r="R10" s="217">
        <f t="shared" si="3"/>
        <v>0.2101512451</v>
      </c>
      <c r="S10" s="217">
        <f t="shared" si="3"/>
        <v>0.2091697831</v>
      </c>
      <c r="T10" s="217">
        <f t="shared" si="3"/>
        <v>0.208301631</v>
      </c>
      <c r="U10" s="217">
        <f t="shared" si="3"/>
        <v>0.2075282371</v>
      </c>
      <c r="V10" s="217">
        <f t="shared" si="3"/>
        <v>0.2068348902</v>
      </c>
      <c r="W10" s="217">
        <f t="shared" si="3"/>
        <v>0.2062097743</v>
      </c>
      <c r="X10" s="217">
        <f t="shared" si="3"/>
        <v>0.20564329</v>
      </c>
      <c r="Y10" s="217">
        <f t="shared" si="3"/>
        <v>0.205127558</v>
      </c>
      <c r="Z10" s="217">
        <f t="shared" si="3"/>
        <v>0.2046560502</v>
      </c>
      <c r="AA10" s="217">
        <f t="shared" si="3"/>
        <v>0.2042233121</v>
      </c>
      <c r="AB10" s="217">
        <f t="shared" si="3"/>
        <v>0.2038247508</v>
      </c>
      <c r="AC10" s="217">
        <f t="shared" si="3"/>
        <v>0.2162385304</v>
      </c>
      <c r="AD10" s="217">
        <f t="shared" si="3"/>
        <v>0.2154529997</v>
      </c>
      <c r="AE10" s="217">
        <f t="shared" si="3"/>
        <v>0.2147137428</v>
      </c>
      <c r="AF10" s="217">
        <f t="shared" si="3"/>
        <v>0.2140167879</v>
      </c>
      <c r="AG10" s="217">
        <f t="shared" si="3"/>
        <v>0.213358605</v>
      </c>
      <c r="AH10" s="217">
        <f t="shared" si="3"/>
        <v>0.2127360464</v>
      </c>
      <c r="AI10" s="217">
        <f t="shared" si="3"/>
        <v>0.212146296</v>
      </c>
      <c r="AJ10" s="217">
        <f t="shared" si="3"/>
        <v>0.2115868269</v>
      </c>
      <c r="AK10" s="217">
        <f t="shared" si="3"/>
        <v>0.2110553653</v>
      </c>
      <c r="AL10" s="217">
        <f t="shared" si="3"/>
        <v>0.2105498594</v>
      </c>
      <c r="AM10" s="217">
        <f t="shared" si="3"/>
        <v>0.2100684531</v>
      </c>
      <c r="AN10" s="217">
        <f t="shared" si="3"/>
        <v>0.2096094631</v>
      </c>
      <c r="AO10" s="217">
        <f t="shared" si="3"/>
        <v>0.2366489194</v>
      </c>
      <c r="AP10" s="217">
        <f t="shared" si="3"/>
        <v>0.2345260207</v>
      </c>
      <c r="AQ10" s="217">
        <f t="shared" si="3"/>
        <v>0.232573446</v>
      </c>
      <c r="AR10" s="217">
        <f t="shared" si="3"/>
        <v>0.2307714876</v>
      </c>
      <c r="AS10" s="217">
        <f t="shared" si="3"/>
        <v>0.2291033655</v>
      </c>
      <c r="AT10" s="217">
        <f t="shared" si="3"/>
        <v>0.2275547032</v>
      </c>
      <c r="AU10" s="217">
        <f t="shared" si="3"/>
        <v>0.2261131117</v>
      </c>
      <c r="AV10" s="217">
        <f t="shared" si="3"/>
        <v>0.2247678582</v>
      </c>
      <c r="AW10" s="217">
        <f t="shared" si="3"/>
        <v>0.2247678582</v>
      </c>
      <c r="AX10" s="217">
        <f t="shared" si="3"/>
        <v>0.2247678582</v>
      </c>
      <c r="AY10" s="217">
        <f t="shared" si="3"/>
        <v>0.2247678582</v>
      </c>
      <c r="AZ10" s="217">
        <f t="shared" si="3"/>
        <v>0.2247678582</v>
      </c>
      <c r="BA10" s="217">
        <f t="shared" si="3"/>
        <v>0.2559328202</v>
      </c>
      <c r="BB10" s="217">
        <f t="shared" si="3"/>
        <v>0.2559328202</v>
      </c>
      <c r="BC10" s="217">
        <f t="shared" si="3"/>
        <v>0.2559328202</v>
      </c>
      <c r="BD10" s="217">
        <f t="shared" si="3"/>
        <v>0.2559328202</v>
      </c>
      <c r="BE10" s="217">
        <f t="shared" si="3"/>
        <v>0.2559328202</v>
      </c>
      <c r="BF10" s="217">
        <f t="shared" si="3"/>
        <v>0.2559328202</v>
      </c>
      <c r="BG10" s="217">
        <f t="shared" si="3"/>
        <v>0.2559328202</v>
      </c>
      <c r="BH10" s="217">
        <f t="shared" si="3"/>
        <v>0.2559328202</v>
      </c>
      <c r="BI10" s="217">
        <f t="shared" si="3"/>
        <v>0.2559328202</v>
      </c>
      <c r="BJ10" s="217">
        <f t="shared" si="3"/>
        <v>0.2559328202</v>
      </c>
      <c r="BK10" s="217">
        <f t="shared" si="3"/>
        <v>0.2559328202</v>
      </c>
      <c r="BL10" s="218">
        <f t="shared" si="3"/>
        <v>0.2559328202</v>
      </c>
    </row>
    <row r="11" ht="15.75" customHeight="1">
      <c r="C11" s="210" t="s">
        <v>259</v>
      </c>
      <c r="D11" s="75" t="s">
        <v>260</v>
      </c>
      <c r="E11" s="211">
        <f>'HR &amp; OPERATING EXPENSES'!E60</f>
        <v>230000</v>
      </c>
      <c r="F11" s="211">
        <f>'HR &amp; OPERATING EXPENSES'!F60</f>
        <v>230000</v>
      </c>
      <c r="G11" s="211">
        <f>'HR &amp; OPERATING EXPENSES'!G60</f>
        <v>230000</v>
      </c>
      <c r="H11" s="211">
        <f>'HR &amp; OPERATING EXPENSES'!H60</f>
        <v>230000</v>
      </c>
      <c r="I11" s="211">
        <f>'HR &amp; OPERATING EXPENSES'!I60</f>
        <v>488000</v>
      </c>
      <c r="J11" s="211">
        <f>'HR &amp; OPERATING EXPENSES'!J60</f>
        <v>898000</v>
      </c>
      <c r="K11" s="211">
        <f>'HR &amp; OPERATING EXPENSES'!K60</f>
        <v>1247000</v>
      </c>
      <c r="L11" s="211">
        <f>'HR &amp; OPERATING EXPENSES'!L60</f>
        <v>1391000</v>
      </c>
      <c r="M11" s="211">
        <f>'HR &amp; OPERATING EXPENSES'!M60</f>
        <v>1475000</v>
      </c>
      <c r="N11" s="211">
        <f>'HR &amp; OPERATING EXPENSES'!N60</f>
        <v>1559000</v>
      </c>
      <c r="O11" s="211">
        <f>'HR &amp; OPERATING EXPENSES'!O60</f>
        <v>1643000</v>
      </c>
      <c r="P11" s="211">
        <f>'HR &amp; OPERATING EXPENSES'!P60</f>
        <v>1727000</v>
      </c>
      <c r="Q11" s="211">
        <f>'HR &amp; OPERATING EXPENSES'!Q60</f>
        <v>1955880</v>
      </c>
      <c r="R11" s="211">
        <f>'HR &amp; OPERATING EXPENSES'!R60</f>
        <v>2046600</v>
      </c>
      <c r="S11" s="211">
        <f>'HR &amp; OPERATING EXPENSES'!S60</f>
        <v>2137320</v>
      </c>
      <c r="T11" s="211">
        <f>'HR &amp; OPERATING EXPENSES'!T60</f>
        <v>2228040</v>
      </c>
      <c r="U11" s="211">
        <f>'HR &amp; OPERATING EXPENSES'!U60</f>
        <v>2318760</v>
      </c>
      <c r="V11" s="211">
        <f>'HR &amp; OPERATING EXPENSES'!V60</f>
        <v>2409480</v>
      </c>
      <c r="W11" s="211">
        <f>'HR &amp; OPERATING EXPENSES'!W60</f>
        <v>2500200</v>
      </c>
      <c r="X11" s="211">
        <f>'HR &amp; OPERATING EXPENSES'!X60</f>
        <v>2590920</v>
      </c>
      <c r="Y11" s="211">
        <f>'HR &amp; OPERATING EXPENSES'!Y60</f>
        <v>2681640</v>
      </c>
      <c r="Z11" s="211">
        <f>'HR &amp; OPERATING EXPENSES'!Z60</f>
        <v>2772360</v>
      </c>
      <c r="AA11" s="211">
        <f>'HR &amp; OPERATING EXPENSES'!AA60</f>
        <v>2863080</v>
      </c>
      <c r="AB11" s="211">
        <f>'HR &amp; OPERATING EXPENSES'!AB60</f>
        <v>2953800</v>
      </c>
      <c r="AC11" s="211">
        <f>'HR &amp; OPERATING EXPENSES'!AC60</f>
        <v>3288081.6</v>
      </c>
      <c r="AD11" s="211">
        <f>'HR &amp; OPERATING EXPENSES'!AD60</f>
        <v>3386059.2</v>
      </c>
      <c r="AE11" s="211">
        <f>'HR &amp; OPERATING EXPENSES'!AE60</f>
        <v>3484036.8</v>
      </c>
      <c r="AF11" s="211">
        <f>'HR &amp; OPERATING EXPENSES'!AF60</f>
        <v>3582014.4</v>
      </c>
      <c r="AG11" s="211">
        <f>'HR &amp; OPERATING EXPENSES'!AG60</f>
        <v>3679992</v>
      </c>
      <c r="AH11" s="211">
        <f>'HR &amp; OPERATING EXPENSES'!AH60</f>
        <v>3894609.6</v>
      </c>
      <c r="AI11" s="211">
        <f>'HR &amp; OPERATING EXPENSES'!AI60</f>
        <v>3992587.2</v>
      </c>
      <c r="AJ11" s="211">
        <f>'HR &amp; OPERATING EXPENSES'!AJ60</f>
        <v>4090564.8</v>
      </c>
      <c r="AK11" s="211">
        <f>'HR &amp; OPERATING EXPENSES'!AK60</f>
        <v>4188542.4</v>
      </c>
      <c r="AL11" s="211">
        <f>'HR &amp; OPERATING EXPENSES'!AL60</f>
        <v>4286520</v>
      </c>
      <c r="AM11" s="211">
        <f>'HR &amp; OPERATING EXPENSES'!AM60</f>
        <v>4384497.6</v>
      </c>
      <c r="AN11" s="211">
        <f>'HR &amp; OPERATING EXPENSES'!AN60</f>
        <v>4482475.2</v>
      </c>
      <c r="AO11" s="211">
        <f>'HR &amp; OPERATING EXPENSES'!AO60</f>
        <v>5158520.64</v>
      </c>
      <c r="AP11" s="211">
        <f>'HR &amp; OPERATING EXPENSES'!AP60</f>
        <v>5475968.064</v>
      </c>
      <c r="AQ11" s="211">
        <f>'HR &amp; OPERATING EXPENSES'!AQ60</f>
        <v>5793415.488</v>
      </c>
      <c r="AR11" s="211">
        <f>'HR &amp; OPERATING EXPENSES'!AR60</f>
        <v>6110862.912</v>
      </c>
      <c r="AS11" s="211">
        <f>'HR &amp; OPERATING EXPENSES'!AS60</f>
        <v>6428310.336</v>
      </c>
      <c r="AT11" s="211">
        <f>'HR &amp; OPERATING EXPENSES'!AT60</f>
        <v>6745757.76</v>
      </c>
      <c r="AU11" s="211">
        <f>'HR &amp; OPERATING EXPENSES'!AU60</f>
        <v>7063205.184</v>
      </c>
      <c r="AV11" s="211">
        <f>'HR &amp; OPERATING EXPENSES'!AV60</f>
        <v>7380652.608</v>
      </c>
      <c r="AW11" s="211">
        <f>'HR &amp; OPERATING EXPENSES'!AW60</f>
        <v>7380652.608</v>
      </c>
      <c r="AX11" s="211">
        <f>'HR &amp; OPERATING EXPENSES'!AX60</f>
        <v>7380652.608</v>
      </c>
      <c r="AY11" s="211">
        <f>'HR &amp; OPERATING EXPENSES'!AY60</f>
        <v>7380652.608</v>
      </c>
      <c r="AZ11" s="211">
        <f>'HR &amp; OPERATING EXPENSES'!AZ60</f>
        <v>7380652.608</v>
      </c>
      <c r="BA11" s="211">
        <f>'HR &amp; OPERATING EXPENSES'!BA60</f>
        <v>7971104.817</v>
      </c>
      <c r="BB11" s="211">
        <f>'HR &amp; OPERATING EXPENSES'!BB60</f>
        <v>7971104.817</v>
      </c>
      <c r="BC11" s="211">
        <f>'HR &amp; OPERATING EXPENSES'!BC60</f>
        <v>7971104.817</v>
      </c>
      <c r="BD11" s="211">
        <f>'HR &amp; OPERATING EXPENSES'!BD60</f>
        <v>7971104.817</v>
      </c>
      <c r="BE11" s="211">
        <f>'HR &amp; OPERATING EXPENSES'!BE60</f>
        <v>7971104.817</v>
      </c>
      <c r="BF11" s="211">
        <f>'HR &amp; OPERATING EXPENSES'!BF60</f>
        <v>7971104.817</v>
      </c>
      <c r="BG11" s="211">
        <f>'HR &amp; OPERATING EXPENSES'!BG60</f>
        <v>7971104.817</v>
      </c>
      <c r="BH11" s="211">
        <f>'HR &amp; OPERATING EXPENSES'!BH60</f>
        <v>7971104.817</v>
      </c>
      <c r="BI11" s="211">
        <f>'HR &amp; OPERATING EXPENSES'!BI60</f>
        <v>7971104.817</v>
      </c>
      <c r="BJ11" s="211">
        <f>'HR &amp; OPERATING EXPENSES'!BJ60</f>
        <v>7971104.817</v>
      </c>
      <c r="BK11" s="211">
        <f>'HR &amp; OPERATING EXPENSES'!BK60</f>
        <v>7971104.817</v>
      </c>
      <c r="BL11" s="212">
        <f>'HR &amp; OPERATING EXPENSES'!BL60</f>
        <v>7971104.817</v>
      </c>
    </row>
    <row r="12" ht="15.75" customHeight="1">
      <c r="B12" s="219"/>
      <c r="C12" s="216" t="s">
        <v>261</v>
      </c>
      <c r="D12" s="73" t="s">
        <v>262</v>
      </c>
      <c r="E12" s="220">
        <f t="shared" ref="E12:BL12" si="4">E9 - E11</f>
        <v>-230000</v>
      </c>
      <c r="F12" s="220">
        <f t="shared" si="4"/>
        <v>-230000</v>
      </c>
      <c r="G12" s="220">
        <f t="shared" si="4"/>
        <v>-230000</v>
      </c>
      <c r="H12" s="220">
        <f t="shared" si="4"/>
        <v>-230000</v>
      </c>
      <c r="I12" s="220">
        <f t="shared" si="4"/>
        <v>6581.6832</v>
      </c>
      <c r="J12" s="220">
        <f t="shared" si="4"/>
        <v>91163.3664</v>
      </c>
      <c r="K12" s="220">
        <f t="shared" si="4"/>
        <v>3004578.006</v>
      </c>
      <c r="L12" s="220">
        <f t="shared" si="4"/>
        <v>3355159.69</v>
      </c>
      <c r="M12" s="220">
        <f t="shared" si="4"/>
        <v>3765741.373</v>
      </c>
      <c r="N12" s="220">
        <f t="shared" si="4"/>
        <v>4176323.056</v>
      </c>
      <c r="O12" s="220">
        <f t="shared" si="4"/>
        <v>4586904.739</v>
      </c>
      <c r="P12" s="220">
        <f t="shared" si="4"/>
        <v>4997486.422</v>
      </c>
      <c r="Q12" s="220">
        <f t="shared" si="4"/>
        <v>5593624.48</v>
      </c>
      <c r="R12" s="220">
        <f t="shared" si="4"/>
        <v>5987216.354</v>
      </c>
      <c r="S12" s="220">
        <f t="shared" si="4"/>
        <v>6380808.228</v>
      </c>
      <c r="T12" s="220">
        <f t="shared" si="4"/>
        <v>6774400.102</v>
      </c>
      <c r="U12" s="220">
        <f t="shared" si="4"/>
        <v>7167991.976</v>
      </c>
      <c r="V12" s="220">
        <f t="shared" si="4"/>
        <v>7561583.85</v>
      </c>
      <c r="W12" s="220">
        <f t="shared" si="4"/>
        <v>7955175.725</v>
      </c>
      <c r="X12" s="220">
        <f t="shared" si="4"/>
        <v>8348767.599</v>
      </c>
      <c r="Y12" s="220">
        <f t="shared" si="4"/>
        <v>8742359.473</v>
      </c>
      <c r="Z12" s="220">
        <f t="shared" si="4"/>
        <v>9135951.347</v>
      </c>
      <c r="AA12" s="220">
        <f t="shared" si="4"/>
        <v>9529543.221</v>
      </c>
      <c r="AB12" s="220">
        <f t="shared" si="4"/>
        <v>9923135.096</v>
      </c>
      <c r="AC12" s="220">
        <f t="shared" si="4"/>
        <v>14980140.13</v>
      </c>
      <c r="AD12" s="220">
        <f t="shared" si="4"/>
        <v>15385472.61</v>
      </c>
      <c r="AE12" s="220">
        <f t="shared" si="4"/>
        <v>15790805.08</v>
      </c>
      <c r="AF12" s="220">
        <f t="shared" si="4"/>
        <v>16196137.56</v>
      </c>
      <c r="AG12" s="220">
        <f t="shared" si="4"/>
        <v>16601470.03</v>
      </c>
      <c r="AH12" s="220">
        <f t="shared" si="4"/>
        <v>16890162.5</v>
      </c>
      <c r="AI12" s="220">
        <f t="shared" si="4"/>
        <v>17295494.98</v>
      </c>
      <c r="AJ12" s="220">
        <f t="shared" si="4"/>
        <v>17700827.45</v>
      </c>
      <c r="AK12" s="220">
        <f t="shared" si="4"/>
        <v>18106159.93</v>
      </c>
      <c r="AL12" s="220">
        <f t="shared" si="4"/>
        <v>18511492.4</v>
      </c>
      <c r="AM12" s="220">
        <f t="shared" si="4"/>
        <v>18916824.88</v>
      </c>
      <c r="AN12" s="220">
        <f t="shared" si="4"/>
        <v>19322157.35</v>
      </c>
      <c r="AO12" s="220">
        <f t="shared" si="4"/>
        <v>40419780.62</v>
      </c>
      <c r="AP12" s="220">
        <f t="shared" si="4"/>
        <v>41663539.24</v>
      </c>
      <c r="AQ12" s="220">
        <f t="shared" si="4"/>
        <v>42907297.85</v>
      </c>
      <c r="AR12" s="220">
        <f t="shared" si="4"/>
        <v>44151056.47</v>
      </c>
      <c r="AS12" s="220">
        <f t="shared" si="4"/>
        <v>45394815.08</v>
      </c>
      <c r="AT12" s="220">
        <f t="shared" si="4"/>
        <v>46638573.7</v>
      </c>
      <c r="AU12" s="220">
        <f t="shared" si="4"/>
        <v>47882332.31</v>
      </c>
      <c r="AV12" s="220">
        <f t="shared" si="4"/>
        <v>49126090.93</v>
      </c>
      <c r="AW12" s="220">
        <f t="shared" si="4"/>
        <v>49126090.93</v>
      </c>
      <c r="AX12" s="220">
        <f t="shared" si="4"/>
        <v>49126090.93</v>
      </c>
      <c r="AY12" s="220">
        <f t="shared" si="4"/>
        <v>49126090.93</v>
      </c>
      <c r="AZ12" s="220">
        <f t="shared" si="4"/>
        <v>49126090.93</v>
      </c>
      <c r="BA12" s="220">
        <f t="shared" si="4"/>
        <v>63763030.13</v>
      </c>
      <c r="BB12" s="220">
        <f t="shared" si="4"/>
        <v>63763030.13</v>
      </c>
      <c r="BC12" s="220">
        <f t="shared" si="4"/>
        <v>63763030.13</v>
      </c>
      <c r="BD12" s="220">
        <f t="shared" si="4"/>
        <v>63763030.13</v>
      </c>
      <c r="BE12" s="220">
        <f t="shared" si="4"/>
        <v>63763030.13</v>
      </c>
      <c r="BF12" s="220">
        <f t="shared" si="4"/>
        <v>63763030.13</v>
      </c>
      <c r="BG12" s="220">
        <f t="shared" si="4"/>
        <v>63763030.13</v>
      </c>
      <c r="BH12" s="220">
        <f t="shared" si="4"/>
        <v>63763030.13</v>
      </c>
      <c r="BI12" s="220">
        <f t="shared" si="4"/>
        <v>63763030.13</v>
      </c>
      <c r="BJ12" s="220">
        <f t="shared" si="4"/>
        <v>63763030.13</v>
      </c>
      <c r="BK12" s="220">
        <f t="shared" si="4"/>
        <v>63763030.13</v>
      </c>
      <c r="BL12" s="221">
        <f t="shared" si="4"/>
        <v>63763030.13</v>
      </c>
    </row>
    <row r="13" ht="15.75" customHeight="1">
      <c r="C13" s="216" t="s">
        <v>263</v>
      </c>
      <c r="D13" s="32" t="s">
        <v>264</v>
      </c>
      <c r="E13" s="217">
        <f t="shared" ref="E13:BL13" si="5">IF( E7 = 0, 0, E12 / E7)</f>
        <v>0</v>
      </c>
      <c r="F13" s="217">
        <f t="shared" si="5"/>
        <v>0</v>
      </c>
      <c r="G13" s="217">
        <f t="shared" si="5"/>
        <v>0</v>
      </c>
      <c r="H13" s="217">
        <f t="shared" si="5"/>
        <v>0</v>
      </c>
      <c r="I13" s="217">
        <f t="shared" si="5"/>
        <v>0.002757274931</v>
      </c>
      <c r="J13" s="217">
        <f t="shared" si="5"/>
        <v>0.01909560649</v>
      </c>
      <c r="K13" s="217">
        <f t="shared" si="5"/>
        <v>0.1537147965</v>
      </c>
      <c r="L13" s="217">
        <f t="shared" si="5"/>
        <v>0.1529698472</v>
      </c>
      <c r="M13" s="217">
        <f t="shared" si="5"/>
        <v>0.1548381845</v>
      </c>
      <c r="N13" s="217">
        <f t="shared" si="5"/>
        <v>0.1563725509</v>
      </c>
      <c r="O13" s="217">
        <f t="shared" si="5"/>
        <v>0.1576551471</v>
      </c>
      <c r="P13" s="217">
        <f t="shared" si="5"/>
        <v>0.1587432428</v>
      </c>
      <c r="Q13" s="217">
        <f t="shared" si="5"/>
        <v>0.1565352592</v>
      </c>
      <c r="R13" s="217">
        <f t="shared" si="5"/>
        <v>0.1566156003</v>
      </c>
      <c r="S13" s="217">
        <f t="shared" si="5"/>
        <v>0.1566860978</v>
      </c>
      <c r="T13" s="217">
        <f t="shared" si="5"/>
        <v>0.1567484564</v>
      </c>
      <c r="U13" s="217">
        <f t="shared" si="5"/>
        <v>0.1568040086</v>
      </c>
      <c r="V13" s="217">
        <f t="shared" si="5"/>
        <v>0.1568538111</v>
      </c>
      <c r="W13" s="217">
        <f t="shared" si="5"/>
        <v>0.1568987126</v>
      </c>
      <c r="X13" s="217">
        <f t="shared" si="5"/>
        <v>0.1569394026</v>
      </c>
      <c r="Y13" s="217">
        <f t="shared" si="5"/>
        <v>0.1569764472</v>
      </c>
      <c r="Z13" s="217">
        <f t="shared" si="5"/>
        <v>0.1570103151</v>
      </c>
      <c r="AA13" s="217">
        <f t="shared" si="5"/>
        <v>0.1570413983</v>
      </c>
      <c r="AB13" s="217">
        <f t="shared" si="5"/>
        <v>0.1570700266</v>
      </c>
      <c r="AC13" s="217">
        <f t="shared" si="5"/>
        <v>0.1773179423</v>
      </c>
      <c r="AD13" s="217">
        <f t="shared" si="5"/>
        <v>0.1765890104</v>
      </c>
      <c r="AE13" s="217">
        <f t="shared" si="5"/>
        <v>0.1759030181</v>
      </c>
      <c r="AF13" s="217">
        <f t="shared" si="5"/>
        <v>0.1752562799</v>
      </c>
      <c r="AG13" s="217">
        <f t="shared" si="5"/>
        <v>0.1746455202</v>
      </c>
      <c r="AH13" s="217">
        <f t="shared" si="5"/>
        <v>0.1728739856</v>
      </c>
      <c r="AI13" s="217">
        <f t="shared" si="5"/>
        <v>0.1723581846</v>
      </c>
      <c r="AJ13" s="217">
        <f t="shared" si="5"/>
        <v>0.1718688678</v>
      </c>
      <c r="AK13" s="217">
        <f t="shared" si="5"/>
        <v>0.1714040466</v>
      </c>
      <c r="AL13" s="217">
        <f t="shared" si="5"/>
        <v>0.1709619266</v>
      </c>
      <c r="AM13" s="217">
        <f t="shared" si="5"/>
        <v>0.1705408843</v>
      </c>
      <c r="AN13" s="217">
        <f t="shared" si="5"/>
        <v>0.1701394474</v>
      </c>
      <c r="AO13" s="217">
        <f t="shared" si="5"/>
        <v>0.2098651582</v>
      </c>
      <c r="AP13" s="217">
        <f t="shared" si="5"/>
        <v>0.2072822697</v>
      </c>
      <c r="AQ13" s="217">
        <f t="shared" si="5"/>
        <v>0.2049066109</v>
      </c>
      <c r="AR13" s="217">
        <f t="shared" si="5"/>
        <v>0.202714204</v>
      </c>
      <c r="AS13" s="217">
        <f t="shared" si="5"/>
        <v>0.2006846331</v>
      </c>
      <c r="AT13" s="217">
        <f t="shared" si="5"/>
        <v>0.1988004065</v>
      </c>
      <c r="AU13" s="217">
        <f t="shared" si="5"/>
        <v>0.1970464509</v>
      </c>
      <c r="AV13" s="217">
        <f t="shared" si="5"/>
        <v>0.1954097078</v>
      </c>
      <c r="AW13" s="217">
        <f t="shared" si="5"/>
        <v>0.1954097078</v>
      </c>
      <c r="AX13" s="217">
        <f t="shared" si="5"/>
        <v>0.1954097078</v>
      </c>
      <c r="AY13" s="217">
        <f t="shared" si="5"/>
        <v>0.1954097078</v>
      </c>
      <c r="AZ13" s="217">
        <f t="shared" si="5"/>
        <v>0.1954097078</v>
      </c>
      <c r="BA13" s="217">
        <f t="shared" si="5"/>
        <v>0.2274935376</v>
      </c>
      <c r="BB13" s="217">
        <f t="shared" si="5"/>
        <v>0.2274935376</v>
      </c>
      <c r="BC13" s="217">
        <f t="shared" si="5"/>
        <v>0.2274935376</v>
      </c>
      <c r="BD13" s="217">
        <f t="shared" si="5"/>
        <v>0.2274935376</v>
      </c>
      <c r="BE13" s="217">
        <f t="shared" si="5"/>
        <v>0.2274935376</v>
      </c>
      <c r="BF13" s="217">
        <f t="shared" si="5"/>
        <v>0.2274935376</v>
      </c>
      <c r="BG13" s="217">
        <f t="shared" si="5"/>
        <v>0.2274935376</v>
      </c>
      <c r="BH13" s="217">
        <f t="shared" si="5"/>
        <v>0.2274935376</v>
      </c>
      <c r="BI13" s="217">
        <f t="shared" si="5"/>
        <v>0.2274935376</v>
      </c>
      <c r="BJ13" s="217">
        <f t="shared" si="5"/>
        <v>0.2274935376</v>
      </c>
      <c r="BK13" s="217">
        <f t="shared" si="5"/>
        <v>0.2274935376</v>
      </c>
      <c r="BL13" s="218">
        <f t="shared" si="5"/>
        <v>0.2274935376</v>
      </c>
    </row>
    <row r="14" ht="15.75" customHeight="1">
      <c r="B14" s="219"/>
      <c r="C14" s="216" t="s">
        <v>265</v>
      </c>
      <c r="D14" s="32" t="s">
        <v>266</v>
      </c>
      <c r="E14" s="222">
        <f>'CAPEX &amp; DEPRECIATION'!E48</f>
        <v>83333.33333</v>
      </c>
      <c r="F14" s="222">
        <f>'CAPEX &amp; DEPRECIATION'!F48</f>
        <v>191744.4444</v>
      </c>
      <c r="G14" s="222">
        <f>'CAPEX &amp; DEPRECIATION'!G48</f>
        <v>275077.7778</v>
      </c>
      <c r="H14" s="222">
        <f>'CAPEX &amp; DEPRECIATION'!H48</f>
        <v>275077.7778</v>
      </c>
      <c r="I14" s="222">
        <f>'CAPEX &amp; DEPRECIATION'!I48</f>
        <v>872222.2222</v>
      </c>
      <c r="J14" s="222">
        <f>'CAPEX &amp; DEPRECIATION'!J48</f>
        <v>1038194.444</v>
      </c>
      <c r="K14" s="222">
        <f>'CAPEX &amp; DEPRECIATION'!K48</f>
        <v>1629861.111</v>
      </c>
      <c r="L14" s="222">
        <f>'CAPEX &amp; DEPRECIATION'!L48</f>
        <v>1629861.111</v>
      </c>
      <c r="M14" s="222">
        <f>'CAPEX &amp; DEPRECIATION'!M48</f>
        <v>1629861.111</v>
      </c>
      <c r="N14" s="222">
        <f>'CAPEX &amp; DEPRECIATION'!N48</f>
        <v>1629861.111</v>
      </c>
      <c r="O14" s="222">
        <f>'CAPEX &amp; DEPRECIATION'!O48</f>
        <v>1629861.111</v>
      </c>
      <c r="P14" s="222">
        <f>'CAPEX &amp; DEPRECIATION'!P48</f>
        <v>1681944.444</v>
      </c>
      <c r="Q14" s="222">
        <f>'CAPEX &amp; DEPRECIATION'!Q48</f>
        <v>1681944.444</v>
      </c>
      <c r="R14" s="222">
        <f>'CAPEX &amp; DEPRECIATION'!R48</f>
        <v>1681944.444</v>
      </c>
      <c r="S14" s="222">
        <f>'CAPEX &amp; DEPRECIATION'!S48</f>
        <v>1681944.444</v>
      </c>
      <c r="T14" s="222">
        <f>'CAPEX &amp; DEPRECIATION'!T48</f>
        <v>1681944.444</v>
      </c>
      <c r="U14" s="222">
        <f>'CAPEX &amp; DEPRECIATION'!U48</f>
        <v>1681944.444</v>
      </c>
      <c r="V14" s="222">
        <f>'CAPEX &amp; DEPRECIATION'!V48</f>
        <v>1681944.444</v>
      </c>
      <c r="W14" s="222">
        <f>'CAPEX &amp; DEPRECIATION'!W48</f>
        <v>1681944.444</v>
      </c>
      <c r="X14" s="222">
        <f>'CAPEX &amp; DEPRECIATION'!X48</f>
        <v>1681944.444</v>
      </c>
      <c r="Y14" s="222">
        <f>'CAPEX &amp; DEPRECIATION'!Y48</f>
        <v>1681944.444</v>
      </c>
      <c r="Z14" s="222">
        <f>'CAPEX &amp; DEPRECIATION'!Z48</f>
        <v>1681944.444</v>
      </c>
      <c r="AA14" s="222">
        <f>'CAPEX &amp; DEPRECIATION'!AA48</f>
        <v>1681944.444</v>
      </c>
      <c r="AB14" s="222">
        <f>'CAPEX &amp; DEPRECIATION'!AB48</f>
        <v>1681944.444</v>
      </c>
      <c r="AC14" s="222">
        <f>'CAPEX &amp; DEPRECIATION'!AC48</f>
        <v>1963194.444</v>
      </c>
      <c r="AD14" s="222">
        <f>'CAPEX &amp; DEPRECIATION'!AD48</f>
        <v>1963194.444</v>
      </c>
      <c r="AE14" s="222">
        <f>'CAPEX &amp; DEPRECIATION'!AE48</f>
        <v>1963194.444</v>
      </c>
      <c r="AF14" s="222">
        <f>'CAPEX &amp; DEPRECIATION'!AF48</f>
        <v>1963194.444</v>
      </c>
      <c r="AG14" s="222">
        <f>'CAPEX &amp; DEPRECIATION'!AG48</f>
        <v>1963194.444</v>
      </c>
      <c r="AH14" s="222">
        <f>'CAPEX &amp; DEPRECIATION'!AH48</f>
        <v>1984027.778</v>
      </c>
      <c r="AI14" s="222">
        <f>'CAPEX &amp; DEPRECIATION'!AI48</f>
        <v>1984027.778</v>
      </c>
      <c r="AJ14" s="222">
        <f>'CAPEX &amp; DEPRECIATION'!AJ48</f>
        <v>1984027.778</v>
      </c>
      <c r="AK14" s="222">
        <f>'CAPEX &amp; DEPRECIATION'!AK48</f>
        <v>1984027.778</v>
      </c>
      <c r="AL14" s="222">
        <f>'CAPEX &amp; DEPRECIATION'!AL48</f>
        <v>1984027.778</v>
      </c>
      <c r="AM14" s="222">
        <f>'CAPEX &amp; DEPRECIATION'!AM48</f>
        <v>1984027.778</v>
      </c>
      <c r="AN14" s="222">
        <f>'CAPEX &amp; DEPRECIATION'!AN48</f>
        <v>1984027.778</v>
      </c>
      <c r="AO14" s="222">
        <f>'CAPEX &amp; DEPRECIATION'!AO48</f>
        <v>1984027.778</v>
      </c>
      <c r="AP14" s="222">
        <f>'CAPEX &amp; DEPRECIATION'!AP48</f>
        <v>1984027.778</v>
      </c>
      <c r="AQ14" s="222">
        <f>'CAPEX &amp; DEPRECIATION'!AQ48</f>
        <v>1984027.778</v>
      </c>
      <c r="AR14" s="222">
        <f>'CAPEX &amp; DEPRECIATION'!AR48</f>
        <v>1984027.778</v>
      </c>
      <c r="AS14" s="222">
        <f>'CAPEX &amp; DEPRECIATION'!AS48</f>
        <v>1984027.778</v>
      </c>
      <c r="AT14" s="222">
        <f>'CAPEX &amp; DEPRECIATION'!AT48</f>
        <v>1984027.778</v>
      </c>
      <c r="AU14" s="222">
        <f>'CAPEX &amp; DEPRECIATION'!AU48</f>
        <v>1984027.778</v>
      </c>
      <c r="AV14" s="222">
        <f>'CAPEX &amp; DEPRECIATION'!AV48</f>
        <v>1984027.778</v>
      </c>
      <c r="AW14" s="222">
        <f>'CAPEX &amp; DEPRECIATION'!AW48</f>
        <v>1984027.778</v>
      </c>
      <c r="AX14" s="222">
        <f>'CAPEX &amp; DEPRECIATION'!AX48</f>
        <v>1984027.778</v>
      </c>
      <c r="AY14" s="222">
        <f>'CAPEX &amp; DEPRECIATION'!AY48</f>
        <v>1984027.778</v>
      </c>
      <c r="AZ14" s="222">
        <f>'CAPEX &amp; DEPRECIATION'!AZ48</f>
        <v>1984027.778</v>
      </c>
      <c r="BA14" s="222">
        <f>'CAPEX &amp; DEPRECIATION'!BA48</f>
        <v>1984027.778</v>
      </c>
      <c r="BB14" s="222">
        <f>'CAPEX &amp; DEPRECIATION'!BB48</f>
        <v>1984027.778</v>
      </c>
      <c r="BC14" s="222">
        <f>'CAPEX &amp; DEPRECIATION'!BC48</f>
        <v>1984027.778</v>
      </c>
      <c r="BD14" s="222">
        <f>'CAPEX &amp; DEPRECIATION'!BD48</f>
        <v>1984027.778</v>
      </c>
      <c r="BE14" s="222">
        <f>'CAPEX &amp; DEPRECIATION'!BE48</f>
        <v>1984027.778</v>
      </c>
      <c r="BF14" s="222">
        <f>'CAPEX &amp; DEPRECIATION'!BF48</f>
        <v>1984027.778</v>
      </c>
      <c r="BG14" s="222">
        <f>'CAPEX &amp; DEPRECIATION'!BG48</f>
        <v>1984027.778</v>
      </c>
      <c r="BH14" s="222">
        <f>'CAPEX &amp; DEPRECIATION'!BH48</f>
        <v>1984027.778</v>
      </c>
      <c r="BI14" s="222">
        <f>'CAPEX &amp; DEPRECIATION'!BI48</f>
        <v>1984027.778</v>
      </c>
      <c r="BJ14" s="222">
        <f>'CAPEX &amp; DEPRECIATION'!BJ48</f>
        <v>1984027.778</v>
      </c>
      <c r="BK14" s="222">
        <f>'CAPEX &amp; DEPRECIATION'!BK48</f>
        <v>1984027.778</v>
      </c>
      <c r="BL14" s="223">
        <f>'CAPEX &amp; DEPRECIATION'!BL48</f>
        <v>1984027.778</v>
      </c>
    </row>
    <row r="15" ht="15.75" customHeight="1">
      <c r="C15" s="216" t="s">
        <v>267</v>
      </c>
      <c r="D15" s="73" t="s">
        <v>268</v>
      </c>
      <c r="E15" s="224">
        <f t="shared" ref="E15:BL15" si="6">E12 - E14</f>
        <v>-313333.3333</v>
      </c>
      <c r="F15" s="224">
        <f t="shared" si="6"/>
        <v>-421744.4444</v>
      </c>
      <c r="G15" s="224">
        <f t="shared" si="6"/>
        <v>-505077.7778</v>
      </c>
      <c r="H15" s="224">
        <f t="shared" si="6"/>
        <v>-505077.7778</v>
      </c>
      <c r="I15" s="224">
        <f t="shared" si="6"/>
        <v>-865640.539</v>
      </c>
      <c r="J15" s="224">
        <f t="shared" si="6"/>
        <v>-947031.078</v>
      </c>
      <c r="K15" s="224">
        <f t="shared" si="6"/>
        <v>1374716.895</v>
      </c>
      <c r="L15" s="224">
        <f t="shared" si="6"/>
        <v>1725298.578</v>
      </c>
      <c r="M15" s="224">
        <f t="shared" si="6"/>
        <v>2135880.262</v>
      </c>
      <c r="N15" s="224">
        <f t="shared" si="6"/>
        <v>2546461.945</v>
      </c>
      <c r="O15" s="224">
        <f t="shared" si="6"/>
        <v>2957043.628</v>
      </c>
      <c r="P15" s="224">
        <f t="shared" si="6"/>
        <v>3315541.978</v>
      </c>
      <c r="Q15" s="224">
        <f t="shared" si="6"/>
        <v>3911680.035</v>
      </c>
      <c r="R15" s="224">
        <f t="shared" si="6"/>
        <v>4305271.909</v>
      </c>
      <c r="S15" s="224">
        <f t="shared" si="6"/>
        <v>4698863.783</v>
      </c>
      <c r="T15" s="224">
        <f t="shared" si="6"/>
        <v>5092455.658</v>
      </c>
      <c r="U15" s="224">
        <f t="shared" si="6"/>
        <v>5486047.532</v>
      </c>
      <c r="V15" s="224">
        <f t="shared" si="6"/>
        <v>5879639.406</v>
      </c>
      <c r="W15" s="224">
        <f t="shared" si="6"/>
        <v>6273231.28</v>
      </c>
      <c r="X15" s="224">
        <f t="shared" si="6"/>
        <v>6666823.154</v>
      </c>
      <c r="Y15" s="224">
        <f t="shared" si="6"/>
        <v>7060415.029</v>
      </c>
      <c r="Z15" s="224">
        <f t="shared" si="6"/>
        <v>7454006.903</v>
      </c>
      <c r="AA15" s="224">
        <f t="shared" si="6"/>
        <v>7847598.777</v>
      </c>
      <c r="AB15" s="224">
        <f t="shared" si="6"/>
        <v>8241190.651</v>
      </c>
      <c r="AC15" s="224">
        <f t="shared" si="6"/>
        <v>13016945.69</v>
      </c>
      <c r="AD15" s="224">
        <f t="shared" si="6"/>
        <v>13422278.16</v>
      </c>
      <c r="AE15" s="224">
        <f t="shared" si="6"/>
        <v>13827610.64</v>
      </c>
      <c r="AF15" s="224">
        <f t="shared" si="6"/>
        <v>14232943.11</v>
      </c>
      <c r="AG15" s="224">
        <f t="shared" si="6"/>
        <v>14638275.59</v>
      </c>
      <c r="AH15" s="224">
        <f t="shared" si="6"/>
        <v>14906134.73</v>
      </c>
      <c r="AI15" s="224">
        <f t="shared" si="6"/>
        <v>15311467.2</v>
      </c>
      <c r="AJ15" s="224">
        <f t="shared" si="6"/>
        <v>15716799.68</v>
      </c>
      <c r="AK15" s="224">
        <f t="shared" si="6"/>
        <v>16122132.15</v>
      </c>
      <c r="AL15" s="224">
        <f t="shared" si="6"/>
        <v>16527464.62</v>
      </c>
      <c r="AM15" s="224">
        <f t="shared" si="6"/>
        <v>16932797.1</v>
      </c>
      <c r="AN15" s="224">
        <f t="shared" si="6"/>
        <v>17338129.57</v>
      </c>
      <c r="AO15" s="224">
        <f t="shared" si="6"/>
        <v>38435752.84</v>
      </c>
      <c r="AP15" s="224">
        <f t="shared" si="6"/>
        <v>39679511.46</v>
      </c>
      <c r="AQ15" s="224">
        <f t="shared" si="6"/>
        <v>40923270.07</v>
      </c>
      <c r="AR15" s="224">
        <f t="shared" si="6"/>
        <v>42167028.69</v>
      </c>
      <c r="AS15" s="224">
        <f t="shared" si="6"/>
        <v>43410787.31</v>
      </c>
      <c r="AT15" s="224">
        <f t="shared" si="6"/>
        <v>44654545.92</v>
      </c>
      <c r="AU15" s="224">
        <f t="shared" si="6"/>
        <v>45898304.54</v>
      </c>
      <c r="AV15" s="224">
        <f t="shared" si="6"/>
        <v>47142063.15</v>
      </c>
      <c r="AW15" s="224">
        <f t="shared" si="6"/>
        <v>47142063.15</v>
      </c>
      <c r="AX15" s="224">
        <f t="shared" si="6"/>
        <v>47142063.15</v>
      </c>
      <c r="AY15" s="224">
        <f t="shared" si="6"/>
        <v>47142063.15</v>
      </c>
      <c r="AZ15" s="224">
        <f t="shared" si="6"/>
        <v>47142063.15</v>
      </c>
      <c r="BA15" s="224">
        <f t="shared" si="6"/>
        <v>61779002.35</v>
      </c>
      <c r="BB15" s="224">
        <f t="shared" si="6"/>
        <v>61779002.35</v>
      </c>
      <c r="BC15" s="224">
        <f t="shared" si="6"/>
        <v>61779002.35</v>
      </c>
      <c r="BD15" s="224">
        <f t="shared" si="6"/>
        <v>61779002.35</v>
      </c>
      <c r="BE15" s="224">
        <f t="shared" si="6"/>
        <v>61779002.35</v>
      </c>
      <c r="BF15" s="224">
        <f t="shared" si="6"/>
        <v>61779002.35</v>
      </c>
      <c r="BG15" s="224">
        <f t="shared" si="6"/>
        <v>61779002.35</v>
      </c>
      <c r="BH15" s="224">
        <f t="shared" si="6"/>
        <v>61779002.35</v>
      </c>
      <c r="BI15" s="224">
        <f t="shared" si="6"/>
        <v>61779002.35</v>
      </c>
      <c r="BJ15" s="224">
        <f t="shared" si="6"/>
        <v>61779002.35</v>
      </c>
      <c r="BK15" s="224">
        <f t="shared" si="6"/>
        <v>61779002.35</v>
      </c>
      <c r="BL15" s="225">
        <f t="shared" si="6"/>
        <v>61779002.35</v>
      </c>
    </row>
    <row r="16" ht="15.75" customHeight="1">
      <c r="C16" s="210" t="s">
        <v>269</v>
      </c>
      <c r="D16" s="75" t="s">
        <v>270</v>
      </c>
      <c r="E16" s="222">
        <v>0.0</v>
      </c>
      <c r="F16" s="222">
        <v>0.0</v>
      </c>
      <c r="G16" s="222">
        <v>0.0</v>
      </c>
      <c r="H16" s="222">
        <v>0.0</v>
      </c>
      <c r="I16" s="222">
        <v>0.0</v>
      </c>
      <c r="J16" s="222">
        <v>0.0</v>
      </c>
      <c r="K16" s="222">
        <v>0.0</v>
      </c>
      <c r="L16" s="222">
        <v>0.0</v>
      </c>
      <c r="M16" s="222">
        <v>0.0</v>
      </c>
      <c r="N16" s="222">
        <v>0.0</v>
      </c>
      <c r="O16" s="222">
        <v>0.0</v>
      </c>
      <c r="P16" s="222">
        <v>0.0</v>
      </c>
      <c r="Q16" s="222">
        <v>0.0</v>
      </c>
      <c r="R16" s="222">
        <v>0.0</v>
      </c>
      <c r="S16" s="222">
        <v>0.0</v>
      </c>
      <c r="T16" s="222">
        <v>0.0</v>
      </c>
      <c r="U16" s="222">
        <v>0.0</v>
      </c>
      <c r="V16" s="222">
        <v>0.0</v>
      </c>
      <c r="W16" s="222">
        <v>0.0</v>
      </c>
      <c r="X16" s="222">
        <v>0.0</v>
      </c>
      <c r="Y16" s="222">
        <v>0.0</v>
      </c>
      <c r="Z16" s="222">
        <v>0.0</v>
      </c>
      <c r="AA16" s="222">
        <v>0.0</v>
      </c>
      <c r="AB16" s="222">
        <v>0.0</v>
      </c>
      <c r="AC16" s="222">
        <v>0.0</v>
      </c>
      <c r="AD16" s="222">
        <v>0.0</v>
      </c>
      <c r="AE16" s="222">
        <v>0.0</v>
      </c>
      <c r="AF16" s="222">
        <v>0.0</v>
      </c>
      <c r="AG16" s="222">
        <v>0.0</v>
      </c>
      <c r="AH16" s="222">
        <v>0.0</v>
      </c>
      <c r="AI16" s="222">
        <v>0.0</v>
      </c>
      <c r="AJ16" s="222">
        <v>0.0</v>
      </c>
      <c r="AK16" s="222">
        <v>0.0</v>
      </c>
      <c r="AL16" s="222">
        <v>0.0</v>
      </c>
      <c r="AM16" s="222">
        <v>0.0</v>
      </c>
      <c r="AN16" s="222">
        <v>0.0</v>
      </c>
      <c r="AO16" s="222">
        <v>0.0</v>
      </c>
      <c r="AP16" s="222">
        <v>0.0</v>
      </c>
      <c r="AQ16" s="222">
        <v>0.0</v>
      </c>
      <c r="AR16" s="222">
        <v>0.0</v>
      </c>
      <c r="AS16" s="222">
        <v>0.0</v>
      </c>
      <c r="AT16" s="222">
        <v>0.0</v>
      </c>
      <c r="AU16" s="222">
        <v>0.0</v>
      </c>
      <c r="AV16" s="222">
        <v>0.0</v>
      </c>
      <c r="AW16" s="222">
        <v>0.0</v>
      </c>
      <c r="AX16" s="222">
        <v>0.0</v>
      </c>
      <c r="AY16" s="222">
        <v>0.0</v>
      </c>
      <c r="AZ16" s="222">
        <v>0.0</v>
      </c>
      <c r="BA16" s="222">
        <v>0.0</v>
      </c>
      <c r="BB16" s="222">
        <v>0.0</v>
      </c>
      <c r="BC16" s="222">
        <v>0.0</v>
      </c>
      <c r="BD16" s="222">
        <v>0.0</v>
      </c>
      <c r="BE16" s="222">
        <v>0.0</v>
      </c>
      <c r="BF16" s="222">
        <v>0.0</v>
      </c>
      <c r="BG16" s="222">
        <v>0.0</v>
      </c>
      <c r="BH16" s="222">
        <v>0.0</v>
      </c>
      <c r="BI16" s="222">
        <v>0.0</v>
      </c>
      <c r="BJ16" s="222">
        <v>0.0</v>
      </c>
      <c r="BK16" s="222">
        <v>0.0</v>
      </c>
      <c r="BL16" s="223">
        <v>0.0</v>
      </c>
    </row>
    <row r="17" ht="15.75" customHeight="1">
      <c r="C17" s="216" t="s">
        <v>271</v>
      </c>
      <c r="D17" s="73" t="s">
        <v>272</v>
      </c>
      <c r="E17" s="224">
        <f t="shared" ref="E17:BL17" si="7">E15 - E16</f>
        <v>-313333.3333</v>
      </c>
      <c r="F17" s="224">
        <f t="shared" si="7"/>
        <v>-421744.4444</v>
      </c>
      <c r="G17" s="224">
        <f t="shared" si="7"/>
        <v>-505077.7778</v>
      </c>
      <c r="H17" s="224">
        <f t="shared" si="7"/>
        <v>-505077.7778</v>
      </c>
      <c r="I17" s="224">
        <f t="shared" si="7"/>
        <v>-865640.539</v>
      </c>
      <c r="J17" s="224">
        <f t="shared" si="7"/>
        <v>-947031.078</v>
      </c>
      <c r="K17" s="224">
        <f t="shared" si="7"/>
        <v>1374716.895</v>
      </c>
      <c r="L17" s="224">
        <f t="shared" si="7"/>
        <v>1725298.578</v>
      </c>
      <c r="M17" s="224">
        <f t="shared" si="7"/>
        <v>2135880.262</v>
      </c>
      <c r="N17" s="224">
        <f t="shared" si="7"/>
        <v>2546461.945</v>
      </c>
      <c r="O17" s="224">
        <f t="shared" si="7"/>
        <v>2957043.628</v>
      </c>
      <c r="P17" s="224">
        <f t="shared" si="7"/>
        <v>3315541.978</v>
      </c>
      <c r="Q17" s="224">
        <f t="shared" si="7"/>
        <v>3911680.035</v>
      </c>
      <c r="R17" s="224">
        <f t="shared" si="7"/>
        <v>4305271.909</v>
      </c>
      <c r="S17" s="224">
        <f t="shared" si="7"/>
        <v>4698863.783</v>
      </c>
      <c r="T17" s="224">
        <f t="shared" si="7"/>
        <v>5092455.658</v>
      </c>
      <c r="U17" s="224">
        <f t="shared" si="7"/>
        <v>5486047.532</v>
      </c>
      <c r="V17" s="224">
        <f t="shared" si="7"/>
        <v>5879639.406</v>
      </c>
      <c r="W17" s="224">
        <f t="shared" si="7"/>
        <v>6273231.28</v>
      </c>
      <c r="X17" s="224">
        <f t="shared" si="7"/>
        <v>6666823.154</v>
      </c>
      <c r="Y17" s="224">
        <f t="shared" si="7"/>
        <v>7060415.029</v>
      </c>
      <c r="Z17" s="224">
        <f t="shared" si="7"/>
        <v>7454006.903</v>
      </c>
      <c r="AA17" s="224">
        <f t="shared" si="7"/>
        <v>7847598.777</v>
      </c>
      <c r="AB17" s="224">
        <f t="shared" si="7"/>
        <v>8241190.651</v>
      </c>
      <c r="AC17" s="224">
        <f t="shared" si="7"/>
        <v>13016945.69</v>
      </c>
      <c r="AD17" s="224">
        <f t="shared" si="7"/>
        <v>13422278.16</v>
      </c>
      <c r="AE17" s="224">
        <f t="shared" si="7"/>
        <v>13827610.64</v>
      </c>
      <c r="AF17" s="224">
        <f t="shared" si="7"/>
        <v>14232943.11</v>
      </c>
      <c r="AG17" s="224">
        <f t="shared" si="7"/>
        <v>14638275.59</v>
      </c>
      <c r="AH17" s="224">
        <f t="shared" si="7"/>
        <v>14906134.73</v>
      </c>
      <c r="AI17" s="224">
        <f t="shared" si="7"/>
        <v>15311467.2</v>
      </c>
      <c r="AJ17" s="224">
        <f t="shared" si="7"/>
        <v>15716799.68</v>
      </c>
      <c r="AK17" s="224">
        <f t="shared" si="7"/>
        <v>16122132.15</v>
      </c>
      <c r="AL17" s="224">
        <f t="shared" si="7"/>
        <v>16527464.62</v>
      </c>
      <c r="AM17" s="224">
        <f t="shared" si="7"/>
        <v>16932797.1</v>
      </c>
      <c r="AN17" s="224">
        <f t="shared" si="7"/>
        <v>17338129.57</v>
      </c>
      <c r="AO17" s="224">
        <f t="shared" si="7"/>
        <v>38435752.84</v>
      </c>
      <c r="AP17" s="224">
        <f t="shared" si="7"/>
        <v>39679511.46</v>
      </c>
      <c r="AQ17" s="224">
        <f t="shared" si="7"/>
        <v>40923270.07</v>
      </c>
      <c r="AR17" s="224">
        <f t="shared" si="7"/>
        <v>42167028.69</v>
      </c>
      <c r="AS17" s="224">
        <f t="shared" si="7"/>
        <v>43410787.31</v>
      </c>
      <c r="AT17" s="224">
        <f t="shared" si="7"/>
        <v>44654545.92</v>
      </c>
      <c r="AU17" s="224">
        <f t="shared" si="7"/>
        <v>45898304.54</v>
      </c>
      <c r="AV17" s="224">
        <f t="shared" si="7"/>
        <v>47142063.15</v>
      </c>
      <c r="AW17" s="224">
        <f t="shared" si="7"/>
        <v>47142063.15</v>
      </c>
      <c r="AX17" s="224">
        <f t="shared" si="7"/>
        <v>47142063.15</v>
      </c>
      <c r="AY17" s="224">
        <f t="shared" si="7"/>
        <v>47142063.15</v>
      </c>
      <c r="AZ17" s="224">
        <f t="shared" si="7"/>
        <v>47142063.15</v>
      </c>
      <c r="BA17" s="224">
        <f t="shared" si="7"/>
        <v>61779002.35</v>
      </c>
      <c r="BB17" s="224">
        <f t="shared" si="7"/>
        <v>61779002.35</v>
      </c>
      <c r="BC17" s="224">
        <f t="shared" si="7"/>
        <v>61779002.35</v>
      </c>
      <c r="BD17" s="224">
        <f t="shared" si="7"/>
        <v>61779002.35</v>
      </c>
      <c r="BE17" s="224">
        <f t="shared" si="7"/>
        <v>61779002.35</v>
      </c>
      <c r="BF17" s="224">
        <f t="shared" si="7"/>
        <v>61779002.35</v>
      </c>
      <c r="BG17" s="224">
        <f t="shared" si="7"/>
        <v>61779002.35</v>
      </c>
      <c r="BH17" s="224">
        <f t="shared" si="7"/>
        <v>61779002.35</v>
      </c>
      <c r="BI17" s="224">
        <f t="shared" si="7"/>
        <v>61779002.35</v>
      </c>
      <c r="BJ17" s="224">
        <f t="shared" si="7"/>
        <v>61779002.35</v>
      </c>
      <c r="BK17" s="224">
        <f t="shared" si="7"/>
        <v>61779002.35</v>
      </c>
      <c r="BL17" s="225">
        <f t="shared" si="7"/>
        <v>61779002.35</v>
      </c>
    </row>
    <row r="18" ht="15.75" customHeight="1">
      <c r="C18" s="210" t="s">
        <v>273</v>
      </c>
      <c r="D18" s="75" t="s">
        <v>274</v>
      </c>
      <c r="E18" s="222">
        <f>IF(E17 &gt; 0, E17 * ASSUMPTIONS!$H$58, 0)</f>
        <v>0</v>
      </c>
      <c r="F18" s="222">
        <f>IF(F17 &gt; 0, F17 * ASSUMPTIONS!$H$58, 0)</f>
        <v>0</v>
      </c>
      <c r="G18" s="222">
        <f>IF(G17 &gt; 0, G17 * ASSUMPTIONS!$H$58, 0)</f>
        <v>0</v>
      </c>
      <c r="H18" s="222">
        <f>IF(H17 &gt; 0, H17 * ASSUMPTIONS!$H$58, 0)</f>
        <v>0</v>
      </c>
      <c r="I18" s="222">
        <f>IF(I17 &gt; 0, I17 * ASSUMPTIONS!$H$58, 0)</f>
        <v>0</v>
      </c>
      <c r="J18" s="222">
        <f>IF(J17 &gt; 0, J17 * ASSUMPTIONS!$H$58, 0)</f>
        <v>0</v>
      </c>
      <c r="K18" s="222">
        <f>IF(K17 &gt; 0, K17 * ASSUMPTIONS!$H$58, 0)</f>
        <v>343679.2238</v>
      </c>
      <c r="L18" s="222">
        <f>IF(L17 &gt; 0, L17 * ASSUMPTIONS!$H$58, 0)</f>
        <v>431324.6446</v>
      </c>
      <c r="M18" s="222">
        <f>IF(M17 &gt; 0, M17 * ASSUMPTIONS!$H$58, 0)</f>
        <v>533970.0654</v>
      </c>
      <c r="N18" s="222">
        <f>IF(N17 &gt; 0, N17 * ASSUMPTIONS!$H$58, 0)</f>
        <v>636615.4862</v>
      </c>
      <c r="O18" s="222">
        <f>IF(O17 &gt; 0, O17 * ASSUMPTIONS!$H$58, 0)</f>
        <v>739260.907</v>
      </c>
      <c r="P18" s="222">
        <f>IF(P17 &gt; 0, P17 * ASSUMPTIONS!$H$58, 0)</f>
        <v>828885.4945</v>
      </c>
      <c r="Q18" s="222">
        <f>IF(Q17 &gt; 0, Q17 * ASSUMPTIONS!$H$58, 0)</f>
        <v>977920.0088</v>
      </c>
      <c r="R18" s="222">
        <f>IF(R17 &gt; 0, R17 * ASSUMPTIONS!$H$58, 0)</f>
        <v>1076317.977</v>
      </c>
      <c r="S18" s="222">
        <f>IF(S17 &gt; 0, S17 * ASSUMPTIONS!$H$58, 0)</f>
        <v>1174715.946</v>
      </c>
      <c r="T18" s="222">
        <f>IF(T17 &gt; 0, T17 * ASSUMPTIONS!$H$58, 0)</f>
        <v>1273113.914</v>
      </c>
      <c r="U18" s="222">
        <f>IF(U17 &gt; 0, U17 * ASSUMPTIONS!$H$58, 0)</f>
        <v>1371511.883</v>
      </c>
      <c r="V18" s="222">
        <f>IF(V17 &gt; 0, V17 * ASSUMPTIONS!$H$58, 0)</f>
        <v>1469909.852</v>
      </c>
      <c r="W18" s="222">
        <f>IF(W17 &gt; 0, W17 * ASSUMPTIONS!$H$58, 0)</f>
        <v>1568307.82</v>
      </c>
      <c r="X18" s="222">
        <f>IF(X17 &gt; 0, X17 * ASSUMPTIONS!$H$58, 0)</f>
        <v>1666705.789</v>
      </c>
      <c r="Y18" s="222">
        <f>IF(Y17 &gt; 0, Y17 * ASSUMPTIONS!$H$58, 0)</f>
        <v>1765103.757</v>
      </c>
      <c r="Z18" s="222">
        <f>IF(Z17 &gt; 0, Z17 * ASSUMPTIONS!$H$58, 0)</f>
        <v>1863501.726</v>
      </c>
      <c r="AA18" s="222">
        <f>IF(AA17 &gt; 0, AA17 * ASSUMPTIONS!$H$58, 0)</f>
        <v>1961899.694</v>
      </c>
      <c r="AB18" s="222">
        <f>IF(AB17 &gt; 0, AB17 * ASSUMPTIONS!$H$58, 0)</f>
        <v>2060297.663</v>
      </c>
      <c r="AC18" s="222">
        <f>IF(AC17 &gt; 0, AC17 * ASSUMPTIONS!$H$58, 0)</f>
        <v>3254236.422</v>
      </c>
      <c r="AD18" s="222">
        <f>IF(AD17 &gt; 0, AD17 * ASSUMPTIONS!$H$58, 0)</f>
        <v>3355569.541</v>
      </c>
      <c r="AE18" s="222">
        <f>IF(AE17 &gt; 0, AE17 * ASSUMPTIONS!$H$58, 0)</f>
        <v>3456902.659</v>
      </c>
      <c r="AF18" s="222">
        <f>IF(AF17 &gt; 0, AF17 * ASSUMPTIONS!$H$58, 0)</f>
        <v>3558235.778</v>
      </c>
      <c r="AG18" s="222">
        <f>IF(AG17 &gt; 0, AG17 * ASSUMPTIONS!$H$58, 0)</f>
        <v>3659568.897</v>
      </c>
      <c r="AH18" s="222">
        <f>IF(AH17 &gt; 0, AH17 * ASSUMPTIONS!$H$58, 0)</f>
        <v>3726533.682</v>
      </c>
      <c r="AI18" s="222">
        <f>IF(AI17 &gt; 0, AI17 * ASSUMPTIONS!$H$58, 0)</f>
        <v>3827866.8</v>
      </c>
      <c r="AJ18" s="222">
        <f>IF(AJ17 &gt; 0, AJ17 * ASSUMPTIONS!$H$58, 0)</f>
        <v>3929199.919</v>
      </c>
      <c r="AK18" s="222">
        <f>IF(AK17 &gt; 0, AK17 * ASSUMPTIONS!$H$58, 0)</f>
        <v>4030533.037</v>
      </c>
      <c r="AL18" s="222">
        <f>IF(AL17 &gt; 0, AL17 * ASSUMPTIONS!$H$58, 0)</f>
        <v>4131866.156</v>
      </c>
      <c r="AM18" s="222">
        <f>IF(AM17 &gt; 0, AM17 * ASSUMPTIONS!$H$58, 0)</f>
        <v>4233199.275</v>
      </c>
      <c r="AN18" s="222">
        <f>IF(AN17 &gt; 0, AN17 * ASSUMPTIONS!$H$58, 0)</f>
        <v>4334532.393</v>
      </c>
      <c r="AO18" s="222">
        <f>IF(AO17 &gt; 0, AO17 * ASSUMPTIONS!$H$58, 0)</f>
        <v>9608938.21</v>
      </c>
      <c r="AP18" s="222">
        <f>IF(AP17 &gt; 0, AP17 * ASSUMPTIONS!$H$58, 0)</f>
        <v>9919877.864</v>
      </c>
      <c r="AQ18" s="222">
        <f>IF(AQ17 &gt; 0, AQ17 * ASSUMPTIONS!$H$58, 0)</f>
        <v>10230817.52</v>
      </c>
      <c r="AR18" s="222">
        <f>IF(AR17 &gt; 0, AR17 * ASSUMPTIONS!$H$58, 0)</f>
        <v>10541757.17</v>
      </c>
      <c r="AS18" s="222">
        <f>IF(AS17 &gt; 0, AS17 * ASSUMPTIONS!$H$58, 0)</f>
        <v>10852696.83</v>
      </c>
      <c r="AT18" s="222">
        <f>IF(AT17 &gt; 0, AT17 * ASSUMPTIONS!$H$58, 0)</f>
        <v>11163636.48</v>
      </c>
      <c r="AU18" s="222">
        <f>IF(AU17 &gt; 0, AU17 * ASSUMPTIONS!$H$58, 0)</f>
        <v>11474576.13</v>
      </c>
      <c r="AV18" s="222">
        <f>IF(AV17 &gt; 0, AV17 * ASSUMPTIONS!$H$58, 0)</f>
        <v>11785515.79</v>
      </c>
      <c r="AW18" s="222">
        <f>IF(AW17 &gt; 0, AW17 * ASSUMPTIONS!$H$58, 0)</f>
        <v>11785515.79</v>
      </c>
      <c r="AX18" s="222">
        <f>IF(AX17 &gt; 0, AX17 * ASSUMPTIONS!$H$58, 0)</f>
        <v>11785515.79</v>
      </c>
      <c r="AY18" s="222">
        <f>IF(AY17 &gt; 0, AY17 * ASSUMPTIONS!$H$58, 0)</f>
        <v>11785515.79</v>
      </c>
      <c r="AZ18" s="222">
        <f>IF(AZ17 &gt; 0, AZ17 * ASSUMPTIONS!$H$58, 0)</f>
        <v>11785515.79</v>
      </c>
      <c r="BA18" s="222">
        <f>IF(BA17 &gt; 0, BA17 * ASSUMPTIONS!$H$58, 0)</f>
        <v>15444750.59</v>
      </c>
      <c r="BB18" s="222">
        <f>IF(BB17 &gt; 0, BB17 * ASSUMPTIONS!$H$58, 0)</f>
        <v>15444750.59</v>
      </c>
      <c r="BC18" s="222">
        <f>IF(BC17 &gt; 0, BC17 * ASSUMPTIONS!$H$58, 0)</f>
        <v>15444750.59</v>
      </c>
      <c r="BD18" s="222">
        <f>IF(BD17 &gt; 0, BD17 * ASSUMPTIONS!$H$58, 0)</f>
        <v>15444750.59</v>
      </c>
      <c r="BE18" s="222">
        <f>IF(BE17 &gt; 0, BE17 * ASSUMPTIONS!$H$58, 0)</f>
        <v>15444750.59</v>
      </c>
      <c r="BF18" s="222">
        <f>IF(BF17 &gt; 0, BF17 * ASSUMPTIONS!$H$58, 0)</f>
        <v>15444750.59</v>
      </c>
      <c r="BG18" s="222">
        <f>IF(BG17 &gt; 0, BG17 * ASSUMPTIONS!$H$58, 0)</f>
        <v>15444750.59</v>
      </c>
      <c r="BH18" s="222">
        <f>IF(BH17 &gt; 0, BH17 * ASSUMPTIONS!$H$58, 0)</f>
        <v>15444750.59</v>
      </c>
      <c r="BI18" s="222">
        <f>IF(BI17 &gt; 0, BI17 * ASSUMPTIONS!$H$58, 0)</f>
        <v>15444750.59</v>
      </c>
      <c r="BJ18" s="222">
        <f>IF(BJ17 &gt; 0, BJ17 * ASSUMPTIONS!$H$58, 0)</f>
        <v>15444750.59</v>
      </c>
      <c r="BK18" s="222">
        <f>IF(BK17 &gt; 0, BK17 * ASSUMPTIONS!$H$58, 0)</f>
        <v>15444750.59</v>
      </c>
      <c r="BL18" s="223">
        <f>IF(BL17 &gt; 0, BL17 * ASSUMPTIONS!$H$58, 0)</f>
        <v>15444750.59</v>
      </c>
    </row>
    <row r="19" ht="15.75" customHeight="1">
      <c r="C19" s="210" t="s">
        <v>275</v>
      </c>
      <c r="D19" s="226" t="s">
        <v>276</v>
      </c>
      <c r="E19" s="224">
        <f t="shared" ref="E19:BL19" si="8">E17 - E18</f>
        <v>-313333.3333</v>
      </c>
      <c r="F19" s="224">
        <f t="shared" si="8"/>
        <v>-421744.4444</v>
      </c>
      <c r="G19" s="224">
        <f t="shared" si="8"/>
        <v>-505077.7778</v>
      </c>
      <c r="H19" s="224">
        <f t="shared" si="8"/>
        <v>-505077.7778</v>
      </c>
      <c r="I19" s="224">
        <f t="shared" si="8"/>
        <v>-865640.539</v>
      </c>
      <c r="J19" s="224">
        <f t="shared" si="8"/>
        <v>-947031.078</v>
      </c>
      <c r="K19" s="224">
        <f t="shared" si="8"/>
        <v>1031037.671</v>
      </c>
      <c r="L19" s="224">
        <f t="shared" si="8"/>
        <v>1293973.934</v>
      </c>
      <c r="M19" s="224">
        <f t="shared" si="8"/>
        <v>1601910.196</v>
      </c>
      <c r="N19" s="224">
        <f t="shared" si="8"/>
        <v>1909846.459</v>
      </c>
      <c r="O19" s="224">
        <f t="shared" si="8"/>
        <v>2217782.721</v>
      </c>
      <c r="P19" s="224">
        <f t="shared" si="8"/>
        <v>2486656.483</v>
      </c>
      <c r="Q19" s="224">
        <f t="shared" si="8"/>
        <v>2933760.026</v>
      </c>
      <c r="R19" s="224">
        <f t="shared" si="8"/>
        <v>3228953.932</v>
      </c>
      <c r="S19" s="224">
        <f t="shared" si="8"/>
        <v>3524147.838</v>
      </c>
      <c r="T19" s="224">
        <f t="shared" si="8"/>
        <v>3819341.743</v>
      </c>
      <c r="U19" s="224">
        <f t="shared" si="8"/>
        <v>4114535.649</v>
      </c>
      <c r="V19" s="224">
        <f t="shared" si="8"/>
        <v>4409729.555</v>
      </c>
      <c r="W19" s="224">
        <f t="shared" si="8"/>
        <v>4704923.46</v>
      </c>
      <c r="X19" s="224">
        <f t="shared" si="8"/>
        <v>5000117.366</v>
      </c>
      <c r="Y19" s="224">
        <f t="shared" si="8"/>
        <v>5295311.271</v>
      </c>
      <c r="Z19" s="224">
        <f t="shared" si="8"/>
        <v>5590505.177</v>
      </c>
      <c r="AA19" s="224">
        <f t="shared" si="8"/>
        <v>5885699.083</v>
      </c>
      <c r="AB19" s="224">
        <f t="shared" si="8"/>
        <v>6180892.988</v>
      </c>
      <c r="AC19" s="224">
        <f t="shared" si="8"/>
        <v>9762709.267</v>
      </c>
      <c r="AD19" s="224">
        <f t="shared" si="8"/>
        <v>10066708.62</v>
      </c>
      <c r="AE19" s="224">
        <f t="shared" si="8"/>
        <v>10370707.98</v>
      </c>
      <c r="AF19" s="224">
        <f t="shared" si="8"/>
        <v>10674707.33</v>
      </c>
      <c r="AG19" s="224">
        <f t="shared" si="8"/>
        <v>10978706.69</v>
      </c>
      <c r="AH19" s="224">
        <f t="shared" si="8"/>
        <v>11179601.05</v>
      </c>
      <c r="AI19" s="224">
        <f t="shared" si="8"/>
        <v>11483600.4</v>
      </c>
      <c r="AJ19" s="224">
        <f t="shared" si="8"/>
        <v>11787599.76</v>
      </c>
      <c r="AK19" s="224">
        <f t="shared" si="8"/>
        <v>12091599.11</v>
      </c>
      <c r="AL19" s="224">
        <f t="shared" si="8"/>
        <v>12395598.47</v>
      </c>
      <c r="AM19" s="224">
        <f t="shared" si="8"/>
        <v>12699597.82</v>
      </c>
      <c r="AN19" s="224">
        <f t="shared" si="8"/>
        <v>13003597.18</v>
      </c>
      <c r="AO19" s="224">
        <f t="shared" si="8"/>
        <v>28826814.63</v>
      </c>
      <c r="AP19" s="224">
        <f t="shared" si="8"/>
        <v>29759633.59</v>
      </c>
      <c r="AQ19" s="224">
        <f t="shared" si="8"/>
        <v>30692452.56</v>
      </c>
      <c r="AR19" s="224">
        <f t="shared" si="8"/>
        <v>31625271.52</v>
      </c>
      <c r="AS19" s="224">
        <f t="shared" si="8"/>
        <v>32558090.48</v>
      </c>
      <c r="AT19" s="224">
        <f t="shared" si="8"/>
        <v>33490909.44</v>
      </c>
      <c r="AU19" s="224">
        <f t="shared" si="8"/>
        <v>34423728.4</v>
      </c>
      <c r="AV19" s="224">
        <f t="shared" si="8"/>
        <v>35356547.36</v>
      </c>
      <c r="AW19" s="224">
        <f t="shared" si="8"/>
        <v>35356547.36</v>
      </c>
      <c r="AX19" s="224">
        <f t="shared" si="8"/>
        <v>35356547.36</v>
      </c>
      <c r="AY19" s="224">
        <f t="shared" si="8"/>
        <v>35356547.36</v>
      </c>
      <c r="AZ19" s="224">
        <f t="shared" si="8"/>
        <v>35356547.36</v>
      </c>
      <c r="BA19" s="224">
        <f t="shared" si="8"/>
        <v>46334251.76</v>
      </c>
      <c r="BB19" s="224">
        <f t="shared" si="8"/>
        <v>46334251.76</v>
      </c>
      <c r="BC19" s="224">
        <f t="shared" si="8"/>
        <v>46334251.76</v>
      </c>
      <c r="BD19" s="224">
        <f t="shared" si="8"/>
        <v>46334251.76</v>
      </c>
      <c r="BE19" s="224">
        <f t="shared" si="8"/>
        <v>46334251.76</v>
      </c>
      <c r="BF19" s="224">
        <f t="shared" si="8"/>
        <v>46334251.76</v>
      </c>
      <c r="BG19" s="224">
        <f t="shared" si="8"/>
        <v>46334251.76</v>
      </c>
      <c r="BH19" s="224">
        <f t="shared" si="8"/>
        <v>46334251.76</v>
      </c>
      <c r="BI19" s="224">
        <f t="shared" si="8"/>
        <v>46334251.76</v>
      </c>
      <c r="BJ19" s="224">
        <f t="shared" si="8"/>
        <v>46334251.76</v>
      </c>
      <c r="BK19" s="224">
        <f t="shared" si="8"/>
        <v>46334251.76</v>
      </c>
      <c r="BL19" s="225">
        <f t="shared" si="8"/>
        <v>46334251.76</v>
      </c>
    </row>
    <row r="20" ht="15.75" customHeight="1">
      <c r="C20" s="227" t="s">
        <v>277</v>
      </c>
      <c r="D20" s="228" t="s">
        <v>278</v>
      </c>
      <c r="E20" s="229">
        <f t="shared" ref="E20:BL20" si="9">IF(E7 = 0, 0, E19 / E7)</f>
        <v>0</v>
      </c>
      <c r="F20" s="229">
        <f t="shared" si="9"/>
        <v>0</v>
      </c>
      <c r="G20" s="229">
        <f t="shared" si="9"/>
        <v>0</v>
      </c>
      <c r="H20" s="229">
        <f t="shared" si="9"/>
        <v>0</v>
      </c>
      <c r="I20" s="229">
        <f t="shared" si="9"/>
        <v>-0.3626441573</v>
      </c>
      <c r="J20" s="229">
        <f t="shared" si="9"/>
        <v>-0.1983706121</v>
      </c>
      <c r="K20" s="229">
        <f t="shared" si="9"/>
        <v>0.05274808826</v>
      </c>
      <c r="L20" s="229">
        <f t="shared" si="9"/>
        <v>0.05899540209</v>
      </c>
      <c r="M20" s="229">
        <f t="shared" si="9"/>
        <v>0.06586667591</v>
      </c>
      <c r="N20" s="229">
        <f t="shared" si="9"/>
        <v>0.07150968893</v>
      </c>
      <c r="O20" s="229">
        <f t="shared" si="9"/>
        <v>0.07622675441</v>
      </c>
      <c r="P20" s="229">
        <f t="shared" si="9"/>
        <v>0.07898769114</v>
      </c>
      <c r="Q20" s="229">
        <f t="shared" si="9"/>
        <v>0.08210005657</v>
      </c>
      <c r="R20" s="229">
        <f t="shared" si="9"/>
        <v>0.08446405285</v>
      </c>
      <c r="S20" s="229">
        <f t="shared" si="9"/>
        <v>0.08653840598</v>
      </c>
      <c r="T20" s="229">
        <f t="shared" si="9"/>
        <v>0.08837327494</v>
      </c>
      <c r="U20" s="229">
        <f t="shared" si="9"/>
        <v>0.09000786906</v>
      </c>
      <c r="V20" s="229">
        <f t="shared" si="9"/>
        <v>0.09147328127</v>
      </c>
      <c r="W20" s="229">
        <f t="shared" si="9"/>
        <v>0.09279448489</v>
      </c>
      <c r="X20" s="229">
        <f t="shared" si="9"/>
        <v>0.09399176862</v>
      </c>
      <c r="Y20" s="229">
        <f t="shared" si="9"/>
        <v>0.09508178571</v>
      </c>
      <c r="Z20" s="229">
        <f t="shared" si="9"/>
        <v>0.09607833342</v>
      </c>
      <c r="AA20" s="229">
        <f t="shared" si="9"/>
        <v>0.09699294002</v>
      </c>
      <c r="AB20" s="229">
        <f t="shared" si="9"/>
        <v>0.09783531281</v>
      </c>
      <c r="AC20" s="229">
        <f t="shared" si="9"/>
        <v>0.1155599015</v>
      </c>
      <c r="AD20" s="229">
        <f t="shared" si="9"/>
        <v>0.1155421194</v>
      </c>
      <c r="AE20" s="229">
        <f t="shared" si="9"/>
        <v>0.1155253848</v>
      </c>
      <c r="AF20" s="229">
        <f t="shared" si="9"/>
        <v>0.1155096078</v>
      </c>
      <c r="AG20" s="229">
        <f t="shared" si="9"/>
        <v>0.1154947085</v>
      </c>
      <c r="AH20" s="229">
        <f t="shared" si="9"/>
        <v>0.1144253165</v>
      </c>
      <c r="AI20" s="229">
        <f t="shared" si="9"/>
        <v>0.1144397729</v>
      </c>
      <c r="AJ20" s="229">
        <f t="shared" si="9"/>
        <v>0.114453487</v>
      </c>
      <c r="AK20" s="229">
        <f t="shared" si="9"/>
        <v>0.1144665145</v>
      </c>
      <c r="AL20" s="229">
        <f t="shared" si="9"/>
        <v>0.1144789058</v>
      </c>
      <c r="AM20" s="229">
        <f t="shared" si="9"/>
        <v>0.1144907064</v>
      </c>
      <c r="AN20" s="229">
        <f t="shared" si="9"/>
        <v>0.1145019575</v>
      </c>
      <c r="AO20" s="229">
        <f t="shared" si="9"/>
        <v>0.1496728562</v>
      </c>
      <c r="AP20" s="229">
        <f t="shared" si="9"/>
        <v>0.1480585786</v>
      </c>
      <c r="AQ20" s="229">
        <f t="shared" si="9"/>
        <v>0.1465738172</v>
      </c>
      <c r="AR20" s="229">
        <f t="shared" si="9"/>
        <v>0.1452035864</v>
      </c>
      <c r="AS20" s="229">
        <f t="shared" si="9"/>
        <v>0.1439351263</v>
      </c>
      <c r="AT20" s="229">
        <f t="shared" si="9"/>
        <v>0.1427575048</v>
      </c>
      <c r="AU20" s="229">
        <f t="shared" si="9"/>
        <v>0.1416613013</v>
      </c>
      <c r="AV20" s="229">
        <f t="shared" si="9"/>
        <v>0.1406383544</v>
      </c>
      <c r="AW20" s="229">
        <f t="shared" si="9"/>
        <v>0.1406383544</v>
      </c>
      <c r="AX20" s="229">
        <f t="shared" si="9"/>
        <v>0.1406383544</v>
      </c>
      <c r="AY20" s="229">
        <f t="shared" si="9"/>
        <v>0.1406383544</v>
      </c>
      <c r="AZ20" s="229">
        <f t="shared" si="9"/>
        <v>0.1406383544</v>
      </c>
      <c r="BA20" s="229">
        <f t="shared" si="9"/>
        <v>0.1653111972</v>
      </c>
      <c r="BB20" s="229">
        <f t="shared" si="9"/>
        <v>0.1653111972</v>
      </c>
      <c r="BC20" s="229">
        <f t="shared" si="9"/>
        <v>0.1653111972</v>
      </c>
      <c r="BD20" s="229">
        <f t="shared" si="9"/>
        <v>0.1653111972</v>
      </c>
      <c r="BE20" s="229">
        <f t="shared" si="9"/>
        <v>0.1653111972</v>
      </c>
      <c r="BF20" s="229">
        <f t="shared" si="9"/>
        <v>0.1653111972</v>
      </c>
      <c r="BG20" s="229">
        <f t="shared" si="9"/>
        <v>0.1653111972</v>
      </c>
      <c r="BH20" s="229">
        <f t="shared" si="9"/>
        <v>0.1653111972</v>
      </c>
      <c r="BI20" s="229">
        <f t="shared" si="9"/>
        <v>0.1653111972</v>
      </c>
      <c r="BJ20" s="229">
        <f t="shared" si="9"/>
        <v>0.1653111972</v>
      </c>
      <c r="BK20" s="229">
        <f t="shared" si="9"/>
        <v>0.1653111972</v>
      </c>
      <c r="BL20" s="230">
        <f t="shared" si="9"/>
        <v>0.1653111972</v>
      </c>
    </row>
    <row r="21" ht="15.75" customHeight="1">
      <c r="D21" s="8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</row>
    <row r="22" ht="15.75" customHeight="1">
      <c r="C22" s="231" t="s">
        <v>279</v>
      </c>
      <c r="D22" s="8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</row>
    <row r="23" ht="15.75" customHeight="1">
      <c r="C23" s="195"/>
      <c r="D23" s="8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</row>
    <row r="24" ht="15.75" customHeight="1">
      <c r="C24" s="195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</row>
    <row r="25" ht="15.75" customHeight="1">
      <c r="C25" s="195"/>
      <c r="D25" s="8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</row>
    <row r="26" ht="15.75" customHeight="1">
      <c r="C26" s="195"/>
      <c r="D26" s="8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</row>
    <row r="27" ht="15.75" customHeight="1">
      <c r="C27" s="195"/>
      <c r="D27" s="8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</row>
    <row r="28" ht="15.75" customHeight="1">
      <c r="C28" s="195"/>
      <c r="D28" s="8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</row>
    <row r="29" ht="15.75" customHeight="1">
      <c r="C29" s="195"/>
      <c r="D29" s="8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</row>
    <row r="30" ht="15.75" customHeight="1">
      <c r="C30" s="195"/>
      <c r="D30" s="8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</row>
    <row r="31" ht="15.75" customHeight="1">
      <c r="C31" s="195"/>
      <c r="D31" s="8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</row>
    <row r="32" ht="15.75" customHeight="1">
      <c r="C32" s="195"/>
      <c r="D32" s="8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</row>
    <row r="33" ht="15.75" customHeight="1">
      <c r="C33" s="195"/>
      <c r="D33" s="8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</row>
    <row r="34" ht="15.75" customHeight="1">
      <c r="C34" s="195"/>
      <c r="D34" s="8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</row>
    <row r="35" ht="15.75" customHeight="1">
      <c r="C35" s="195"/>
      <c r="D35" s="8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</row>
    <row r="36" ht="15.75" customHeight="1">
      <c r="C36" s="195"/>
      <c r="D36" s="8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</row>
    <row r="37" ht="15.75" customHeight="1">
      <c r="C37" s="195"/>
      <c r="D37" s="8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</row>
    <row r="38" ht="15.75" customHeight="1">
      <c r="C38" s="195"/>
      <c r="D38" s="8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</row>
    <row r="39" ht="15.75" customHeight="1">
      <c r="C39" s="195"/>
      <c r="D39" s="8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</row>
    <row r="40" ht="15.75" customHeight="1">
      <c r="C40" s="195"/>
      <c r="D40" s="8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</row>
    <row r="41" ht="15.75" customHeight="1">
      <c r="C41" s="195"/>
      <c r="D41" s="8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</row>
    <row r="42" ht="15.75" customHeight="1">
      <c r="C42" s="195"/>
      <c r="D42" s="8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</row>
    <row r="43" ht="15.75" customHeight="1">
      <c r="C43" s="195"/>
      <c r="D43" s="8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</row>
    <row r="44" ht="15.75" customHeight="1">
      <c r="C44" s="195"/>
      <c r="D44" s="8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</row>
    <row r="45" ht="15.75" customHeight="1">
      <c r="C45" s="195"/>
      <c r="D45" s="8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</row>
    <row r="46" ht="15.75" customHeight="1">
      <c r="C46" s="195"/>
      <c r="D46" s="8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</row>
    <row r="47" ht="15.75" customHeight="1">
      <c r="C47" s="195"/>
      <c r="D47" s="8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</row>
    <row r="48" ht="15.75" customHeight="1">
      <c r="C48" s="195"/>
      <c r="D48" s="8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</row>
    <row r="49" ht="15.75" customHeight="1">
      <c r="C49" s="195"/>
      <c r="D49" s="8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</row>
    <row r="50" ht="15.75" customHeight="1">
      <c r="C50" s="195"/>
      <c r="D50" s="8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</row>
    <row r="51" ht="15.75" customHeight="1">
      <c r="C51" s="195"/>
      <c r="D51" s="8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</row>
    <row r="52" ht="15.75" customHeight="1">
      <c r="C52" s="195"/>
      <c r="D52" s="8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</row>
    <row r="53" ht="15.75" customHeight="1">
      <c r="C53" s="195"/>
      <c r="D53" s="8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</row>
    <row r="54" ht="15.75" customHeight="1">
      <c r="C54" s="195"/>
      <c r="D54" s="8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</row>
    <row r="55" ht="15.75" customHeight="1">
      <c r="C55" s="195"/>
      <c r="D55" s="8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</row>
    <row r="56" ht="15.75" customHeight="1">
      <c r="C56" s="195"/>
      <c r="D56" s="8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</row>
    <row r="57" ht="15.75" customHeight="1">
      <c r="C57" s="195"/>
      <c r="D57" s="8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</row>
    <row r="58" ht="15.75" customHeight="1">
      <c r="C58" s="195"/>
      <c r="D58" s="8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</row>
    <row r="59" ht="15.75" customHeight="1">
      <c r="C59" s="195"/>
      <c r="D59" s="8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</row>
    <row r="60" ht="15.75" customHeight="1">
      <c r="C60" s="195"/>
      <c r="D60" s="8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</row>
    <row r="61" ht="15.75" customHeight="1">
      <c r="C61" s="195"/>
      <c r="D61" s="8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</row>
    <row r="62" ht="15.75" customHeight="1">
      <c r="C62" s="195"/>
      <c r="D62" s="8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</row>
    <row r="63" ht="15.75" customHeight="1">
      <c r="C63" s="195"/>
      <c r="D63" s="8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</row>
    <row r="64" ht="15.75" customHeight="1">
      <c r="C64" s="195"/>
      <c r="D64" s="8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</row>
    <row r="65" ht="15.75" customHeight="1">
      <c r="C65" s="195"/>
      <c r="D65" s="8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</row>
    <row r="66" ht="15.75" customHeight="1">
      <c r="C66" s="195"/>
      <c r="D66" s="8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</row>
    <row r="67" ht="15.75" customHeight="1">
      <c r="C67" s="195"/>
      <c r="D67" s="8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</row>
    <row r="68" ht="15.75" customHeight="1">
      <c r="C68" s="195"/>
      <c r="D68" s="8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</row>
    <row r="69" ht="15.75" customHeight="1">
      <c r="C69" s="195"/>
      <c r="D69" s="8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</row>
    <row r="70" ht="15.75" customHeight="1">
      <c r="C70" s="195"/>
      <c r="D70" s="8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</row>
    <row r="71" ht="15.75" customHeight="1">
      <c r="C71" s="195"/>
      <c r="D71" s="8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</row>
    <row r="72" ht="15.75" customHeight="1">
      <c r="C72" s="195"/>
      <c r="D72" s="8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</row>
    <row r="73" ht="15.75" customHeight="1">
      <c r="C73" s="195"/>
      <c r="D73" s="8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</row>
    <row r="74" ht="15.75" customHeight="1">
      <c r="C74" s="195"/>
      <c r="D74" s="8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ht="15.75" customHeight="1">
      <c r="C75" s="195"/>
      <c r="D75" s="8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</row>
    <row r="76" ht="15.75" customHeight="1">
      <c r="C76" s="195"/>
      <c r="D76" s="8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</row>
    <row r="77" ht="15.75" customHeight="1">
      <c r="C77" s="195"/>
      <c r="D77" s="8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ht="15.75" customHeight="1">
      <c r="C78" s="195"/>
      <c r="D78" s="8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</row>
    <row r="79" ht="15.75" customHeight="1">
      <c r="C79" s="195"/>
      <c r="D79" s="8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</row>
    <row r="80" ht="15.75" customHeight="1">
      <c r="C80" s="195"/>
      <c r="D80" s="8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</row>
    <row r="81" ht="15.75" customHeight="1">
      <c r="C81" s="195"/>
      <c r="D81" s="8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</row>
    <row r="82" ht="15.75" customHeight="1">
      <c r="C82" s="195"/>
      <c r="D82" s="8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</row>
    <row r="83" ht="15.75" customHeight="1">
      <c r="C83" s="195"/>
      <c r="D83" s="8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</row>
    <row r="84" ht="15.75" customHeight="1">
      <c r="C84" s="195"/>
      <c r="D84" s="8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</row>
    <row r="85" ht="15.75" customHeight="1">
      <c r="C85" s="195"/>
      <c r="D85" s="8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</row>
    <row r="86" ht="15.75" customHeight="1">
      <c r="C86" s="195"/>
      <c r="D86" s="8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</row>
    <row r="87" ht="15.75" customHeight="1">
      <c r="C87" s="195"/>
      <c r="D87" s="8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</row>
    <row r="88" ht="15.75" customHeight="1">
      <c r="C88" s="195"/>
      <c r="D88" s="8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</row>
    <row r="89" ht="15.75" customHeight="1">
      <c r="C89" s="195"/>
      <c r="D89" s="8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</row>
    <row r="90" ht="15.75" customHeight="1">
      <c r="C90" s="195"/>
      <c r="D90" s="8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</row>
    <row r="91" ht="15.75" customHeight="1">
      <c r="C91" s="195"/>
      <c r="D91" s="8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</row>
    <row r="92" ht="15.75" customHeight="1">
      <c r="C92" s="195"/>
      <c r="D92" s="8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</row>
    <row r="93" ht="15.75" customHeight="1">
      <c r="C93" s="195"/>
      <c r="D93" s="8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</row>
    <row r="94" ht="15.75" customHeight="1">
      <c r="C94" s="195"/>
      <c r="D94" s="8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</row>
    <row r="95" ht="15.75" customHeight="1">
      <c r="C95" s="195"/>
      <c r="D95" s="8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</row>
    <row r="96" ht="15.75" customHeight="1">
      <c r="C96" s="195"/>
      <c r="D96" s="8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</row>
    <row r="97" ht="15.75" customHeight="1">
      <c r="C97" s="195"/>
      <c r="D97" s="8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</row>
    <row r="98" ht="15.75" customHeight="1">
      <c r="C98" s="195"/>
      <c r="D98" s="8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</row>
    <row r="99" ht="15.75" customHeight="1">
      <c r="C99" s="195"/>
      <c r="D99" s="8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</row>
    <row r="100" ht="15.75" customHeight="1">
      <c r="C100" s="195"/>
      <c r="D100" s="8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</row>
    <row r="101" ht="15.75" customHeight="1">
      <c r="C101" s="195"/>
      <c r="D101" s="8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</row>
    <row r="102" ht="15.75" customHeight="1">
      <c r="C102" s="195"/>
      <c r="D102" s="8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</row>
    <row r="103" ht="15.75" customHeight="1">
      <c r="C103" s="195"/>
      <c r="D103" s="8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</row>
    <row r="104" ht="15.75" customHeight="1">
      <c r="C104" s="195"/>
      <c r="D104" s="8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</row>
    <row r="105" ht="15.75" customHeight="1">
      <c r="C105" s="195"/>
      <c r="D105" s="8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</row>
    <row r="106" ht="15.75" customHeight="1">
      <c r="C106" s="195"/>
      <c r="D106" s="8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</row>
    <row r="107" ht="15.75" customHeight="1">
      <c r="C107" s="195"/>
      <c r="D107" s="8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</row>
    <row r="108" ht="15.75" customHeight="1">
      <c r="C108" s="195"/>
      <c r="D108" s="8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</row>
    <row r="109" ht="15.75" customHeight="1">
      <c r="C109" s="195"/>
      <c r="D109" s="8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</row>
    <row r="110" ht="15.75" customHeight="1">
      <c r="C110" s="195"/>
      <c r="D110" s="8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</row>
    <row r="111" ht="15.75" customHeight="1">
      <c r="C111" s="195"/>
      <c r="D111" s="8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</row>
    <row r="112" ht="15.75" customHeight="1">
      <c r="C112" s="195"/>
      <c r="D112" s="8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</row>
    <row r="113" ht="15.75" customHeight="1">
      <c r="C113" s="195"/>
      <c r="D113" s="8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</row>
    <row r="114" ht="15.75" customHeight="1">
      <c r="C114" s="195"/>
      <c r="D114" s="8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</row>
    <row r="115" ht="15.75" customHeight="1">
      <c r="C115" s="195"/>
      <c r="D115" s="8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</row>
    <row r="116" ht="15.75" customHeight="1">
      <c r="C116" s="195"/>
      <c r="D116" s="8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</row>
    <row r="117" ht="15.75" customHeight="1">
      <c r="C117" s="195"/>
      <c r="D117" s="8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</row>
    <row r="118" ht="15.75" customHeight="1">
      <c r="C118" s="195"/>
      <c r="D118" s="8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</row>
    <row r="119" ht="15.75" customHeight="1">
      <c r="C119" s="195"/>
      <c r="D119" s="8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</row>
    <row r="120" ht="15.75" customHeight="1">
      <c r="C120" s="195"/>
      <c r="D120" s="8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</row>
    <row r="121" ht="15.75" customHeight="1">
      <c r="C121" s="195"/>
      <c r="D121" s="8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</row>
    <row r="122" ht="15.75" customHeight="1">
      <c r="C122" s="195"/>
      <c r="D122" s="8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</row>
    <row r="123" ht="15.75" customHeight="1">
      <c r="C123" s="195"/>
      <c r="D123" s="8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</row>
    <row r="124" ht="15.75" customHeight="1">
      <c r="C124" s="195"/>
      <c r="D124" s="8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</row>
    <row r="125" ht="15.75" customHeight="1">
      <c r="C125" s="195"/>
      <c r="D125" s="8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</row>
    <row r="126" ht="15.75" customHeight="1">
      <c r="C126" s="195"/>
      <c r="D126" s="8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</row>
    <row r="127" ht="15.75" customHeight="1">
      <c r="C127" s="195"/>
      <c r="D127" s="8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</row>
    <row r="128" ht="15.75" customHeight="1">
      <c r="C128" s="195"/>
      <c r="D128" s="8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</row>
    <row r="129" ht="15.75" customHeight="1">
      <c r="C129" s="195"/>
      <c r="D129" s="8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</row>
    <row r="130" ht="15.75" customHeight="1">
      <c r="C130" s="195"/>
      <c r="D130" s="8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</row>
    <row r="131" ht="15.75" customHeight="1">
      <c r="C131" s="195"/>
      <c r="D131" s="8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</row>
    <row r="132" ht="15.75" customHeight="1">
      <c r="C132" s="195"/>
      <c r="D132" s="8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</row>
    <row r="133" ht="15.75" customHeight="1">
      <c r="C133" s="195"/>
      <c r="D133" s="8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</row>
    <row r="134" ht="15.75" customHeight="1">
      <c r="C134" s="195"/>
      <c r="D134" s="8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</row>
    <row r="135" ht="15.75" customHeight="1">
      <c r="C135" s="195"/>
      <c r="D135" s="8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</row>
    <row r="136" ht="15.75" customHeight="1">
      <c r="C136" s="195"/>
      <c r="D136" s="8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</row>
    <row r="137" ht="15.75" customHeight="1">
      <c r="C137" s="195"/>
      <c r="D137" s="8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</row>
    <row r="138" ht="15.75" customHeight="1">
      <c r="C138" s="195"/>
      <c r="D138" s="8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</row>
    <row r="139" ht="15.75" customHeight="1">
      <c r="C139" s="195"/>
      <c r="D139" s="8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</row>
    <row r="140" ht="15.75" customHeight="1">
      <c r="C140" s="195"/>
      <c r="D140" s="8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</row>
    <row r="141" ht="15.75" customHeight="1">
      <c r="C141" s="195"/>
      <c r="D141" s="8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</row>
    <row r="142" ht="15.75" customHeight="1">
      <c r="C142" s="195"/>
      <c r="D142" s="8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</row>
    <row r="143" ht="15.75" customHeight="1">
      <c r="C143" s="195"/>
      <c r="D143" s="8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</row>
    <row r="144" ht="15.75" customHeight="1">
      <c r="C144" s="195"/>
      <c r="D144" s="8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</row>
    <row r="145" ht="15.75" customHeight="1">
      <c r="C145" s="195"/>
      <c r="D145" s="8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</row>
    <row r="146" ht="15.75" customHeight="1">
      <c r="C146" s="195"/>
      <c r="D146" s="8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</row>
    <row r="147" ht="15.75" customHeight="1">
      <c r="C147" s="195"/>
      <c r="D147" s="8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</row>
    <row r="148" ht="15.75" customHeight="1">
      <c r="C148" s="195"/>
      <c r="D148" s="8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</row>
    <row r="149" ht="15.75" customHeight="1">
      <c r="C149" s="195"/>
      <c r="D149" s="8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</row>
    <row r="150" ht="15.75" customHeight="1">
      <c r="C150" s="195"/>
      <c r="D150" s="8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</row>
    <row r="151" ht="15.75" customHeight="1">
      <c r="C151" s="195"/>
      <c r="D151" s="8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</row>
    <row r="152" ht="15.75" customHeight="1">
      <c r="C152" s="195"/>
      <c r="D152" s="8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</row>
    <row r="153" ht="15.75" customHeight="1">
      <c r="C153" s="195"/>
      <c r="D153" s="8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</row>
    <row r="154" ht="15.75" customHeight="1">
      <c r="C154" s="195"/>
      <c r="D154" s="8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</row>
    <row r="155" ht="15.75" customHeight="1">
      <c r="C155" s="195"/>
      <c r="D155" s="8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</row>
    <row r="156" ht="15.75" customHeight="1">
      <c r="C156" s="195"/>
      <c r="D156" s="8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</row>
    <row r="157" ht="15.75" customHeight="1">
      <c r="C157" s="195"/>
      <c r="D157" s="8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</row>
    <row r="158" ht="15.75" customHeight="1">
      <c r="C158" s="195"/>
      <c r="D158" s="8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</row>
    <row r="159" ht="15.75" customHeight="1">
      <c r="C159" s="195"/>
      <c r="D159" s="8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</row>
    <row r="160" ht="15.75" customHeight="1">
      <c r="C160" s="195"/>
      <c r="D160" s="8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</row>
    <row r="161" ht="15.75" customHeight="1">
      <c r="C161" s="195"/>
      <c r="D161" s="8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</row>
    <row r="162" ht="15.75" customHeight="1">
      <c r="C162" s="195"/>
      <c r="D162" s="8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</row>
    <row r="163" ht="15.75" customHeight="1">
      <c r="C163" s="195"/>
      <c r="D163" s="8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</row>
    <row r="164" ht="15.75" customHeight="1">
      <c r="C164" s="195"/>
      <c r="D164" s="8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</row>
    <row r="165" ht="15.75" customHeight="1">
      <c r="C165" s="195"/>
      <c r="D165" s="8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</row>
    <row r="166" ht="15.75" customHeight="1">
      <c r="C166" s="195"/>
      <c r="D166" s="8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BI166" s="94"/>
      <c r="BJ166" s="94"/>
      <c r="BK166" s="94"/>
      <c r="BL166" s="94"/>
    </row>
    <row r="167" ht="15.75" customHeight="1">
      <c r="C167" s="195"/>
      <c r="D167" s="8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BI167" s="94"/>
      <c r="BJ167" s="94"/>
      <c r="BK167" s="94"/>
      <c r="BL167" s="94"/>
    </row>
    <row r="168" ht="15.75" customHeight="1">
      <c r="C168" s="195"/>
      <c r="D168" s="8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</row>
    <row r="169" ht="15.75" customHeight="1">
      <c r="C169" s="195"/>
      <c r="D169" s="8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4"/>
      <c r="BI169" s="94"/>
      <c r="BJ169" s="94"/>
      <c r="BK169" s="94"/>
      <c r="BL169" s="94"/>
    </row>
    <row r="170" ht="15.75" customHeight="1">
      <c r="C170" s="195"/>
      <c r="D170" s="8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</row>
    <row r="171" ht="15.75" customHeight="1">
      <c r="C171" s="195"/>
      <c r="D171" s="8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</row>
    <row r="172" ht="15.75" customHeight="1">
      <c r="C172" s="195"/>
      <c r="D172" s="8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</row>
    <row r="173" ht="15.75" customHeight="1">
      <c r="C173" s="195"/>
      <c r="D173" s="8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4"/>
      <c r="BI173" s="94"/>
      <c r="BJ173" s="94"/>
      <c r="BK173" s="94"/>
      <c r="BL173" s="94"/>
    </row>
    <row r="174" ht="15.75" customHeight="1">
      <c r="C174" s="195"/>
      <c r="D174" s="8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</row>
    <row r="175" ht="15.75" customHeight="1">
      <c r="C175" s="195"/>
      <c r="D175" s="8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4"/>
      <c r="BI175" s="94"/>
      <c r="BJ175" s="94"/>
      <c r="BK175" s="94"/>
      <c r="BL175" s="94"/>
    </row>
    <row r="176" ht="15.75" customHeight="1">
      <c r="C176" s="195"/>
      <c r="D176" s="8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</row>
    <row r="177" ht="15.75" customHeight="1">
      <c r="C177" s="195"/>
      <c r="D177" s="8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</row>
    <row r="178" ht="15.75" customHeight="1">
      <c r="C178" s="195"/>
      <c r="D178" s="8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</row>
    <row r="179" ht="15.75" customHeight="1">
      <c r="C179" s="195"/>
      <c r="D179" s="8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</row>
    <row r="180" ht="15.75" customHeight="1">
      <c r="C180" s="195"/>
      <c r="D180" s="8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</row>
    <row r="181" ht="15.75" customHeight="1">
      <c r="C181" s="195"/>
      <c r="D181" s="8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</row>
    <row r="182" ht="15.75" customHeight="1">
      <c r="C182" s="195"/>
      <c r="D182" s="8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4"/>
      <c r="BI182" s="94"/>
      <c r="BJ182" s="94"/>
      <c r="BK182" s="94"/>
      <c r="BL182" s="94"/>
    </row>
    <row r="183" ht="15.75" customHeight="1">
      <c r="C183" s="195"/>
      <c r="D183" s="8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</row>
    <row r="184" ht="15.75" customHeight="1">
      <c r="C184" s="195"/>
      <c r="D184" s="8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4"/>
      <c r="BI184" s="94"/>
      <c r="BJ184" s="94"/>
      <c r="BK184" s="94"/>
      <c r="BL184" s="94"/>
    </row>
    <row r="185" ht="15.75" customHeight="1">
      <c r="C185" s="195"/>
      <c r="D185" s="8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</row>
    <row r="186" ht="15.75" customHeight="1">
      <c r="C186" s="195"/>
      <c r="D186" s="8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4"/>
      <c r="BI186" s="94"/>
      <c r="BJ186" s="94"/>
      <c r="BK186" s="94"/>
      <c r="BL186" s="94"/>
    </row>
    <row r="187" ht="15.75" customHeight="1">
      <c r="C187" s="195"/>
      <c r="D187" s="8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</row>
    <row r="188" ht="15.75" customHeight="1">
      <c r="C188" s="195"/>
      <c r="D188" s="8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BL188" s="94"/>
    </row>
    <row r="189" ht="15.75" customHeight="1">
      <c r="C189" s="195"/>
      <c r="D189" s="8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</row>
    <row r="190" ht="15.75" customHeight="1">
      <c r="C190" s="195"/>
      <c r="D190" s="8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</row>
    <row r="191" ht="15.75" customHeight="1">
      <c r="C191" s="195"/>
      <c r="D191" s="8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</row>
    <row r="192" ht="15.75" customHeight="1">
      <c r="C192" s="195"/>
      <c r="D192" s="8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4"/>
      <c r="BI192" s="94"/>
      <c r="BJ192" s="94"/>
      <c r="BK192" s="94"/>
      <c r="BL192" s="94"/>
    </row>
    <row r="193" ht="15.75" customHeight="1">
      <c r="C193" s="195"/>
      <c r="D193" s="8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4"/>
      <c r="BI193" s="94"/>
      <c r="BJ193" s="94"/>
      <c r="BK193" s="94"/>
      <c r="BL193" s="94"/>
    </row>
    <row r="194" ht="15.75" customHeight="1">
      <c r="C194" s="195"/>
      <c r="D194" s="8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  <c r="BG194" s="94"/>
      <c r="BH194" s="94"/>
      <c r="BI194" s="94"/>
      <c r="BJ194" s="94"/>
      <c r="BK194" s="94"/>
      <c r="BL194" s="94"/>
    </row>
    <row r="195" ht="15.75" customHeight="1">
      <c r="C195" s="195"/>
      <c r="D195" s="8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4"/>
      <c r="BI195" s="94"/>
      <c r="BJ195" s="94"/>
      <c r="BK195" s="94"/>
      <c r="BL195" s="94"/>
    </row>
    <row r="196" ht="15.75" customHeight="1">
      <c r="C196" s="195"/>
      <c r="D196" s="8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  <c r="BG196" s="94"/>
      <c r="BH196" s="94"/>
      <c r="BI196" s="94"/>
      <c r="BJ196" s="94"/>
      <c r="BK196" s="94"/>
      <c r="BL196" s="94"/>
    </row>
    <row r="197" ht="15.75" customHeight="1">
      <c r="C197" s="195"/>
      <c r="D197" s="8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4"/>
      <c r="BI197" s="94"/>
      <c r="BJ197" s="94"/>
      <c r="BK197" s="94"/>
      <c r="BL197" s="94"/>
    </row>
    <row r="198" ht="15.75" customHeight="1">
      <c r="C198" s="195"/>
      <c r="D198" s="8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  <c r="BG198" s="94"/>
      <c r="BH198" s="94"/>
      <c r="BI198" s="94"/>
      <c r="BJ198" s="94"/>
      <c r="BK198" s="94"/>
      <c r="BL198" s="94"/>
    </row>
    <row r="199" ht="15.75" customHeight="1">
      <c r="C199" s="195"/>
      <c r="D199" s="8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4"/>
      <c r="BI199" s="94"/>
      <c r="BJ199" s="94"/>
      <c r="BK199" s="94"/>
      <c r="BL199" s="94"/>
    </row>
    <row r="200" ht="15.75" customHeight="1">
      <c r="C200" s="195"/>
      <c r="D200" s="8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4"/>
      <c r="BI200" s="94"/>
      <c r="BJ200" s="94"/>
      <c r="BK200" s="94"/>
      <c r="BL200" s="94"/>
    </row>
    <row r="201" ht="15.75" customHeight="1">
      <c r="C201" s="195"/>
      <c r="D201" s="8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  <c r="BG201" s="94"/>
      <c r="BH201" s="94"/>
      <c r="BI201" s="94"/>
      <c r="BJ201" s="94"/>
      <c r="BK201" s="94"/>
      <c r="BL201" s="94"/>
    </row>
    <row r="202" ht="15.75" customHeight="1">
      <c r="C202" s="195"/>
      <c r="D202" s="8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  <c r="BG202" s="94"/>
      <c r="BH202" s="94"/>
      <c r="BI202" s="94"/>
      <c r="BJ202" s="94"/>
      <c r="BK202" s="94"/>
      <c r="BL202" s="94"/>
    </row>
    <row r="203" ht="15.75" customHeight="1">
      <c r="C203" s="195"/>
      <c r="D203" s="8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4"/>
      <c r="BI203" s="94"/>
      <c r="BJ203" s="94"/>
      <c r="BK203" s="94"/>
      <c r="BL203" s="94"/>
    </row>
    <row r="204" ht="15.75" customHeight="1">
      <c r="C204" s="195"/>
      <c r="D204" s="8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4"/>
      <c r="BI204" s="94"/>
      <c r="BJ204" s="94"/>
      <c r="BK204" s="94"/>
      <c r="BL204" s="94"/>
    </row>
    <row r="205" ht="15.75" customHeight="1">
      <c r="C205" s="195"/>
      <c r="D205" s="8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4"/>
      <c r="BI205" s="94"/>
      <c r="BJ205" s="94"/>
      <c r="BK205" s="94"/>
      <c r="BL205" s="94"/>
    </row>
    <row r="206" ht="15.75" customHeight="1">
      <c r="C206" s="195"/>
      <c r="D206" s="8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  <c r="BG206" s="94"/>
      <c r="BH206" s="94"/>
      <c r="BI206" s="94"/>
      <c r="BJ206" s="94"/>
      <c r="BK206" s="94"/>
      <c r="BL206" s="94"/>
    </row>
    <row r="207" ht="15.75" customHeight="1">
      <c r="C207" s="195"/>
      <c r="D207" s="8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  <c r="BG207" s="94"/>
      <c r="BH207" s="94"/>
      <c r="BI207" s="94"/>
      <c r="BJ207" s="94"/>
      <c r="BK207" s="94"/>
      <c r="BL207" s="94"/>
    </row>
    <row r="208" ht="15.75" customHeight="1">
      <c r="C208" s="195"/>
      <c r="D208" s="8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  <c r="BG208" s="94"/>
      <c r="BH208" s="94"/>
      <c r="BI208" s="94"/>
      <c r="BJ208" s="94"/>
      <c r="BK208" s="94"/>
      <c r="BL208" s="94"/>
    </row>
    <row r="209" ht="15.75" customHeight="1">
      <c r="C209" s="195"/>
      <c r="D209" s="8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4"/>
      <c r="BI209" s="94"/>
      <c r="BJ209" s="94"/>
      <c r="BK209" s="94"/>
      <c r="BL209" s="94"/>
    </row>
    <row r="210" ht="15.75" customHeight="1">
      <c r="C210" s="195"/>
      <c r="D210" s="8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  <c r="BG210" s="94"/>
      <c r="BH210" s="94"/>
      <c r="BI210" s="94"/>
      <c r="BJ210" s="94"/>
      <c r="BK210" s="94"/>
      <c r="BL210" s="94"/>
    </row>
    <row r="211" ht="15.75" customHeight="1">
      <c r="C211" s="195"/>
      <c r="D211" s="8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4"/>
      <c r="BI211" s="94"/>
      <c r="BJ211" s="94"/>
      <c r="BK211" s="94"/>
      <c r="BL211" s="94"/>
    </row>
    <row r="212" ht="15.75" customHeight="1">
      <c r="C212" s="195"/>
      <c r="D212" s="8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  <c r="BG212" s="94"/>
      <c r="BH212" s="94"/>
      <c r="BI212" s="94"/>
      <c r="BJ212" s="94"/>
      <c r="BK212" s="94"/>
      <c r="BL212" s="94"/>
    </row>
    <row r="213" ht="15.75" customHeight="1">
      <c r="C213" s="195"/>
      <c r="D213" s="8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4"/>
      <c r="BI213" s="94"/>
      <c r="BJ213" s="94"/>
      <c r="BK213" s="94"/>
      <c r="BL213" s="94"/>
    </row>
    <row r="214" ht="15.75" customHeight="1">
      <c r="C214" s="195"/>
      <c r="D214" s="8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</row>
    <row r="215" ht="15.75" customHeight="1">
      <c r="C215" s="195"/>
      <c r="D215" s="8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4"/>
      <c r="BI215" s="94"/>
      <c r="BJ215" s="94"/>
      <c r="BK215" s="94"/>
      <c r="BL215" s="94"/>
    </row>
    <row r="216" ht="15.75" customHeight="1">
      <c r="C216" s="195"/>
      <c r="D216" s="8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4"/>
      <c r="BI216" s="94"/>
      <c r="BJ216" s="94"/>
      <c r="BK216" s="94"/>
      <c r="BL216" s="94"/>
    </row>
    <row r="217" ht="15.75" customHeight="1">
      <c r="C217" s="195"/>
      <c r="D217" s="8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</row>
    <row r="218" ht="15.75" customHeight="1">
      <c r="C218" s="195"/>
      <c r="D218" s="8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</row>
    <row r="219" ht="15.75" customHeight="1">
      <c r="C219" s="195"/>
      <c r="D219" s="8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4"/>
      <c r="BI219" s="94"/>
      <c r="BJ219" s="94"/>
      <c r="BK219" s="94"/>
      <c r="BL219" s="94"/>
    </row>
    <row r="220" ht="15.75" customHeight="1">
      <c r="C220" s="195"/>
      <c r="D220" s="8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4"/>
      <c r="BI220" s="94"/>
      <c r="BJ220" s="94"/>
      <c r="BK220" s="94"/>
      <c r="BL220" s="94"/>
    </row>
    <row r="221" ht="15.75" customHeight="1">
      <c r="C221" s="195"/>
      <c r="D221" s="8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</row>
    <row r="222" ht="15.75" customHeight="1">
      <c r="C222" s="195"/>
      <c r="D222" s="8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  <c r="BG222" s="94"/>
      <c r="BH222" s="94"/>
      <c r="BI222" s="94"/>
      <c r="BJ222" s="94"/>
      <c r="BK222" s="94"/>
      <c r="BL222" s="9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2" width="5.75"/>
    <col customWidth="1" min="3" max="3" width="4.38"/>
    <col customWidth="1" min="4" max="4" width="31.75"/>
    <col customWidth="1" min="5" max="7" width="16.13"/>
    <col customWidth="1" min="8" max="8" width="14.5"/>
    <col customWidth="1" min="9" max="9" width="16.5"/>
    <col customWidth="1" min="10" max="11" width="16.13"/>
    <col customWidth="1" min="12" max="28" width="15.5"/>
    <col customWidth="1" min="29" max="29" width="16.13"/>
    <col customWidth="1" min="30" max="41" width="15.5"/>
    <col customWidth="1" min="42" max="64" width="16.5"/>
  </cols>
  <sheetData>
    <row r="1">
      <c r="A1" s="194" t="str">
        <f>COVER!$B$12</f>
        <v>Narayan Dairy Project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</row>
    <row r="2" ht="15.75" customHeight="1">
      <c r="A2" s="197" t="s">
        <v>280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</row>
    <row r="3" ht="15.75" customHeight="1">
      <c r="A3" s="198"/>
      <c r="B3" s="198"/>
      <c r="C3" s="198"/>
      <c r="D3" s="198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ht="15.75" customHeight="1">
      <c r="A4" s="202"/>
      <c r="B4" s="202"/>
      <c r="C4" s="203"/>
      <c r="D4" s="131" t="s">
        <v>252</v>
      </c>
      <c r="E4" s="131">
        <v>1.0</v>
      </c>
      <c r="F4" s="131">
        <f t="shared" ref="F4:BL4" si="1">E4+1</f>
        <v>2</v>
      </c>
      <c r="G4" s="131">
        <f t="shared" si="1"/>
        <v>3</v>
      </c>
      <c r="H4" s="131">
        <f t="shared" si="1"/>
        <v>4</v>
      </c>
      <c r="I4" s="131">
        <f t="shared" si="1"/>
        <v>5</v>
      </c>
      <c r="J4" s="131">
        <f t="shared" si="1"/>
        <v>6</v>
      </c>
      <c r="K4" s="131">
        <f t="shared" si="1"/>
        <v>7</v>
      </c>
      <c r="L4" s="131">
        <f t="shared" si="1"/>
        <v>8</v>
      </c>
      <c r="M4" s="131">
        <f t="shared" si="1"/>
        <v>9</v>
      </c>
      <c r="N4" s="131">
        <f t="shared" si="1"/>
        <v>10</v>
      </c>
      <c r="O4" s="131">
        <f t="shared" si="1"/>
        <v>11</v>
      </c>
      <c r="P4" s="131">
        <f t="shared" si="1"/>
        <v>12</v>
      </c>
      <c r="Q4" s="131">
        <f t="shared" si="1"/>
        <v>13</v>
      </c>
      <c r="R4" s="131">
        <f t="shared" si="1"/>
        <v>14</v>
      </c>
      <c r="S4" s="131">
        <f t="shared" si="1"/>
        <v>15</v>
      </c>
      <c r="T4" s="131">
        <f t="shared" si="1"/>
        <v>16</v>
      </c>
      <c r="U4" s="131">
        <f t="shared" si="1"/>
        <v>17</v>
      </c>
      <c r="V4" s="131">
        <f t="shared" si="1"/>
        <v>18</v>
      </c>
      <c r="W4" s="131">
        <f t="shared" si="1"/>
        <v>19</v>
      </c>
      <c r="X4" s="131">
        <f t="shared" si="1"/>
        <v>20</v>
      </c>
      <c r="Y4" s="131">
        <f t="shared" si="1"/>
        <v>21</v>
      </c>
      <c r="Z4" s="131">
        <f t="shared" si="1"/>
        <v>22</v>
      </c>
      <c r="AA4" s="131">
        <f t="shared" si="1"/>
        <v>23</v>
      </c>
      <c r="AB4" s="131">
        <f t="shared" si="1"/>
        <v>24</v>
      </c>
      <c r="AC4" s="131">
        <f t="shared" si="1"/>
        <v>25</v>
      </c>
      <c r="AD4" s="131">
        <f t="shared" si="1"/>
        <v>26</v>
      </c>
      <c r="AE4" s="131">
        <f t="shared" si="1"/>
        <v>27</v>
      </c>
      <c r="AF4" s="131">
        <f t="shared" si="1"/>
        <v>28</v>
      </c>
      <c r="AG4" s="131">
        <f t="shared" si="1"/>
        <v>29</v>
      </c>
      <c r="AH4" s="131">
        <f t="shared" si="1"/>
        <v>30</v>
      </c>
      <c r="AI4" s="131">
        <f t="shared" si="1"/>
        <v>31</v>
      </c>
      <c r="AJ4" s="131">
        <f t="shared" si="1"/>
        <v>32</v>
      </c>
      <c r="AK4" s="131">
        <f t="shared" si="1"/>
        <v>33</v>
      </c>
      <c r="AL4" s="131">
        <f t="shared" si="1"/>
        <v>34</v>
      </c>
      <c r="AM4" s="131">
        <f t="shared" si="1"/>
        <v>35</v>
      </c>
      <c r="AN4" s="131">
        <f t="shared" si="1"/>
        <v>36</v>
      </c>
      <c r="AO4" s="131">
        <f t="shared" si="1"/>
        <v>37</v>
      </c>
      <c r="AP4" s="131">
        <f t="shared" si="1"/>
        <v>38</v>
      </c>
      <c r="AQ4" s="131">
        <f t="shared" si="1"/>
        <v>39</v>
      </c>
      <c r="AR4" s="131">
        <f t="shared" si="1"/>
        <v>40</v>
      </c>
      <c r="AS4" s="131">
        <f t="shared" si="1"/>
        <v>41</v>
      </c>
      <c r="AT4" s="131">
        <f t="shared" si="1"/>
        <v>42</v>
      </c>
      <c r="AU4" s="131">
        <f t="shared" si="1"/>
        <v>43</v>
      </c>
      <c r="AV4" s="131">
        <f t="shared" si="1"/>
        <v>44</v>
      </c>
      <c r="AW4" s="131">
        <f t="shared" si="1"/>
        <v>45</v>
      </c>
      <c r="AX4" s="131">
        <f t="shared" si="1"/>
        <v>46</v>
      </c>
      <c r="AY4" s="131">
        <f t="shared" si="1"/>
        <v>47</v>
      </c>
      <c r="AZ4" s="131">
        <f t="shared" si="1"/>
        <v>48</v>
      </c>
      <c r="BA4" s="131">
        <f t="shared" si="1"/>
        <v>49</v>
      </c>
      <c r="BB4" s="131">
        <f t="shared" si="1"/>
        <v>50</v>
      </c>
      <c r="BC4" s="131">
        <f t="shared" si="1"/>
        <v>51</v>
      </c>
      <c r="BD4" s="131">
        <f t="shared" si="1"/>
        <v>52</v>
      </c>
      <c r="BE4" s="131">
        <f t="shared" si="1"/>
        <v>53</v>
      </c>
      <c r="BF4" s="131">
        <f t="shared" si="1"/>
        <v>54</v>
      </c>
      <c r="BG4" s="131">
        <f t="shared" si="1"/>
        <v>55</v>
      </c>
      <c r="BH4" s="131">
        <f t="shared" si="1"/>
        <v>56</v>
      </c>
      <c r="BI4" s="131">
        <f t="shared" si="1"/>
        <v>57</v>
      </c>
      <c r="BJ4" s="131">
        <f t="shared" si="1"/>
        <v>58</v>
      </c>
      <c r="BK4" s="131">
        <f t="shared" si="1"/>
        <v>59</v>
      </c>
      <c r="BL4" s="132">
        <f t="shared" si="1"/>
        <v>60</v>
      </c>
    </row>
    <row r="5" ht="1.5" customHeight="1">
      <c r="C5" s="20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5"/>
    </row>
    <row r="6" ht="1.5" customHeight="1">
      <c r="C6" s="20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8"/>
    </row>
    <row r="7" ht="15.75" customHeight="1">
      <c r="C7" s="210" t="s">
        <v>257</v>
      </c>
      <c r="D7" s="75" t="s">
        <v>281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8"/>
    </row>
    <row r="8" ht="15.75" customHeight="1">
      <c r="C8" s="210" t="s">
        <v>253</v>
      </c>
      <c r="D8" s="8" t="s">
        <v>282</v>
      </c>
      <c r="E8" s="153">
        <f>'P&amp;L'!E19</f>
        <v>-313333.3333</v>
      </c>
      <c r="F8" s="153">
        <f>'P&amp;L'!F19</f>
        <v>-421744.4444</v>
      </c>
      <c r="G8" s="153">
        <f>'P&amp;L'!G19</f>
        <v>-505077.7778</v>
      </c>
      <c r="H8" s="153">
        <f>'P&amp;L'!H19</f>
        <v>-505077.7778</v>
      </c>
      <c r="I8" s="153">
        <f>'P&amp;L'!I19</f>
        <v>-865640.539</v>
      </c>
      <c r="J8" s="153">
        <f>'P&amp;L'!J19</f>
        <v>-947031.078</v>
      </c>
      <c r="K8" s="153">
        <f>'P&amp;L'!K19</f>
        <v>1031037.671</v>
      </c>
      <c r="L8" s="153">
        <f>'P&amp;L'!L19</f>
        <v>1293973.934</v>
      </c>
      <c r="M8" s="153">
        <f>'P&amp;L'!M19</f>
        <v>1601910.196</v>
      </c>
      <c r="N8" s="153">
        <f>'P&amp;L'!N19</f>
        <v>1909846.459</v>
      </c>
      <c r="O8" s="153">
        <f>'P&amp;L'!O19</f>
        <v>2217782.721</v>
      </c>
      <c r="P8" s="153">
        <f>'P&amp;L'!P19</f>
        <v>2486656.483</v>
      </c>
      <c r="Q8" s="153">
        <f>'P&amp;L'!Q19</f>
        <v>2933760.026</v>
      </c>
      <c r="R8" s="153">
        <f>'P&amp;L'!R19</f>
        <v>3228953.932</v>
      </c>
      <c r="S8" s="153">
        <f>'P&amp;L'!S19</f>
        <v>3524147.838</v>
      </c>
      <c r="T8" s="153">
        <f>'P&amp;L'!T19</f>
        <v>3819341.743</v>
      </c>
      <c r="U8" s="153">
        <f>'P&amp;L'!U19</f>
        <v>4114535.649</v>
      </c>
      <c r="V8" s="153">
        <f>'P&amp;L'!V19</f>
        <v>4409729.555</v>
      </c>
      <c r="W8" s="153">
        <f>'P&amp;L'!W19</f>
        <v>4704923.46</v>
      </c>
      <c r="X8" s="153">
        <f>'P&amp;L'!X19</f>
        <v>5000117.366</v>
      </c>
      <c r="Y8" s="153">
        <f>'P&amp;L'!Y19</f>
        <v>5295311.271</v>
      </c>
      <c r="Z8" s="153">
        <f>'P&amp;L'!Z19</f>
        <v>5590505.177</v>
      </c>
      <c r="AA8" s="153">
        <f>'P&amp;L'!AA19</f>
        <v>5885699.083</v>
      </c>
      <c r="AB8" s="153">
        <f>'P&amp;L'!AB19</f>
        <v>6180892.988</v>
      </c>
      <c r="AC8" s="153">
        <f>'P&amp;L'!AC19</f>
        <v>9762709.267</v>
      </c>
      <c r="AD8" s="153">
        <f>'P&amp;L'!AD19</f>
        <v>10066708.62</v>
      </c>
      <c r="AE8" s="153">
        <f>'P&amp;L'!AE19</f>
        <v>10370707.98</v>
      </c>
      <c r="AF8" s="153">
        <f>'P&amp;L'!AF19</f>
        <v>10674707.33</v>
      </c>
      <c r="AG8" s="153">
        <f>'P&amp;L'!AG19</f>
        <v>10978706.69</v>
      </c>
      <c r="AH8" s="153">
        <f>'P&amp;L'!AH19</f>
        <v>11179601.05</v>
      </c>
      <c r="AI8" s="153">
        <f>'P&amp;L'!AI19</f>
        <v>11483600.4</v>
      </c>
      <c r="AJ8" s="153">
        <f>'P&amp;L'!AJ19</f>
        <v>11787599.76</v>
      </c>
      <c r="AK8" s="153">
        <f>'P&amp;L'!AK19</f>
        <v>12091599.11</v>
      </c>
      <c r="AL8" s="153">
        <f>'P&amp;L'!AL19</f>
        <v>12395598.47</v>
      </c>
      <c r="AM8" s="153">
        <f>'P&amp;L'!AM19</f>
        <v>12699597.82</v>
      </c>
      <c r="AN8" s="153">
        <f>'P&amp;L'!AN19</f>
        <v>13003597.18</v>
      </c>
      <c r="AO8" s="153">
        <f>'P&amp;L'!AO19</f>
        <v>28826814.63</v>
      </c>
      <c r="AP8" s="153">
        <f>'P&amp;L'!AP19</f>
        <v>29759633.59</v>
      </c>
      <c r="AQ8" s="153">
        <f>'P&amp;L'!AQ19</f>
        <v>30692452.56</v>
      </c>
      <c r="AR8" s="153">
        <f>'P&amp;L'!AR19</f>
        <v>31625271.52</v>
      </c>
      <c r="AS8" s="153">
        <f>'P&amp;L'!AS19</f>
        <v>32558090.48</v>
      </c>
      <c r="AT8" s="153">
        <f>'P&amp;L'!AT19</f>
        <v>33490909.44</v>
      </c>
      <c r="AU8" s="153">
        <f>'P&amp;L'!AU19</f>
        <v>34423728.4</v>
      </c>
      <c r="AV8" s="153">
        <f>'P&amp;L'!AV19</f>
        <v>35356547.36</v>
      </c>
      <c r="AW8" s="153">
        <f>'P&amp;L'!AW19</f>
        <v>35356547.36</v>
      </c>
      <c r="AX8" s="153">
        <f>'P&amp;L'!AX19</f>
        <v>35356547.36</v>
      </c>
      <c r="AY8" s="153">
        <f>'P&amp;L'!AY19</f>
        <v>35356547.36</v>
      </c>
      <c r="AZ8" s="153">
        <f>'P&amp;L'!AZ19</f>
        <v>35356547.36</v>
      </c>
      <c r="BA8" s="153">
        <f>'P&amp;L'!BA19</f>
        <v>46334251.76</v>
      </c>
      <c r="BB8" s="153">
        <f>'P&amp;L'!BB19</f>
        <v>46334251.76</v>
      </c>
      <c r="BC8" s="153">
        <f>'P&amp;L'!BC19</f>
        <v>46334251.76</v>
      </c>
      <c r="BD8" s="153">
        <f>'P&amp;L'!BD19</f>
        <v>46334251.76</v>
      </c>
      <c r="BE8" s="153">
        <f>'P&amp;L'!BE19</f>
        <v>46334251.76</v>
      </c>
      <c r="BF8" s="153">
        <f>'P&amp;L'!BF19</f>
        <v>46334251.76</v>
      </c>
      <c r="BG8" s="153">
        <f>'P&amp;L'!BG19</f>
        <v>46334251.76</v>
      </c>
      <c r="BH8" s="153">
        <f>'P&amp;L'!BH19</f>
        <v>46334251.76</v>
      </c>
      <c r="BI8" s="153">
        <f>'P&amp;L'!BI19</f>
        <v>46334251.76</v>
      </c>
      <c r="BJ8" s="153">
        <f>'P&amp;L'!BJ19</f>
        <v>46334251.76</v>
      </c>
      <c r="BK8" s="153">
        <f>'P&amp;L'!BK19</f>
        <v>46334251.76</v>
      </c>
      <c r="BL8" s="140">
        <f>'P&amp;L'!BL19</f>
        <v>46334251.76</v>
      </c>
    </row>
    <row r="9" ht="15.75" customHeight="1">
      <c r="C9" s="210" t="s">
        <v>254</v>
      </c>
      <c r="D9" s="8" t="s">
        <v>283</v>
      </c>
      <c r="E9" s="153">
        <f>'P&amp;L'!E14</f>
        <v>83333.33333</v>
      </c>
      <c r="F9" s="153">
        <f>'P&amp;L'!F14</f>
        <v>191744.4444</v>
      </c>
      <c r="G9" s="153">
        <f>'P&amp;L'!G14</f>
        <v>275077.7778</v>
      </c>
      <c r="H9" s="153">
        <f>'P&amp;L'!H14</f>
        <v>275077.7778</v>
      </c>
      <c r="I9" s="153">
        <f>'P&amp;L'!I14</f>
        <v>872222.2222</v>
      </c>
      <c r="J9" s="153">
        <f>'P&amp;L'!J14</f>
        <v>1038194.444</v>
      </c>
      <c r="K9" s="153">
        <f>'P&amp;L'!K14</f>
        <v>1629861.111</v>
      </c>
      <c r="L9" s="153">
        <f>'P&amp;L'!L14</f>
        <v>1629861.111</v>
      </c>
      <c r="M9" s="153">
        <f>'P&amp;L'!M14</f>
        <v>1629861.111</v>
      </c>
      <c r="N9" s="153">
        <f>'P&amp;L'!N14</f>
        <v>1629861.111</v>
      </c>
      <c r="O9" s="153">
        <f>'P&amp;L'!O14</f>
        <v>1629861.111</v>
      </c>
      <c r="P9" s="153">
        <f>'P&amp;L'!P14</f>
        <v>1681944.444</v>
      </c>
      <c r="Q9" s="153">
        <f>'P&amp;L'!Q14</f>
        <v>1681944.444</v>
      </c>
      <c r="R9" s="153">
        <f>'P&amp;L'!R14</f>
        <v>1681944.444</v>
      </c>
      <c r="S9" s="153">
        <f>'P&amp;L'!S14</f>
        <v>1681944.444</v>
      </c>
      <c r="T9" s="153">
        <f>'P&amp;L'!T14</f>
        <v>1681944.444</v>
      </c>
      <c r="U9" s="153">
        <f>'P&amp;L'!U14</f>
        <v>1681944.444</v>
      </c>
      <c r="V9" s="153">
        <f>'P&amp;L'!V14</f>
        <v>1681944.444</v>
      </c>
      <c r="W9" s="153">
        <f>'P&amp;L'!W14</f>
        <v>1681944.444</v>
      </c>
      <c r="X9" s="153">
        <f>'P&amp;L'!X14</f>
        <v>1681944.444</v>
      </c>
      <c r="Y9" s="153">
        <f>'P&amp;L'!Y14</f>
        <v>1681944.444</v>
      </c>
      <c r="Z9" s="153">
        <f>'P&amp;L'!Z14</f>
        <v>1681944.444</v>
      </c>
      <c r="AA9" s="153">
        <f>'P&amp;L'!AA14</f>
        <v>1681944.444</v>
      </c>
      <c r="AB9" s="153">
        <f>'P&amp;L'!AB14</f>
        <v>1681944.444</v>
      </c>
      <c r="AC9" s="153">
        <f>'P&amp;L'!AC14</f>
        <v>1963194.444</v>
      </c>
      <c r="AD9" s="153">
        <f>'P&amp;L'!AD14</f>
        <v>1963194.444</v>
      </c>
      <c r="AE9" s="153">
        <f>'P&amp;L'!AE14</f>
        <v>1963194.444</v>
      </c>
      <c r="AF9" s="153">
        <f>'P&amp;L'!AF14</f>
        <v>1963194.444</v>
      </c>
      <c r="AG9" s="153">
        <f>'P&amp;L'!AG14</f>
        <v>1963194.444</v>
      </c>
      <c r="AH9" s="153">
        <f>'P&amp;L'!AH14</f>
        <v>1984027.778</v>
      </c>
      <c r="AI9" s="153">
        <f>'P&amp;L'!AI14</f>
        <v>1984027.778</v>
      </c>
      <c r="AJ9" s="153">
        <f>'P&amp;L'!AJ14</f>
        <v>1984027.778</v>
      </c>
      <c r="AK9" s="153">
        <f>'P&amp;L'!AK14</f>
        <v>1984027.778</v>
      </c>
      <c r="AL9" s="153">
        <f>'P&amp;L'!AL14</f>
        <v>1984027.778</v>
      </c>
      <c r="AM9" s="153">
        <f>'P&amp;L'!AM14</f>
        <v>1984027.778</v>
      </c>
      <c r="AN9" s="153">
        <f>'P&amp;L'!AN14</f>
        <v>1984027.778</v>
      </c>
      <c r="AO9" s="153">
        <f>'P&amp;L'!AO14</f>
        <v>1984027.778</v>
      </c>
      <c r="AP9" s="153">
        <f>'P&amp;L'!AP14</f>
        <v>1984027.778</v>
      </c>
      <c r="AQ9" s="153">
        <f>'P&amp;L'!AQ14</f>
        <v>1984027.778</v>
      </c>
      <c r="AR9" s="153">
        <f>'P&amp;L'!AR14</f>
        <v>1984027.778</v>
      </c>
      <c r="AS9" s="153">
        <f>'P&amp;L'!AS14</f>
        <v>1984027.778</v>
      </c>
      <c r="AT9" s="153">
        <f>'P&amp;L'!AT14</f>
        <v>1984027.778</v>
      </c>
      <c r="AU9" s="153">
        <f>'P&amp;L'!AU14</f>
        <v>1984027.778</v>
      </c>
      <c r="AV9" s="153">
        <f>'P&amp;L'!AV14</f>
        <v>1984027.778</v>
      </c>
      <c r="AW9" s="153">
        <f>'P&amp;L'!AW14</f>
        <v>1984027.778</v>
      </c>
      <c r="AX9" s="153">
        <f>'P&amp;L'!AX14</f>
        <v>1984027.778</v>
      </c>
      <c r="AY9" s="153">
        <f>'P&amp;L'!AY14</f>
        <v>1984027.778</v>
      </c>
      <c r="AZ9" s="153">
        <f>'P&amp;L'!AZ14</f>
        <v>1984027.778</v>
      </c>
      <c r="BA9" s="153">
        <f>'P&amp;L'!BA14</f>
        <v>1984027.778</v>
      </c>
      <c r="BB9" s="153">
        <f>'P&amp;L'!BB14</f>
        <v>1984027.778</v>
      </c>
      <c r="BC9" s="153">
        <f>'P&amp;L'!BC14</f>
        <v>1984027.778</v>
      </c>
      <c r="BD9" s="153">
        <f>'P&amp;L'!BD14</f>
        <v>1984027.778</v>
      </c>
      <c r="BE9" s="153">
        <f>'P&amp;L'!BE14</f>
        <v>1984027.778</v>
      </c>
      <c r="BF9" s="153">
        <f>'P&amp;L'!BF14</f>
        <v>1984027.778</v>
      </c>
      <c r="BG9" s="153">
        <f>'P&amp;L'!BG14</f>
        <v>1984027.778</v>
      </c>
      <c r="BH9" s="153">
        <f>'P&amp;L'!BH14</f>
        <v>1984027.778</v>
      </c>
      <c r="BI9" s="153">
        <f>'P&amp;L'!BI14</f>
        <v>1984027.778</v>
      </c>
      <c r="BJ9" s="153">
        <f>'P&amp;L'!BJ14</f>
        <v>1984027.778</v>
      </c>
      <c r="BK9" s="153">
        <f>'P&amp;L'!BK14</f>
        <v>1984027.778</v>
      </c>
      <c r="BL9" s="140">
        <f>'P&amp;L'!BL14</f>
        <v>1984027.778</v>
      </c>
    </row>
    <row r="10" ht="15.75" customHeight="1">
      <c r="C10" s="210" t="s">
        <v>255</v>
      </c>
      <c r="D10" s="75" t="s">
        <v>284</v>
      </c>
      <c r="E10" s="153">
        <f>'WORKING CAPITAL SCHEDULE'!E16</f>
        <v>0</v>
      </c>
      <c r="F10" s="153">
        <f>'WORKING CAPITAL SCHEDULE'!F16</f>
        <v>0</v>
      </c>
      <c r="G10" s="153">
        <f>'WORKING CAPITAL SCHEDULE'!G16</f>
        <v>0</v>
      </c>
      <c r="H10" s="153">
        <f>'WORKING CAPITAL SCHEDULE'!H16</f>
        <v>0</v>
      </c>
      <c r="I10" s="153">
        <f>'WORKING CAPITAL SCHEDULE'!I16</f>
        <v>268811.7837</v>
      </c>
      <c r="J10" s="153">
        <f>'WORKING CAPITAL SCHEDULE'!J16</f>
        <v>268811.7837</v>
      </c>
      <c r="K10" s="153">
        <f>'WORKING CAPITAL SCHEDULE'!K16</f>
        <v>1643411.464</v>
      </c>
      <c r="L10" s="153">
        <f>'WORKING CAPITAL SCHEDULE'!L16</f>
        <v>268811.7837</v>
      </c>
      <c r="M10" s="153">
        <f>'WORKING CAPITAL SCHEDULE'!M16</f>
        <v>268811.7837</v>
      </c>
      <c r="N10" s="153">
        <f>'WORKING CAPITAL SCHEDULE'!N16</f>
        <v>268811.7837</v>
      </c>
      <c r="O10" s="153">
        <f>'WORKING CAPITAL SCHEDULE'!O16</f>
        <v>268811.7837</v>
      </c>
      <c r="P10" s="153">
        <f>'WORKING CAPITAL SCHEDULE'!P16</f>
        <v>268811.7837</v>
      </c>
      <c r="Q10" s="153">
        <f>'WORKING CAPITAL SCHEDULE'!Q16</f>
        <v>484483.422</v>
      </c>
      <c r="R10" s="153">
        <f>'WORKING CAPITAL SCHEDULE'!R16</f>
        <v>284205.7206</v>
      </c>
      <c r="S10" s="153">
        <f>'WORKING CAPITAL SCHEDULE'!S16</f>
        <v>284205.7206</v>
      </c>
      <c r="T10" s="153">
        <f>'WORKING CAPITAL SCHEDULE'!T16</f>
        <v>284205.7206</v>
      </c>
      <c r="U10" s="153">
        <f>'WORKING CAPITAL SCHEDULE'!U16</f>
        <v>284205.7206</v>
      </c>
      <c r="V10" s="153">
        <f>'WORKING CAPITAL SCHEDULE'!V16</f>
        <v>284205.7206</v>
      </c>
      <c r="W10" s="153">
        <f>'WORKING CAPITAL SCHEDULE'!W16</f>
        <v>284205.7206</v>
      </c>
      <c r="X10" s="153">
        <f>'WORKING CAPITAL SCHEDULE'!X16</f>
        <v>284205.7206</v>
      </c>
      <c r="Y10" s="153">
        <f>'WORKING CAPITAL SCHEDULE'!Y16</f>
        <v>284205.7206</v>
      </c>
      <c r="Z10" s="153">
        <f>'WORKING CAPITAL SCHEDULE'!Z16</f>
        <v>284205.7206</v>
      </c>
      <c r="AA10" s="153">
        <f>'WORKING CAPITAL SCHEDULE'!AA16</f>
        <v>284205.7206</v>
      </c>
      <c r="AB10" s="153">
        <f>'WORKING CAPITAL SCHEDULE'!AB16</f>
        <v>284205.7206</v>
      </c>
      <c r="AC10" s="153">
        <f>'WORKING CAPITAL SCHEDULE'!AC16</f>
        <v>2301578.426</v>
      </c>
      <c r="AD10" s="153">
        <f>'WORKING CAPITAL SCHEDULE'!AD16</f>
        <v>302211.8542</v>
      </c>
      <c r="AE10" s="153">
        <f>'WORKING CAPITAL SCHEDULE'!AE16</f>
        <v>302211.8542</v>
      </c>
      <c r="AF10" s="153">
        <f>'WORKING CAPITAL SCHEDULE'!AF16</f>
        <v>302211.8542</v>
      </c>
      <c r="AG10" s="153">
        <f>'WORKING CAPITAL SCHEDULE'!AG16</f>
        <v>302211.8542</v>
      </c>
      <c r="AH10" s="153">
        <f>'WORKING CAPITAL SCHEDULE'!AH16</f>
        <v>302211.8542</v>
      </c>
      <c r="AI10" s="153">
        <f>'WORKING CAPITAL SCHEDULE'!AI16</f>
        <v>302211.8542</v>
      </c>
      <c r="AJ10" s="153">
        <f>'WORKING CAPITAL SCHEDULE'!AJ16</f>
        <v>302211.8542</v>
      </c>
      <c r="AK10" s="153">
        <f>'WORKING CAPITAL SCHEDULE'!AK16</f>
        <v>302211.8542</v>
      </c>
      <c r="AL10" s="153">
        <f>'WORKING CAPITAL SCHEDULE'!AL16</f>
        <v>302211.8542</v>
      </c>
      <c r="AM10" s="153">
        <f>'WORKING CAPITAL SCHEDULE'!AM16</f>
        <v>302211.8542</v>
      </c>
      <c r="AN10" s="153">
        <f>'WORKING CAPITAL SCHEDULE'!AN16</f>
        <v>302211.8542</v>
      </c>
      <c r="AO10" s="153">
        <f>'WORKING CAPITAL SCHEDULE'!AO16</f>
        <v>8360262.649</v>
      </c>
      <c r="AP10" s="153">
        <f>'WORKING CAPITAL SCHEDULE'!AP16</f>
        <v>963910.7939</v>
      </c>
      <c r="AQ10" s="153">
        <f>'WORKING CAPITAL SCHEDULE'!AQ16</f>
        <v>963910.7939</v>
      </c>
      <c r="AR10" s="153">
        <f>'WORKING CAPITAL SCHEDULE'!AR16</f>
        <v>963910.7939</v>
      </c>
      <c r="AS10" s="153">
        <f>'WORKING CAPITAL SCHEDULE'!AS16</f>
        <v>963910.7939</v>
      </c>
      <c r="AT10" s="153">
        <f>'WORKING CAPITAL SCHEDULE'!AT16</f>
        <v>963910.7939</v>
      </c>
      <c r="AU10" s="153">
        <f>'WORKING CAPITAL SCHEDULE'!AU16</f>
        <v>963910.7939</v>
      </c>
      <c r="AV10" s="153">
        <f>'WORKING CAPITAL SCHEDULE'!AV16</f>
        <v>963910.7939</v>
      </c>
      <c r="AW10" s="153">
        <f>'WORKING CAPITAL SCHEDULE'!AW16</f>
        <v>0</v>
      </c>
      <c r="AX10" s="153">
        <f>'WORKING CAPITAL SCHEDULE'!AX16</f>
        <v>0</v>
      </c>
      <c r="AY10" s="153">
        <f>'WORKING CAPITAL SCHEDULE'!AY16</f>
        <v>0</v>
      </c>
      <c r="AZ10" s="153">
        <f>'WORKING CAPITAL SCHEDULE'!AZ16</f>
        <v>0</v>
      </c>
      <c r="BA10" s="153">
        <f>'WORKING CAPITAL SCHEDULE'!BA16</f>
        <v>2328534.821</v>
      </c>
      <c r="BB10" s="153">
        <f>'WORKING CAPITAL SCHEDULE'!BB16</f>
        <v>0</v>
      </c>
      <c r="BC10" s="153">
        <f>'WORKING CAPITAL SCHEDULE'!BC16</f>
        <v>0</v>
      </c>
      <c r="BD10" s="153">
        <f>'WORKING CAPITAL SCHEDULE'!BD16</f>
        <v>0</v>
      </c>
      <c r="BE10" s="153">
        <f>'WORKING CAPITAL SCHEDULE'!BE16</f>
        <v>0</v>
      </c>
      <c r="BF10" s="153">
        <f>'WORKING CAPITAL SCHEDULE'!BF16</f>
        <v>0</v>
      </c>
      <c r="BG10" s="153">
        <f>'WORKING CAPITAL SCHEDULE'!BG16</f>
        <v>0</v>
      </c>
      <c r="BH10" s="153">
        <f>'WORKING CAPITAL SCHEDULE'!BH16</f>
        <v>0</v>
      </c>
      <c r="BI10" s="153">
        <f>'WORKING CAPITAL SCHEDULE'!BI16</f>
        <v>0</v>
      </c>
      <c r="BJ10" s="153">
        <f>'WORKING CAPITAL SCHEDULE'!BJ16</f>
        <v>0</v>
      </c>
      <c r="BK10" s="153">
        <f>'WORKING CAPITAL SCHEDULE'!BK16</f>
        <v>0</v>
      </c>
      <c r="BL10" s="140">
        <f>'WORKING CAPITAL SCHEDULE'!BL16</f>
        <v>0</v>
      </c>
    </row>
    <row r="11" ht="15.75" customHeight="1">
      <c r="C11" s="210" t="s">
        <v>255</v>
      </c>
      <c r="D11" s="213" t="s">
        <v>285</v>
      </c>
      <c r="E11" s="161">
        <f t="shared" ref="E11:BL11" si="2">E8 + E9 - E10</f>
        <v>-230000</v>
      </c>
      <c r="F11" s="161">
        <f t="shared" si="2"/>
        <v>-230000</v>
      </c>
      <c r="G11" s="161">
        <f t="shared" si="2"/>
        <v>-230000</v>
      </c>
      <c r="H11" s="161">
        <f t="shared" si="2"/>
        <v>-230000</v>
      </c>
      <c r="I11" s="161">
        <f t="shared" si="2"/>
        <v>-262230.1005</v>
      </c>
      <c r="J11" s="161">
        <f t="shared" si="2"/>
        <v>-177648.4173</v>
      </c>
      <c r="K11" s="161">
        <f t="shared" si="2"/>
        <v>1017487.319</v>
      </c>
      <c r="L11" s="161">
        <f t="shared" si="2"/>
        <v>2655023.261</v>
      </c>
      <c r="M11" s="161">
        <f t="shared" si="2"/>
        <v>2962959.524</v>
      </c>
      <c r="N11" s="161">
        <f t="shared" si="2"/>
        <v>3270895.786</v>
      </c>
      <c r="O11" s="161">
        <f t="shared" si="2"/>
        <v>3578832.048</v>
      </c>
      <c r="P11" s="161">
        <f t="shared" si="2"/>
        <v>3899789.144</v>
      </c>
      <c r="Q11" s="161">
        <f t="shared" si="2"/>
        <v>4131221.049</v>
      </c>
      <c r="R11" s="161">
        <f t="shared" si="2"/>
        <v>4626692.656</v>
      </c>
      <c r="S11" s="161">
        <f t="shared" si="2"/>
        <v>4921886.561</v>
      </c>
      <c r="T11" s="161">
        <f t="shared" si="2"/>
        <v>5217080.467</v>
      </c>
      <c r="U11" s="161">
        <f t="shared" si="2"/>
        <v>5512274.373</v>
      </c>
      <c r="V11" s="161">
        <f t="shared" si="2"/>
        <v>5807468.278</v>
      </c>
      <c r="W11" s="161">
        <f t="shared" si="2"/>
        <v>6102662.184</v>
      </c>
      <c r="X11" s="161">
        <f t="shared" si="2"/>
        <v>6397856.09</v>
      </c>
      <c r="Y11" s="161">
        <f t="shared" si="2"/>
        <v>6693049.995</v>
      </c>
      <c r="Z11" s="161">
        <f t="shared" si="2"/>
        <v>6988243.901</v>
      </c>
      <c r="AA11" s="161">
        <f t="shared" si="2"/>
        <v>7283437.807</v>
      </c>
      <c r="AB11" s="161">
        <f t="shared" si="2"/>
        <v>7578631.712</v>
      </c>
      <c r="AC11" s="161">
        <f t="shared" si="2"/>
        <v>9424325.285</v>
      </c>
      <c r="AD11" s="161">
        <f t="shared" si="2"/>
        <v>11727691.21</v>
      </c>
      <c r="AE11" s="161">
        <f t="shared" si="2"/>
        <v>12031690.57</v>
      </c>
      <c r="AF11" s="161">
        <f t="shared" si="2"/>
        <v>12335689.92</v>
      </c>
      <c r="AG11" s="161">
        <f t="shared" si="2"/>
        <v>12639689.28</v>
      </c>
      <c r="AH11" s="161">
        <f t="shared" si="2"/>
        <v>12861416.97</v>
      </c>
      <c r="AI11" s="161">
        <f t="shared" si="2"/>
        <v>13165416.32</v>
      </c>
      <c r="AJ11" s="161">
        <f t="shared" si="2"/>
        <v>13469415.68</v>
      </c>
      <c r="AK11" s="161">
        <f t="shared" si="2"/>
        <v>13773415.04</v>
      </c>
      <c r="AL11" s="161">
        <f t="shared" si="2"/>
        <v>14077414.39</v>
      </c>
      <c r="AM11" s="161">
        <f t="shared" si="2"/>
        <v>14381413.75</v>
      </c>
      <c r="AN11" s="161">
        <f t="shared" si="2"/>
        <v>14685413.1</v>
      </c>
      <c r="AO11" s="161">
        <f t="shared" si="2"/>
        <v>22450579.76</v>
      </c>
      <c r="AP11" s="161">
        <f t="shared" si="2"/>
        <v>30779750.58</v>
      </c>
      <c r="AQ11" s="161">
        <f t="shared" si="2"/>
        <v>31712569.54</v>
      </c>
      <c r="AR11" s="161">
        <f t="shared" si="2"/>
        <v>32645388.5</v>
      </c>
      <c r="AS11" s="161">
        <f t="shared" si="2"/>
        <v>33578207.46</v>
      </c>
      <c r="AT11" s="161">
        <f t="shared" si="2"/>
        <v>34511026.42</v>
      </c>
      <c r="AU11" s="161">
        <f t="shared" si="2"/>
        <v>35443845.39</v>
      </c>
      <c r="AV11" s="161">
        <f t="shared" si="2"/>
        <v>36376664.35</v>
      </c>
      <c r="AW11" s="161">
        <f t="shared" si="2"/>
        <v>37340575.14</v>
      </c>
      <c r="AX11" s="161">
        <f t="shared" si="2"/>
        <v>37340575.14</v>
      </c>
      <c r="AY11" s="161">
        <f t="shared" si="2"/>
        <v>37340575.14</v>
      </c>
      <c r="AZ11" s="161">
        <f t="shared" si="2"/>
        <v>37340575.14</v>
      </c>
      <c r="BA11" s="161">
        <f t="shared" si="2"/>
        <v>45989744.72</v>
      </c>
      <c r="BB11" s="161">
        <f t="shared" si="2"/>
        <v>48318279.54</v>
      </c>
      <c r="BC11" s="161">
        <f t="shared" si="2"/>
        <v>48318279.54</v>
      </c>
      <c r="BD11" s="161">
        <f t="shared" si="2"/>
        <v>48318279.54</v>
      </c>
      <c r="BE11" s="161">
        <f t="shared" si="2"/>
        <v>48318279.54</v>
      </c>
      <c r="BF11" s="161">
        <f t="shared" si="2"/>
        <v>48318279.54</v>
      </c>
      <c r="BG11" s="161">
        <f t="shared" si="2"/>
        <v>48318279.54</v>
      </c>
      <c r="BH11" s="161">
        <f t="shared" si="2"/>
        <v>48318279.54</v>
      </c>
      <c r="BI11" s="161">
        <f t="shared" si="2"/>
        <v>48318279.54</v>
      </c>
      <c r="BJ11" s="161">
        <f t="shared" si="2"/>
        <v>48318279.54</v>
      </c>
      <c r="BK11" s="161">
        <f t="shared" si="2"/>
        <v>48318279.54</v>
      </c>
      <c r="BL11" s="143">
        <f t="shared" si="2"/>
        <v>48318279.54</v>
      </c>
    </row>
    <row r="12" ht="15.75" customHeight="1">
      <c r="C12" s="210" t="s">
        <v>263</v>
      </c>
      <c r="D12" s="75" t="s">
        <v>286</v>
      </c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140"/>
    </row>
    <row r="13" ht="15.75" customHeight="1">
      <c r="C13" s="210" t="s">
        <v>259</v>
      </c>
      <c r="D13" s="8" t="s">
        <v>287</v>
      </c>
      <c r="E13" s="153">
        <f>-'CAPEX &amp; DEPRECIATION'!E68</f>
        <v>-57500000</v>
      </c>
      <c r="F13" s="153">
        <f>-'CAPEX &amp; DEPRECIATION'!F68</f>
        <v>-16764000</v>
      </c>
      <c r="G13" s="153">
        <f>-'CAPEX &amp; DEPRECIATION'!G68</f>
        <v>-20000000</v>
      </c>
      <c r="H13" s="153">
        <f>-'CAPEX &amp; DEPRECIATION'!H68</f>
        <v>0</v>
      </c>
      <c r="I13" s="153">
        <f>-'CAPEX &amp; DEPRECIATION'!I68</f>
        <v>-76736000</v>
      </c>
      <c r="J13" s="153">
        <f>-'CAPEX &amp; DEPRECIATION'!J68</f>
        <v>-20500000</v>
      </c>
      <c r="K13" s="153">
        <f>-'CAPEX &amp; DEPRECIATION'!K68</f>
        <v>-70500000</v>
      </c>
      <c r="L13" s="153">
        <f>-'CAPEX &amp; DEPRECIATION'!L68</f>
        <v>0</v>
      </c>
      <c r="M13" s="153">
        <f>-'CAPEX &amp; DEPRECIATION'!M68</f>
        <v>0</v>
      </c>
      <c r="N13" s="153">
        <f>-'CAPEX &amp; DEPRECIATION'!N68</f>
        <v>0</v>
      </c>
      <c r="O13" s="153">
        <f>-'CAPEX &amp; DEPRECIATION'!O68</f>
        <v>0</v>
      </c>
      <c r="P13" s="153">
        <f>-'CAPEX &amp; DEPRECIATION'!P68</f>
        <v>-5000000</v>
      </c>
      <c r="Q13" s="153">
        <f>-'CAPEX &amp; DEPRECIATION'!Q68</f>
        <v>0</v>
      </c>
      <c r="R13" s="153">
        <f>-'CAPEX &amp; DEPRECIATION'!R68</f>
        <v>0</v>
      </c>
      <c r="S13" s="153">
        <f>-'CAPEX &amp; DEPRECIATION'!S68</f>
        <v>0</v>
      </c>
      <c r="T13" s="153">
        <f>-'CAPEX &amp; DEPRECIATION'!T68</f>
        <v>0</v>
      </c>
      <c r="U13" s="153">
        <f>-'CAPEX &amp; DEPRECIATION'!U68</f>
        <v>0</v>
      </c>
      <c r="V13" s="153">
        <f>-'CAPEX &amp; DEPRECIATION'!V68</f>
        <v>0</v>
      </c>
      <c r="W13" s="153">
        <f>-'CAPEX &amp; DEPRECIATION'!W68</f>
        <v>0</v>
      </c>
      <c r="X13" s="153">
        <f>-'CAPEX &amp; DEPRECIATION'!X68</f>
        <v>0</v>
      </c>
      <c r="Y13" s="153">
        <f>-'CAPEX &amp; DEPRECIATION'!Y68</f>
        <v>0</v>
      </c>
      <c r="Z13" s="153">
        <f>-'CAPEX &amp; DEPRECIATION'!Z68</f>
        <v>0</v>
      </c>
      <c r="AA13" s="153">
        <f>-'CAPEX &amp; DEPRECIATION'!AA68</f>
        <v>0</v>
      </c>
      <c r="AB13" s="153">
        <f>-'CAPEX &amp; DEPRECIATION'!AB68</f>
        <v>0</v>
      </c>
      <c r="AC13" s="153">
        <f>-'CAPEX &amp; DEPRECIATION'!AC68</f>
        <v>-27000000</v>
      </c>
      <c r="AD13" s="153">
        <f>-'CAPEX &amp; DEPRECIATION'!AD68</f>
        <v>0</v>
      </c>
      <c r="AE13" s="153">
        <f>-'CAPEX &amp; DEPRECIATION'!AE68</f>
        <v>0</v>
      </c>
      <c r="AF13" s="153">
        <f>-'CAPEX &amp; DEPRECIATION'!AF68</f>
        <v>0</v>
      </c>
      <c r="AG13" s="153">
        <f>-'CAPEX &amp; DEPRECIATION'!AG68</f>
        <v>0</v>
      </c>
      <c r="AH13" s="153">
        <f>-'CAPEX &amp; DEPRECIATION'!AH68</f>
        <v>-5000000</v>
      </c>
      <c r="AI13" s="153">
        <f>-'CAPEX &amp; DEPRECIATION'!AI68</f>
        <v>0</v>
      </c>
      <c r="AJ13" s="153">
        <f>-'CAPEX &amp; DEPRECIATION'!AJ68</f>
        <v>0</v>
      </c>
      <c r="AK13" s="153">
        <f>-'CAPEX &amp; DEPRECIATION'!AK68</f>
        <v>0</v>
      </c>
      <c r="AL13" s="153">
        <f>-'CAPEX &amp; DEPRECIATION'!AL68</f>
        <v>0</v>
      </c>
      <c r="AM13" s="153">
        <f>-'CAPEX &amp; DEPRECIATION'!AM68</f>
        <v>0</v>
      </c>
      <c r="AN13" s="153">
        <f>-'CAPEX &amp; DEPRECIATION'!AN68</f>
        <v>0</v>
      </c>
      <c r="AO13" s="153">
        <f>-'CAPEX &amp; DEPRECIATION'!AO68</f>
        <v>0</v>
      </c>
      <c r="AP13" s="153">
        <f>-'CAPEX &amp; DEPRECIATION'!AP68</f>
        <v>0</v>
      </c>
      <c r="AQ13" s="153">
        <f>-'CAPEX &amp; DEPRECIATION'!AQ68</f>
        <v>0</v>
      </c>
      <c r="AR13" s="153">
        <f>-'CAPEX &amp; DEPRECIATION'!AR68</f>
        <v>0</v>
      </c>
      <c r="AS13" s="153">
        <f>-'CAPEX &amp; DEPRECIATION'!AS68</f>
        <v>0</v>
      </c>
      <c r="AT13" s="153">
        <f>-'CAPEX &amp; DEPRECIATION'!AT68</f>
        <v>0</v>
      </c>
      <c r="AU13" s="153">
        <f>-'CAPEX &amp; DEPRECIATION'!AU68</f>
        <v>0</v>
      </c>
      <c r="AV13" s="153">
        <f>-'CAPEX &amp; DEPRECIATION'!AV68</f>
        <v>0</v>
      </c>
      <c r="AW13" s="153">
        <f>-'CAPEX &amp; DEPRECIATION'!AW68</f>
        <v>0</v>
      </c>
      <c r="AX13" s="153">
        <f>-'CAPEX &amp; DEPRECIATION'!AX68</f>
        <v>0</v>
      </c>
      <c r="AY13" s="153">
        <f>-'CAPEX &amp; DEPRECIATION'!AY68</f>
        <v>0</v>
      </c>
      <c r="AZ13" s="153">
        <f>-'CAPEX &amp; DEPRECIATION'!AZ68</f>
        <v>0</v>
      </c>
      <c r="BA13" s="153">
        <f>-'CAPEX &amp; DEPRECIATION'!BA68</f>
        <v>0</v>
      </c>
      <c r="BB13" s="153">
        <f>-'CAPEX &amp; DEPRECIATION'!BB68</f>
        <v>0</v>
      </c>
      <c r="BC13" s="153">
        <f>-'CAPEX &amp; DEPRECIATION'!BC68</f>
        <v>0</v>
      </c>
      <c r="BD13" s="153">
        <f>-'CAPEX &amp; DEPRECIATION'!BD68</f>
        <v>0</v>
      </c>
      <c r="BE13" s="153">
        <f>-'CAPEX &amp; DEPRECIATION'!BE68</f>
        <v>0</v>
      </c>
      <c r="BF13" s="153">
        <f>-'CAPEX &amp; DEPRECIATION'!BF68</f>
        <v>0</v>
      </c>
      <c r="BG13" s="153">
        <f>-'CAPEX &amp; DEPRECIATION'!BG68</f>
        <v>0</v>
      </c>
      <c r="BH13" s="153">
        <f>-'CAPEX &amp; DEPRECIATION'!BH68</f>
        <v>0</v>
      </c>
      <c r="BI13" s="153">
        <f>-'CAPEX &amp; DEPRECIATION'!BI68</f>
        <v>0</v>
      </c>
      <c r="BJ13" s="153">
        <f>-'CAPEX &amp; DEPRECIATION'!BJ68</f>
        <v>0</v>
      </c>
      <c r="BK13" s="153">
        <f>-'CAPEX &amp; DEPRECIATION'!BK68</f>
        <v>0</v>
      </c>
      <c r="BL13" s="140">
        <f>-'CAPEX &amp; DEPRECIATION'!BL68</f>
        <v>0</v>
      </c>
    </row>
    <row r="14" ht="15.75" customHeight="1">
      <c r="C14" s="210" t="s">
        <v>261</v>
      </c>
      <c r="D14" s="213" t="s">
        <v>288</v>
      </c>
      <c r="E14" s="161">
        <f t="shared" ref="E14:BL14" si="3">E13</f>
        <v>-57500000</v>
      </c>
      <c r="F14" s="161">
        <f t="shared" si="3"/>
        <v>-16764000</v>
      </c>
      <c r="G14" s="161">
        <f t="shared" si="3"/>
        <v>-20000000</v>
      </c>
      <c r="H14" s="161">
        <f t="shared" si="3"/>
        <v>0</v>
      </c>
      <c r="I14" s="161">
        <f t="shared" si="3"/>
        <v>-76736000</v>
      </c>
      <c r="J14" s="161">
        <f t="shared" si="3"/>
        <v>-20500000</v>
      </c>
      <c r="K14" s="161">
        <f t="shared" si="3"/>
        <v>-70500000</v>
      </c>
      <c r="L14" s="161">
        <f t="shared" si="3"/>
        <v>0</v>
      </c>
      <c r="M14" s="161">
        <f t="shared" si="3"/>
        <v>0</v>
      </c>
      <c r="N14" s="161">
        <f t="shared" si="3"/>
        <v>0</v>
      </c>
      <c r="O14" s="161">
        <f t="shared" si="3"/>
        <v>0</v>
      </c>
      <c r="P14" s="161">
        <f t="shared" si="3"/>
        <v>-5000000</v>
      </c>
      <c r="Q14" s="161">
        <f t="shared" si="3"/>
        <v>0</v>
      </c>
      <c r="R14" s="161">
        <f t="shared" si="3"/>
        <v>0</v>
      </c>
      <c r="S14" s="161">
        <f t="shared" si="3"/>
        <v>0</v>
      </c>
      <c r="T14" s="161">
        <f t="shared" si="3"/>
        <v>0</v>
      </c>
      <c r="U14" s="161">
        <f t="shared" si="3"/>
        <v>0</v>
      </c>
      <c r="V14" s="161">
        <f t="shared" si="3"/>
        <v>0</v>
      </c>
      <c r="W14" s="161">
        <f t="shared" si="3"/>
        <v>0</v>
      </c>
      <c r="X14" s="161">
        <f t="shared" si="3"/>
        <v>0</v>
      </c>
      <c r="Y14" s="161">
        <f t="shared" si="3"/>
        <v>0</v>
      </c>
      <c r="Z14" s="161">
        <f t="shared" si="3"/>
        <v>0</v>
      </c>
      <c r="AA14" s="161">
        <f t="shared" si="3"/>
        <v>0</v>
      </c>
      <c r="AB14" s="161">
        <f t="shared" si="3"/>
        <v>0</v>
      </c>
      <c r="AC14" s="161">
        <f t="shared" si="3"/>
        <v>-27000000</v>
      </c>
      <c r="AD14" s="161">
        <f t="shared" si="3"/>
        <v>0</v>
      </c>
      <c r="AE14" s="161">
        <f t="shared" si="3"/>
        <v>0</v>
      </c>
      <c r="AF14" s="161">
        <f t="shared" si="3"/>
        <v>0</v>
      </c>
      <c r="AG14" s="161">
        <f t="shared" si="3"/>
        <v>0</v>
      </c>
      <c r="AH14" s="161">
        <f t="shared" si="3"/>
        <v>-5000000</v>
      </c>
      <c r="AI14" s="161">
        <f t="shared" si="3"/>
        <v>0</v>
      </c>
      <c r="AJ14" s="161">
        <f t="shared" si="3"/>
        <v>0</v>
      </c>
      <c r="AK14" s="161">
        <f t="shared" si="3"/>
        <v>0</v>
      </c>
      <c r="AL14" s="161">
        <f t="shared" si="3"/>
        <v>0</v>
      </c>
      <c r="AM14" s="161">
        <f t="shared" si="3"/>
        <v>0</v>
      </c>
      <c r="AN14" s="161">
        <f t="shared" si="3"/>
        <v>0</v>
      </c>
      <c r="AO14" s="161">
        <f t="shared" si="3"/>
        <v>0</v>
      </c>
      <c r="AP14" s="161">
        <f t="shared" si="3"/>
        <v>0</v>
      </c>
      <c r="AQ14" s="161">
        <f t="shared" si="3"/>
        <v>0</v>
      </c>
      <c r="AR14" s="161">
        <f t="shared" si="3"/>
        <v>0</v>
      </c>
      <c r="AS14" s="161">
        <f t="shared" si="3"/>
        <v>0</v>
      </c>
      <c r="AT14" s="161">
        <f t="shared" si="3"/>
        <v>0</v>
      </c>
      <c r="AU14" s="161">
        <f t="shared" si="3"/>
        <v>0</v>
      </c>
      <c r="AV14" s="161">
        <f t="shared" si="3"/>
        <v>0</v>
      </c>
      <c r="AW14" s="161">
        <f t="shared" si="3"/>
        <v>0</v>
      </c>
      <c r="AX14" s="161">
        <f t="shared" si="3"/>
        <v>0</v>
      </c>
      <c r="AY14" s="161">
        <f t="shared" si="3"/>
        <v>0</v>
      </c>
      <c r="AZ14" s="161">
        <f t="shared" si="3"/>
        <v>0</v>
      </c>
      <c r="BA14" s="161">
        <f t="shared" si="3"/>
        <v>0</v>
      </c>
      <c r="BB14" s="161">
        <f t="shared" si="3"/>
        <v>0</v>
      </c>
      <c r="BC14" s="161">
        <f t="shared" si="3"/>
        <v>0</v>
      </c>
      <c r="BD14" s="161">
        <f t="shared" si="3"/>
        <v>0</v>
      </c>
      <c r="BE14" s="161">
        <f t="shared" si="3"/>
        <v>0</v>
      </c>
      <c r="BF14" s="161">
        <f t="shared" si="3"/>
        <v>0</v>
      </c>
      <c r="BG14" s="161">
        <f t="shared" si="3"/>
        <v>0</v>
      </c>
      <c r="BH14" s="161">
        <f t="shared" si="3"/>
        <v>0</v>
      </c>
      <c r="BI14" s="161">
        <f t="shared" si="3"/>
        <v>0</v>
      </c>
      <c r="BJ14" s="161">
        <f t="shared" si="3"/>
        <v>0</v>
      </c>
      <c r="BK14" s="161">
        <f t="shared" si="3"/>
        <v>0</v>
      </c>
      <c r="BL14" s="143">
        <f t="shared" si="3"/>
        <v>0</v>
      </c>
    </row>
    <row r="15" ht="15.75" customHeight="1">
      <c r="C15" s="210" t="s">
        <v>277</v>
      </c>
      <c r="D15" s="75" t="s">
        <v>289</v>
      </c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140"/>
    </row>
    <row r="16" ht="15.75" customHeight="1">
      <c r="C16" s="210" t="s">
        <v>265</v>
      </c>
      <c r="D16" s="8" t="s">
        <v>290</v>
      </c>
      <c r="E16" s="153">
        <f>IF(E4 = 1, 'FUNDING REQUIREMENT'!$E$15, IF(E4 = 5, 'FUNDING REQUIREMENT'!$E$25, IF(E4 = 7, 'FUNDING REQUIREMENT'!$E$31, 0)))</f>
        <v>94264000</v>
      </c>
      <c r="F16" s="153">
        <f>IF(F4 = 1, 'FUNDING REQUIREMENT'!$E$15, IF(F4 = 5, 'FUNDING REQUIREMENT'!$E$25, IF(F4 = 7, 'FUNDING REQUIREMENT'!$E$31, 0)))</f>
        <v>0</v>
      </c>
      <c r="G16" s="153">
        <f>IF(G4 = 1, 'FUNDING REQUIREMENT'!$E$15, IF(G4 = 5, 'FUNDING REQUIREMENT'!$E$25, IF(G4 = 7, 'FUNDING REQUIREMENT'!$E$31, 0)))</f>
        <v>0</v>
      </c>
      <c r="H16" s="153">
        <f>IF(H4 = 1, 'FUNDING REQUIREMENT'!$E$15, IF(H4 = 5, 'FUNDING REQUIREMENT'!$E$25, IF(H4 = 7, 'FUNDING REQUIREMENT'!$E$31, 0)))</f>
        <v>0</v>
      </c>
      <c r="I16" s="153">
        <f>IF(I4 = 1, 'FUNDING REQUIREMENT'!$E$15, IF(I4 = 5, 'FUNDING REQUIREMENT'!$E$25, IF(I4 = 7, 'FUNDING REQUIREMENT'!$E$31, 0)))</f>
        <v>107736000</v>
      </c>
      <c r="J16" s="153">
        <f>IF(J4 = 1, 'FUNDING REQUIREMENT'!$E$15, IF(J4 = 5, 'FUNDING REQUIREMENT'!$E$25, IF(J4 = 7, 'FUNDING REQUIREMENT'!$E$31, 0)))</f>
        <v>0</v>
      </c>
      <c r="K16" s="153">
        <f>IF(K4 = 1, 'FUNDING REQUIREMENT'!$E$15, IF(K4 = 5, 'FUNDING REQUIREMENT'!$E$25, IF(K4 = 7, 'FUNDING REQUIREMENT'!$E$31, 0)))</f>
        <v>98000000</v>
      </c>
      <c r="L16" s="153">
        <f>IF(L4 = 1, 'FUNDING REQUIREMENT'!$E$15, IF(L4 = 5, 'FUNDING REQUIREMENT'!$E$25, IF(L4 = 7, 'FUNDING REQUIREMENT'!$E$31, 0)))</f>
        <v>0</v>
      </c>
      <c r="M16" s="153">
        <f>IF(M4 = 1, 'FUNDING REQUIREMENT'!$E$15, IF(M4 = 5, 'FUNDING REQUIREMENT'!$E$25, IF(M4 = 7, 'FUNDING REQUIREMENT'!$E$31, 0)))</f>
        <v>0</v>
      </c>
      <c r="N16" s="153">
        <f>IF(N4 = 1, 'FUNDING REQUIREMENT'!$E$15, IF(N4 = 5, 'FUNDING REQUIREMENT'!$E$25, IF(N4 = 7, 'FUNDING REQUIREMENT'!$E$31, 0)))</f>
        <v>0</v>
      </c>
      <c r="O16" s="153">
        <f>IF(O4 = 1, 'FUNDING REQUIREMENT'!$E$15, IF(O4 = 5, 'FUNDING REQUIREMENT'!$E$25, IF(O4 = 7, 'FUNDING REQUIREMENT'!$E$31, 0)))</f>
        <v>0</v>
      </c>
      <c r="P16" s="153">
        <f>IF(P4 = 1, 'FUNDING REQUIREMENT'!$E$15, IF(P4 = 5, 'FUNDING REQUIREMENT'!$E$25, IF(P4 = 7, 'FUNDING REQUIREMENT'!$E$31, 0)))</f>
        <v>0</v>
      </c>
      <c r="Q16" s="153">
        <f>IF(Q4 = 1, 'FUNDING REQUIREMENT'!$E$15, IF(Q4 = 5, 'FUNDING REQUIREMENT'!$E$25, IF(Q4 = 7, 'FUNDING REQUIREMENT'!$E$31, 0)))</f>
        <v>0</v>
      </c>
      <c r="R16" s="153">
        <f>IF(R4 = 1, 'FUNDING REQUIREMENT'!$E$15, IF(R4 = 5, 'FUNDING REQUIREMENT'!$E$25, IF(R4 = 7, 'FUNDING REQUIREMENT'!$E$31, 0)))</f>
        <v>0</v>
      </c>
      <c r="S16" s="153">
        <f>IF(S4 = 1, 'FUNDING REQUIREMENT'!$E$15, IF(S4 = 5, 'FUNDING REQUIREMENT'!$E$25, IF(S4 = 7, 'FUNDING REQUIREMENT'!$E$31, 0)))</f>
        <v>0</v>
      </c>
      <c r="T16" s="153">
        <f>IF(T4 = 1, 'FUNDING REQUIREMENT'!$E$15, IF(T4 = 5, 'FUNDING REQUIREMENT'!$E$25, IF(T4 = 7, 'FUNDING REQUIREMENT'!$E$31, 0)))</f>
        <v>0</v>
      </c>
      <c r="U16" s="153">
        <f>IF(U4 = 1, 'FUNDING REQUIREMENT'!$E$15, IF(U4 = 5, 'FUNDING REQUIREMENT'!$E$25, IF(U4 = 7, 'FUNDING REQUIREMENT'!$E$31, 0)))</f>
        <v>0</v>
      </c>
      <c r="V16" s="153">
        <f>IF(V4 = 1, 'FUNDING REQUIREMENT'!$E$15, IF(V4 = 5, 'FUNDING REQUIREMENT'!$E$25, IF(V4 = 7, 'FUNDING REQUIREMENT'!$E$31, 0)))</f>
        <v>0</v>
      </c>
      <c r="W16" s="153">
        <f>IF(W4 = 1, 'FUNDING REQUIREMENT'!$E$15, IF(W4 = 5, 'FUNDING REQUIREMENT'!$E$25, IF(W4 = 7, 'FUNDING REQUIREMENT'!$E$31, 0)))</f>
        <v>0</v>
      </c>
      <c r="X16" s="153">
        <f>IF(X4 = 1, 'FUNDING REQUIREMENT'!$E$15, IF(X4 = 5, 'FUNDING REQUIREMENT'!$E$25, IF(X4 = 7, 'FUNDING REQUIREMENT'!$E$31, 0)))</f>
        <v>0</v>
      </c>
      <c r="Y16" s="153">
        <f>IF(Y4 = 1, 'FUNDING REQUIREMENT'!$E$15, IF(Y4 = 5, 'FUNDING REQUIREMENT'!$E$25, IF(Y4 = 7, 'FUNDING REQUIREMENT'!$E$31, 0)))</f>
        <v>0</v>
      </c>
      <c r="Z16" s="153">
        <f>IF(Z4 = 1, 'FUNDING REQUIREMENT'!$E$15, IF(Z4 = 5, 'FUNDING REQUIREMENT'!$E$25, IF(Z4 = 7, 'FUNDING REQUIREMENT'!$E$31, 0)))</f>
        <v>0</v>
      </c>
      <c r="AA16" s="153">
        <f>IF(AA4 = 1, 'FUNDING REQUIREMENT'!$E$15, IF(AA4 = 5, 'FUNDING REQUIREMENT'!$E$25, IF(AA4 = 7, 'FUNDING REQUIREMENT'!$E$31, 0)))</f>
        <v>0</v>
      </c>
      <c r="AB16" s="153">
        <f>IF(AB4 = 1, 'FUNDING REQUIREMENT'!$E$15, IF(AB4 = 5, 'FUNDING REQUIREMENT'!$E$25, IF(AB4 = 7, 'FUNDING REQUIREMENT'!$E$31, 0)))</f>
        <v>0</v>
      </c>
      <c r="AC16" s="153">
        <f>IF(AC4 = 1, 'FUNDING REQUIREMENT'!$E$15, IF(AC4 = 5, 'FUNDING REQUIREMENT'!$E$25, IF(AC4 = 7, 'FUNDING REQUIREMENT'!$E$31, 0)))</f>
        <v>0</v>
      </c>
      <c r="AD16" s="153">
        <f>IF(AD4 = 1, 'FUNDING REQUIREMENT'!$E$15, IF(AD4 = 5, 'FUNDING REQUIREMENT'!$E$25, IF(AD4 = 7, 'FUNDING REQUIREMENT'!$E$31, 0)))</f>
        <v>0</v>
      </c>
      <c r="AE16" s="153">
        <f>IF(AE4 = 1, 'FUNDING REQUIREMENT'!$E$15, IF(AE4 = 5, 'FUNDING REQUIREMENT'!$E$25, IF(AE4 = 7, 'FUNDING REQUIREMENT'!$E$31, 0)))</f>
        <v>0</v>
      </c>
      <c r="AF16" s="153">
        <f>IF(AF4 = 1, 'FUNDING REQUIREMENT'!$E$15, IF(AF4 = 5, 'FUNDING REQUIREMENT'!$E$25, IF(AF4 = 7, 'FUNDING REQUIREMENT'!$E$31, 0)))</f>
        <v>0</v>
      </c>
      <c r="AG16" s="153">
        <f>IF(AG4 = 1, 'FUNDING REQUIREMENT'!$E$15, IF(AG4 = 5, 'FUNDING REQUIREMENT'!$E$25, IF(AG4 = 7, 'FUNDING REQUIREMENT'!$E$31, 0)))</f>
        <v>0</v>
      </c>
      <c r="AH16" s="153">
        <f>IF(AH4 = 1, 'FUNDING REQUIREMENT'!$E$15, IF(AH4 = 5, 'FUNDING REQUIREMENT'!$E$25, IF(AH4 = 7, 'FUNDING REQUIREMENT'!$E$31, 0)))</f>
        <v>0</v>
      </c>
      <c r="AI16" s="153">
        <f>IF(AI4 = 1, 'FUNDING REQUIREMENT'!$E$15, IF(AI4 = 5, 'FUNDING REQUIREMENT'!$E$25, IF(AI4 = 7, 'FUNDING REQUIREMENT'!$E$31, 0)))</f>
        <v>0</v>
      </c>
      <c r="AJ16" s="153">
        <f>IF(AJ4 = 1, 'FUNDING REQUIREMENT'!$E$15, IF(AJ4 = 5, 'FUNDING REQUIREMENT'!$E$25, IF(AJ4 = 7, 'FUNDING REQUIREMENT'!$E$31, 0)))</f>
        <v>0</v>
      </c>
      <c r="AK16" s="153">
        <f>IF(AK4 = 1, 'FUNDING REQUIREMENT'!$E$15, IF(AK4 = 5, 'FUNDING REQUIREMENT'!$E$25, IF(AK4 = 7, 'FUNDING REQUIREMENT'!$E$31, 0)))</f>
        <v>0</v>
      </c>
      <c r="AL16" s="153">
        <f>IF(AL4 = 1, 'FUNDING REQUIREMENT'!$E$15, IF(AL4 = 5, 'FUNDING REQUIREMENT'!$E$25, IF(AL4 = 7, 'FUNDING REQUIREMENT'!$E$31, 0)))</f>
        <v>0</v>
      </c>
      <c r="AM16" s="153">
        <f>IF(AM4 = 1, 'FUNDING REQUIREMENT'!$E$15, IF(AM4 = 5, 'FUNDING REQUIREMENT'!$E$25, IF(AM4 = 7, 'FUNDING REQUIREMENT'!$E$31, 0)))</f>
        <v>0</v>
      </c>
      <c r="AN16" s="153">
        <f>IF(AN4 = 1, 'FUNDING REQUIREMENT'!$E$15, IF(AN4 = 5, 'FUNDING REQUIREMENT'!$E$25, IF(AN4 = 7, 'FUNDING REQUIREMENT'!$E$31, 0)))</f>
        <v>0</v>
      </c>
      <c r="AO16" s="153">
        <f>IF(AO4 = 1, 'FUNDING REQUIREMENT'!$E$15, IF(AO4 = 5, 'FUNDING REQUIREMENT'!$E$25, IF(AO4 = 7, 'FUNDING REQUIREMENT'!$E$31, 0)))</f>
        <v>0</v>
      </c>
      <c r="AP16" s="153">
        <f>IF(AP4 = 1, 'FUNDING REQUIREMENT'!$E$15, IF(AP4 = 5, 'FUNDING REQUIREMENT'!$E$25, IF(AP4 = 7, 'FUNDING REQUIREMENT'!$E$31, 0)))</f>
        <v>0</v>
      </c>
      <c r="AQ16" s="153">
        <f>IF(AQ4 = 1, 'FUNDING REQUIREMENT'!$E$15, IF(AQ4 = 5, 'FUNDING REQUIREMENT'!$E$25, IF(AQ4 = 7, 'FUNDING REQUIREMENT'!$E$31, 0)))</f>
        <v>0</v>
      </c>
      <c r="AR16" s="153">
        <f>IF(AR4 = 1, 'FUNDING REQUIREMENT'!$E$15, IF(AR4 = 5, 'FUNDING REQUIREMENT'!$E$25, IF(AR4 = 7, 'FUNDING REQUIREMENT'!$E$31, 0)))</f>
        <v>0</v>
      </c>
      <c r="AS16" s="153">
        <f>IF(AS4 = 1, 'FUNDING REQUIREMENT'!$E$15, IF(AS4 = 5, 'FUNDING REQUIREMENT'!$E$25, IF(AS4 = 7, 'FUNDING REQUIREMENT'!$E$31, 0)))</f>
        <v>0</v>
      </c>
      <c r="AT16" s="153">
        <f>IF(AT4 = 1, 'FUNDING REQUIREMENT'!$E$15, IF(AT4 = 5, 'FUNDING REQUIREMENT'!$E$25, IF(AT4 = 7, 'FUNDING REQUIREMENT'!$E$31, 0)))</f>
        <v>0</v>
      </c>
      <c r="AU16" s="153">
        <f>IF(AU4 = 1, 'FUNDING REQUIREMENT'!$E$15, IF(AU4 = 5, 'FUNDING REQUIREMENT'!$E$25, IF(AU4 = 7, 'FUNDING REQUIREMENT'!$E$31, 0)))</f>
        <v>0</v>
      </c>
      <c r="AV16" s="153">
        <f>IF(AV4 = 1, 'FUNDING REQUIREMENT'!$E$15, IF(AV4 = 5, 'FUNDING REQUIREMENT'!$E$25, IF(AV4 = 7, 'FUNDING REQUIREMENT'!$E$31, 0)))</f>
        <v>0</v>
      </c>
      <c r="AW16" s="153">
        <f>IF(AW4 = 1, 'FUNDING REQUIREMENT'!$E$15, IF(AW4 = 5, 'FUNDING REQUIREMENT'!$E$25, IF(AW4 = 7, 'FUNDING REQUIREMENT'!$E$31, 0)))</f>
        <v>0</v>
      </c>
      <c r="AX16" s="153">
        <f>IF(AX4 = 1, 'FUNDING REQUIREMENT'!$E$15, IF(AX4 = 5, 'FUNDING REQUIREMENT'!$E$25, IF(AX4 = 7, 'FUNDING REQUIREMENT'!$E$31, 0)))</f>
        <v>0</v>
      </c>
      <c r="AY16" s="153">
        <f>IF(AY4 = 1, 'FUNDING REQUIREMENT'!$E$15, IF(AY4 = 5, 'FUNDING REQUIREMENT'!$E$25, IF(AY4 = 7, 'FUNDING REQUIREMENT'!$E$31, 0)))</f>
        <v>0</v>
      </c>
      <c r="AZ16" s="153">
        <f>IF(AZ4 = 1, 'FUNDING REQUIREMENT'!$E$15, IF(AZ4 = 5, 'FUNDING REQUIREMENT'!$E$25, IF(AZ4 = 7, 'FUNDING REQUIREMENT'!$E$31, 0)))</f>
        <v>0</v>
      </c>
      <c r="BA16" s="153">
        <f>IF(BA4 = 1, 'FUNDING REQUIREMENT'!$E$15, IF(BA4 = 5, 'FUNDING REQUIREMENT'!$E$25, IF(BA4 = 7, 'FUNDING REQUIREMENT'!$E$31, 0)))</f>
        <v>0</v>
      </c>
      <c r="BB16" s="153">
        <f>IF(BB4 = 1, 'FUNDING REQUIREMENT'!$E$15, IF(BB4 = 5, 'FUNDING REQUIREMENT'!$E$25, IF(BB4 = 7, 'FUNDING REQUIREMENT'!$E$31, 0)))</f>
        <v>0</v>
      </c>
      <c r="BC16" s="153">
        <f>IF(BC4 = 1, 'FUNDING REQUIREMENT'!$E$15, IF(BC4 = 5, 'FUNDING REQUIREMENT'!$E$25, IF(BC4 = 7, 'FUNDING REQUIREMENT'!$E$31, 0)))</f>
        <v>0</v>
      </c>
      <c r="BD16" s="153">
        <f>IF(BD4 = 1, 'FUNDING REQUIREMENT'!$E$15, IF(BD4 = 5, 'FUNDING REQUIREMENT'!$E$25, IF(BD4 = 7, 'FUNDING REQUIREMENT'!$E$31, 0)))</f>
        <v>0</v>
      </c>
      <c r="BE16" s="153">
        <f>IF(BE4 = 1, 'FUNDING REQUIREMENT'!$E$15, IF(BE4 = 5, 'FUNDING REQUIREMENT'!$E$25, IF(BE4 = 7, 'FUNDING REQUIREMENT'!$E$31, 0)))</f>
        <v>0</v>
      </c>
      <c r="BF16" s="153">
        <f>IF(BF4 = 1, 'FUNDING REQUIREMENT'!$E$15, IF(BF4 = 5, 'FUNDING REQUIREMENT'!$E$25, IF(BF4 = 7, 'FUNDING REQUIREMENT'!$E$31, 0)))</f>
        <v>0</v>
      </c>
      <c r="BG16" s="153">
        <f>IF(BG4 = 1, 'FUNDING REQUIREMENT'!$E$15, IF(BG4 = 5, 'FUNDING REQUIREMENT'!$E$25, IF(BG4 = 7, 'FUNDING REQUIREMENT'!$E$31, 0)))</f>
        <v>0</v>
      </c>
      <c r="BH16" s="153">
        <f>IF(BH4 = 1, 'FUNDING REQUIREMENT'!$E$15, IF(BH4 = 5, 'FUNDING REQUIREMENT'!$E$25, IF(BH4 = 7, 'FUNDING REQUIREMENT'!$E$31, 0)))</f>
        <v>0</v>
      </c>
      <c r="BI16" s="153">
        <f>IF(BI4 = 1, 'FUNDING REQUIREMENT'!$E$15, IF(BI4 = 5, 'FUNDING REQUIREMENT'!$E$25, IF(BI4 = 7, 'FUNDING REQUIREMENT'!$E$31, 0)))</f>
        <v>0</v>
      </c>
      <c r="BJ16" s="153">
        <f>IF(BJ4 = 1, 'FUNDING REQUIREMENT'!$E$15, IF(BJ4 = 5, 'FUNDING REQUIREMENT'!$E$25, IF(BJ4 = 7, 'FUNDING REQUIREMENT'!$E$31, 0)))</f>
        <v>0</v>
      </c>
      <c r="BK16" s="153">
        <f>IF(BK4 = 1, 'FUNDING REQUIREMENT'!$E$15, IF(BK4 = 5, 'FUNDING REQUIREMENT'!$E$25, IF(BK4 = 7, 'FUNDING REQUIREMENT'!$E$31, 0)))</f>
        <v>0</v>
      </c>
      <c r="BL16" s="140">
        <f>IF(BL4 = 1, 'FUNDING REQUIREMENT'!$E$15, IF(BL4 = 5, 'FUNDING REQUIREMENT'!$E$25, IF(BL4 = 7, 'FUNDING REQUIREMENT'!$E$31, 0)))</f>
        <v>0</v>
      </c>
    </row>
    <row r="17" ht="15.75" customHeight="1">
      <c r="C17" s="210" t="s">
        <v>267</v>
      </c>
      <c r="D17" s="213" t="s">
        <v>291</v>
      </c>
      <c r="E17" s="161">
        <f t="shared" ref="E17:BL17" si="4">E16</f>
        <v>94264000</v>
      </c>
      <c r="F17" s="161">
        <f t="shared" si="4"/>
        <v>0</v>
      </c>
      <c r="G17" s="161">
        <f t="shared" si="4"/>
        <v>0</v>
      </c>
      <c r="H17" s="161">
        <f t="shared" si="4"/>
        <v>0</v>
      </c>
      <c r="I17" s="161">
        <f t="shared" si="4"/>
        <v>107736000</v>
      </c>
      <c r="J17" s="161">
        <f t="shared" si="4"/>
        <v>0</v>
      </c>
      <c r="K17" s="161">
        <f t="shared" si="4"/>
        <v>98000000</v>
      </c>
      <c r="L17" s="161">
        <f t="shared" si="4"/>
        <v>0</v>
      </c>
      <c r="M17" s="161">
        <f t="shared" si="4"/>
        <v>0</v>
      </c>
      <c r="N17" s="161">
        <f t="shared" si="4"/>
        <v>0</v>
      </c>
      <c r="O17" s="161">
        <f t="shared" si="4"/>
        <v>0</v>
      </c>
      <c r="P17" s="161">
        <f t="shared" si="4"/>
        <v>0</v>
      </c>
      <c r="Q17" s="161">
        <f t="shared" si="4"/>
        <v>0</v>
      </c>
      <c r="R17" s="161">
        <f t="shared" si="4"/>
        <v>0</v>
      </c>
      <c r="S17" s="161">
        <f t="shared" si="4"/>
        <v>0</v>
      </c>
      <c r="T17" s="161">
        <f t="shared" si="4"/>
        <v>0</v>
      </c>
      <c r="U17" s="161">
        <f t="shared" si="4"/>
        <v>0</v>
      </c>
      <c r="V17" s="161">
        <f t="shared" si="4"/>
        <v>0</v>
      </c>
      <c r="W17" s="161">
        <f t="shared" si="4"/>
        <v>0</v>
      </c>
      <c r="X17" s="161">
        <f t="shared" si="4"/>
        <v>0</v>
      </c>
      <c r="Y17" s="161">
        <f t="shared" si="4"/>
        <v>0</v>
      </c>
      <c r="Z17" s="161">
        <f t="shared" si="4"/>
        <v>0</v>
      </c>
      <c r="AA17" s="161">
        <f t="shared" si="4"/>
        <v>0</v>
      </c>
      <c r="AB17" s="161">
        <f t="shared" si="4"/>
        <v>0</v>
      </c>
      <c r="AC17" s="161">
        <f t="shared" si="4"/>
        <v>0</v>
      </c>
      <c r="AD17" s="161">
        <f t="shared" si="4"/>
        <v>0</v>
      </c>
      <c r="AE17" s="161">
        <f t="shared" si="4"/>
        <v>0</v>
      </c>
      <c r="AF17" s="161">
        <f t="shared" si="4"/>
        <v>0</v>
      </c>
      <c r="AG17" s="161">
        <f t="shared" si="4"/>
        <v>0</v>
      </c>
      <c r="AH17" s="161">
        <f t="shared" si="4"/>
        <v>0</v>
      </c>
      <c r="AI17" s="161">
        <f t="shared" si="4"/>
        <v>0</v>
      </c>
      <c r="AJ17" s="161">
        <f t="shared" si="4"/>
        <v>0</v>
      </c>
      <c r="AK17" s="161">
        <f t="shared" si="4"/>
        <v>0</v>
      </c>
      <c r="AL17" s="161">
        <f t="shared" si="4"/>
        <v>0</v>
      </c>
      <c r="AM17" s="161">
        <f t="shared" si="4"/>
        <v>0</v>
      </c>
      <c r="AN17" s="161">
        <f t="shared" si="4"/>
        <v>0</v>
      </c>
      <c r="AO17" s="161">
        <f t="shared" si="4"/>
        <v>0</v>
      </c>
      <c r="AP17" s="161">
        <f t="shared" si="4"/>
        <v>0</v>
      </c>
      <c r="AQ17" s="161">
        <f t="shared" si="4"/>
        <v>0</v>
      </c>
      <c r="AR17" s="161">
        <f t="shared" si="4"/>
        <v>0</v>
      </c>
      <c r="AS17" s="161">
        <f t="shared" si="4"/>
        <v>0</v>
      </c>
      <c r="AT17" s="161">
        <f t="shared" si="4"/>
        <v>0</v>
      </c>
      <c r="AU17" s="161">
        <f t="shared" si="4"/>
        <v>0</v>
      </c>
      <c r="AV17" s="161">
        <f t="shared" si="4"/>
        <v>0</v>
      </c>
      <c r="AW17" s="161">
        <f t="shared" si="4"/>
        <v>0</v>
      </c>
      <c r="AX17" s="161">
        <f t="shared" si="4"/>
        <v>0</v>
      </c>
      <c r="AY17" s="161">
        <f t="shared" si="4"/>
        <v>0</v>
      </c>
      <c r="AZ17" s="161">
        <f t="shared" si="4"/>
        <v>0</v>
      </c>
      <c r="BA17" s="161">
        <f t="shared" si="4"/>
        <v>0</v>
      </c>
      <c r="BB17" s="161">
        <f t="shared" si="4"/>
        <v>0</v>
      </c>
      <c r="BC17" s="161">
        <f t="shared" si="4"/>
        <v>0</v>
      </c>
      <c r="BD17" s="161">
        <f t="shared" si="4"/>
        <v>0</v>
      </c>
      <c r="BE17" s="161">
        <f t="shared" si="4"/>
        <v>0</v>
      </c>
      <c r="BF17" s="161">
        <f t="shared" si="4"/>
        <v>0</v>
      </c>
      <c r="BG17" s="161">
        <f t="shared" si="4"/>
        <v>0</v>
      </c>
      <c r="BH17" s="161">
        <f t="shared" si="4"/>
        <v>0</v>
      </c>
      <c r="BI17" s="161">
        <f t="shared" si="4"/>
        <v>0</v>
      </c>
      <c r="BJ17" s="161">
        <f t="shared" si="4"/>
        <v>0</v>
      </c>
      <c r="BK17" s="161">
        <f t="shared" si="4"/>
        <v>0</v>
      </c>
      <c r="BL17" s="143">
        <f t="shared" si="4"/>
        <v>0</v>
      </c>
    </row>
    <row r="18" ht="15.75" customHeight="1">
      <c r="C18" s="210" t="s">
        <v>292</v>
      </c>
      <c r="D18" s="75" t="s">
        <v>293</v>
      </c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140"/>
    </row>
    <row r="19" ht="15.75" customHeight="1">
      <c r="C19" s="210" t="s">
        <v>269</v>
      </c>
      <c r="D19" s="8" t="s">
        <v>294</v>
      </c>
      <c r="E19" s="153">
        <f t="shared" ref="E19:BL19" si="5">E11 + E14 + E17</f>
        <v>36534000</v>
      </c>
      <c r="F19" s="153">
        <f t="shared" si="5"/>
        <v>-16994000</v>
      </c>
      <c r="G19" s="153">
        <f t="shared" si="5"/>
        <v>-20230000</v>
      </c>
      <c r="H19" s="153">
        <f t="shared" si="5"/>
        <v>-230000</v>
      </c>
      <c r="I19" s="153">
        <f t="shared" si="5"/>
        <v>30737769.9</v>
      </c>
      <c r="J19" s="153">
        <f t="shared" si="5"/>
        <v>-20677648.42</v>
      </c>
      <c r="K19" s="153">
        <f t="shared" si="5"/>
        <v>28517487.32</v>
      </c>
      <c r="L19" s="153">
        <f t="shared" si="5"/>
        <v>2655023.261</v>
      </c>
      <c r="M19" s="153">
        <f t="shared" si="5"/>
        <v>2962959.524</v>
      </c>
      <c r="N19" s="153">
        <f t="shared" si="5"/>
        <v>3270895.786</v>
      </c>
      <c r="O19" s="153">
        <f t="shared" si="5"/>
        <v>3578832.048</v>
      </c>
      <c r="P19" s="153">
        <f t="shared" si="5"/>
        <v>-1100210.856</v>
      </c>
      <c r="Q19" s="153">
        <f t="shared" si="5"/>
        <v>4131221.049</v>
      </c>
      <c r="R19" s="153">
        <f t="shared" si="5"/>
        <v>4626692.656</v>
      </c>
      <c r="S19" s="153">
        <f t="shared" si="5"/>
        <v>4921886.561</v>
      </c>
      <c r="T19" s="153">
        <f t="shared" si="5"/>
        <v>5217080.467</v>
      </c>
      <c r="U19" s="153">
        <f t="shared" si="5"/>
        <v>5512274.373</v>
      </c>
      <c r="V19" s="153">
        <f t="shared" si="5"/>
        <v>5807468.278</v>
      </c>
      <c r="W19" s="153">
        <f t="shared" si="5"/>
        <v>6102662.184</v>
      </c>
      <c r="X19" s="153">
        <f t="shared" si="5"/>
        <v>6397856.09</v>
      </c>
      <c r="Y19" s="153">
        <f t="shared" si="5"/>
        <v>6693049.995</v>
      </c>
      <c r="Z19" s="153">
        <f t="shared" si="5"/>
        <v>6988243.901</v>
      </c>
      <c r="AA19" s="153">
        <f t="shared" si="5"/>
        <v>7283437.807</v>
      </c>
      <c r="AB19" s="153">
        <f t="shared" si="5"/>
        <v>7578631.712</v>
      </c>
      <c r="AC19" s="153">
        <f t="shared" si="5"/>
        <v>-17575674.71</v>
      </c>
      <c r="AD19" s="153">
        <f t="shared" si="5"/>
        <v>11727691.21</v>
      </c>
      <c r="AE19" s="153">
        <f t="shared" si="5"/>
        <v>12031690.57</v>
      </c>
      <c r="AF19" s="153">
        <f t="shared" si="5"/>
        <v>12335689.92</v>
      </c>
      <c r="AG19" s="153">
        <f t="shared" si="5"/>
        <v>12639689.28</v>
      </c>
      <c r="AH19" s="153">
        <f t="shared" si="5"/>
        <v>7861416.969</v>
      </c>
      <c r="AI19" s="153">
        <f t="shared" si="5"/>
        <v>13165416.32</v>
      </c>
      <c r="AJ19" s="153">
        <f t="shared" si="5"/>
        <v>13469415.68</v>
      </c>
      <c r="AK19" s="153">
        <f t="shared" si="5"/>
        <v>13773415.04</v>
      </c>
      <c r="AL19" s="153">
        <f t="shared" si="5"/>
        <v>14077414.39</v>
      </c>
      <c r="AM19" s="153">
        <f t="shared" si="5"/>
        <v>14381413.75</v>
      </c>
      <c r="AN19" s="153">
        <f t="shared" si="5"/>
        <v>14685413.1</v>
      </c>
      <c r="AO19" s="153">
        <f t="shared" si="5"/>
        <v>22450579.76</v>
      </c>
      <c r="AP19" s="153">
        <f t="shared" si="5"/>
        <v>30779750.58</v>
      </c>
      <c r="AQ19" s="153">
        <f t="shared" si="5"/>
        <v>31712569.54</v>
      </c>
      <c r="AR19" s="153">
        <f t="shared" si="5"/>
        <v>32645388.5</v>
      </c>
      <c r="AS19" s="153">
        <f t="shared" si="5"/>
        <v>33578207.46</v>
      </c>
      <c r="AT19" s="153">
        <f t="shared" si="5"/>
        <v>34511026.42</v>
      </c>
      <c r="AU19" s="153">
        <f t="shared" si="5"/>
        <v>35443845.39</v>
      </c>
      <c r="AV19" s="153">
        <f t="shared" si="5"/>
        <v>36376664.35</v>
      </c>
      <c r="AW19" s="153">
        <f t="shared" si="5"/>
        <v>37340575.14</v>
      </c>
      <c r="AX19" s="153">
        <f t="shared" si="5"/>
        <v>37340575.14</v>
      </c>
      <c r="AY19" s="153">
        <f t="shared" si="5"/>
        <v>37340575.14</v>
      </c>
      <c r="AZ19" s="153">
        <f t="shared" si="5"/>
        <v>37340575.14</v>
      </c>
      <c r="BA19" s="153">
        <f t="shared" si="5"/>
        <v>45989744.72</v>
      </c>
      <c r="BB19" s="153">
        <f t="shared" si="5"/>
        <v>48318279.54</v>
      </c>
      <c r="BC19" s="153">
        <f t="shared" si="5"/>
        <v>48318279.54</v>
      </c>
      <c r="BD19" s="153">
        <f t="shared" si="5"/>
        <v>48318279.54</v>
      </c>
      <c r="BE19" s="153">
        <f t="shared" si="5"/>
        <v>48318279.54</v>
      </c>
      <c r="BF19" s="153">
        <f t="shared" si="5"/>
        <v>48318279.54</v>
      </c>
      <c r="BG19" s="153">
        <f t="shared" si="5"/>
        <v>48318279.54</v>
      </c>
      <c r="BH19" s="153">
        <f t="shared" si="5"/>
        <v>48318279.54</v>
      </c>
      <c r="BI19" s="153">
        <f t="shared" si="5"/>
        <v>48318279.54</v>
      </c>
      <c r="BJ19" s="153">
        <f t="shared" si="5"/>
        <v>48318279.54</v>
      </c>
      <c r="BK19" s="153">
        <f t="shared" si="5"/>
        <v>48318279.54</v>
      </c>
      <c r="BL19" s="140">
        <f t="shared" si="5"/>
        <v>48318279.54</v>
      </c>
    </row>
    <row r="20" ht="15.75" customHeight="1">
      <c r="C20" s="210" t="s">
        <v>271</v>
      </c>
      <c r="D20" s="8" t="s">
        <v>295</v>
      </c>
      <c r="E20" s="153">
        <f>'FUNDING REQUIREMENT'!E13</f>
        <v>2500000</v>
      </c>
      <c r="F20" s="153">
        <f t="shared" ref="F20:BL20" si="6">E21</f>
        <v>39034000</v>
      </c>
      <c r="G20" s="153">
        <f t="shared" si="6"/>
        <v>22040000</v>
      </c>
      <c r="H20" s="153">
        <f t="shared" si="6"/>
        <v>1810000</v>
      </c>
      <c r="I20" s="153">
        <f t="shared" si="6"/>
        <v>1580000</v>
      </c>
      <c r="J20" s="153">
        <f t="shared" si="6"/>
        <v>32317769.9</v>
      </c>
      <c r="K20" s="153">
        <f t="shared" si="6"/>
        <v>11640121.48</v>
      </c>
      <c r="L20" s="153">
        <f t="shared" si="6"/>
        <v>40157608.8</v>
      </c>
      <c r="M20" s="153">
        <f t="shared" si="6"/>
        <v>42812632.06</v>
      </c>
      <c r="N20" s="153">
        <f t="shared" si="6"/>
        <v>45775591.59</v>
      </c>
      <c r="O20" s="153">
        <f t="shared" si="6"/>
        <v>49046487.37</v>
      </c>
      <c r="P20" s="153">
        <f t="shared" si="6"/>
        <v>52625319.42</v>
      </c>
      <c r="Q20" s="153">
        <f t="shared" si="6"/>
        <v>51525108.56</v>
      </c>
      <c r="R20" s="153">
        <f t="shared" si="6"/>
        <v>55656329.61</v>
      </c>
      <c r="S20" s="153">
        <f t="shared" si="6"/>
        <v>60283022.27</v>
      </c>
      <c r="T20" s="153">
        <f t="shared" si="6"/>
        <v>65204908.83</v>
      </c>
      <c r="U20" s="153">
        <f t="shared" si="6"/>
        <v>70421989.3</v>
      </c>
      <c r="V20" s="153">
        <f t="shared" si="6"/>
        <v>75934263.67</v>
      </c>
      <c r="W20" s="153">
        <f t="shared" si="6"/>
        <v>81741731.95</v>
      </c>
      <c r="X20" s="153">
        <f t="shared" si="6"/>
        <v>87844394.13</v>
      </c>
      <c r="Y20" s="153">
        <f t="shared" si="6"/>
        <v>94242250.22</v>
      </c>
      <c r="Z20" s="153">
        <f t="shared" si="6"/>
        <v>100935300.2</v>
      </c>
      <c r="AA20" s="153">
        <f t="shared" si="6"/>
        <v>107923544.1</v>
      </c>
      <c r="AB20" s="153">
        <f t="shared" si="6"/>
        <v>115206981.9</v>
      </c>
      <c r="AC20" s="153">
        <f t="shared" si="6"/>
        <v>122785613.6</v>
      </c>
      <c r="AD20" s="153">
        <f t="shared" si="6"/>
        <v>105209938.9</v>
      </c>
      <c r="AE20" s="153">
        <f t="shared" si="6"/>
        <v>116937630.1</v>
      </c>
      <c r="AF20" s="153">
        <f t="shared" si="6"/>
        <v>128969320.7</v>
      </c>
      <c r="AG20" s="153">
        <f t="shared" si="6"/>
        <v>141305010.6</v>
      </c>
      <c r="AH20" s="153">
        <f t="shared" si="6"/>
        <v>153944699.9</v>
      </c>
      <c r="AI20" s="153">
        <f t="shared" si="6"/>
        <v>161806116.9</v>
      </c>
      <c r="AJ20" s="153">
        <f t="shared" si="6"/>
        <v>174971533.2</v>
      </c>
      <c r="AK20" s="153">
        <f t="shared" si="6"/>
        <v>188440948.9</v>
      </c>
      <c r="AL20" s="153">
        <f t="shared" si="6"/>
        <v>202214363.9</v>
      </c>
      <c r="AM20" s="153">
        <f t="shared" si="6"/>
        <v>216291778.3</v>
      </c>
      <c r="AN20" s="153">
        <f t="shared" si="6"/>
        <v>230673192.1</v>
      </c>
      <c r="AO20" s="153">
        <f t="shared" si="6"/>
        <v>245358605.2</v>
      </c>
      <c r="AP20" s="153">
        <f t="shared" si="6"/>
        <v>267809184.9</v>
      </c>
      <c r="AQ20" s="153">
        <f t="shared" si="6"/>
        <v>298588935.5</v>
      </c>
      <c r="AR20" s="153">
        <f t="shared" si="6"/>
        <v>330301505</v>
      </c>
      <c r="AS20" s="153">
        <f t="shared" si="6"/>
        <v>362946893.5</v>
      </c>
      <c r="AT20" s="153">
        <f t="shared" si="6"/>
        <v>396525101</v>
      </c>
      <c r="AU20" s="153">
        <f t="shared" si="6"/>
        <v>431036127.4</v>
      </c>
      <c r="AV20" s="153">
        <f t="shared" si="6"/>
        <v>466479972.8</v>
      </c>
      <c r="AW20" s="153">
        <f t="shared" si="6"/>
        <v>502856637.2</v>
      </c>
      <c r="AX20" s="153">
        <f t="shared" si="6"/>
        <v>540197212.3</v>
      </c>
      <c r="AY20" s="153">
        <f t="shared" si="6"/>
        <v>577537787.4</v>
      </c>
      <c r="AZ20" s="153">
        <f t="shared" si="6"/>
        <v>614878362.6</v>
      </c>
      <c r="BA20" s="153">
        <f t="shared" si="6"/>
        <v>652218937.7</v>
      </c>
      <c r="BB20" s="153">
        <f t="shared" si="6"/>
        <v>698208682.4</v>
      </c>
      <c r="BC20" s="153">
        <f t="shared" si="6"/>
        <v>746526962</v>
      </c>
      <c r="BD20" s="153">
        <f t="shared" si="6"/>
        <v>794845241.5</v>
      </c>
      <c r="BE20" s="153">
        <f t="shared" si="6"/>
        <v>843163521.1</v>
      </c>
      <c r="BF20" s="153">
        <f t="shared" si="6"/>
        <v>891481800.6</v>
      </c>
      <c r="BG20" s="153">
        <f t="shared" si="6"/>
        <v>939800080.1</v>
      </c>
      <c r="BH20" s="153">
        <f t="shared" si="6"/>
        <v>988118359.7</v>
      </c>
      <c r="BI20" s="153">
        <f t="shared" si="6"/>
        <v>1036436639</v>
      </c>
      <c r="BJ20" s="153">
        <f t="shared" si="6"/>
        <v>1084754919</v>
      </c>
      <c r="BK20" s="153">
        <f t="shared" si="6"/>
        <v>1133073198</v>
      </c>
      <c r="BL20" s="140">
        <f t="shared" si="6"/>
        <v>1181391478</v>
      </c>
    </row>
    <row r="21" ht="15.75" customHeight="1">
      <c r="C21" s="234" t="s">
        <v>273</v>
      </c>
      <c r="D21" s="48" t="s">
        <v>296</v>
      </c>
      <c r="E21" s="161">
        <f t="shared" ref="E21:BL21" si="7">E19 + E20</f>
        <v>39034000</v>
      </c>
      <c r="F21" s="161">
        <f t="shared" si="7"/>
        <v>22040000</v>
      </c>
      <c r="G21" s="161">
        <f t="shared" si="7"/>
        <v>1810000</v>
      </c>
      <c r="H21" s="161">
        <f t="shared" si="7"/>
        <v>1580000</v>
      </c>
      <c r="I21" s="161">
        <f t="shared" si="7"/>
        <v>32317769.9</v>
      </c>
      <c r="J21" s="161">
        <f t="shared" si="7"/>
        <v>11640121.48</v>
      </c>
      <c r="K21" s="161">
        <f t="shared" si="7"/>
        <v>40157608.8</v>
      </c>
      <c r="L21" s="161">
        <f t="shared" si="7"/>
        <v>42812632.06</v>
      </c>
      <c r="M21" s="161">
        <f t="shared" si="7"/>
        <v>45775591.59</v>
      </c>
      <c r="N21" s="161">
        <f t="shared" si="7"/>
        <v>49046487.37</v>
      </c>
      <c r="O21" s="161">
        <f t="shared" si="7"/>
        <v>52625319.42</v>
      </c>
      <c r="P21" s="161">
        <f t="shared" si="7"/>
        <v>51525108.56</v>
      </c>
      <c r="Q21" s="161">
        <f t="shared" si="7"/>
        <v>55656329.61</v>
      </c>
      <c r="R21" s="161">
        <f t="shared" si="7"/>
        <v>60283022.27</v>
      </c>
      <c r="S21" s="161">
        <f t="shared" si="7"/>
        <v>65204908.83</v>
      </c>
      <c r="T21" s="161">
        <f t="shared" si="7"/>
        <v>70421989.3</v>
      </c>
      <c r="U21" s="161">
        <f t="shared" si="7"/>
        <v>75934263.67</v>
      </c>
      <c r="V21" s="161">
        <f t="shared" si="7"/>
        <v>81741731.95</v>
      </c>
      <c r="W21" s="161">
        <f t="shared" si="7"/>
        <v>87844394.13</v>
      </c>
      <c r="X21" s="161">
        <f t="shared" si="7"/>
        <v>94242250.22</v>
      </c>
      <c r="Y21" s="161">
        <f t="shared" si="7"/>
        <v>100935300.2</v>
      </c>
      <c r="Z21" s="161">
        <f t="shared" si="7"/>
        <v>107923544.1</v>
      </c>
      <c r="AA21" s="161">
        <f t="shared" si="7"/>
        <v>115206981.9</v>
      </c>
      <c r="AB21" s="161">
        <f t="shared" si="7"/>
        <v>122785613.6</v>
      </c>
      <c r="AC21" s="161">
        <f t="shared" si="7"/>
        <v>105209938.9</v>
      </c>
      <c r="AD21" s="161">
        <f t="shared" si="7"/>
        <v>116937630.1</v>
      </c>
      <c r="AE21" s="161">
        <f t="shared" si="7"/>
        <v>128969320.7</v>
      </c>
      <c r="AF21" s="161">
        <f t="shared" si="7"/>
        <v>141305010.6</v>
      </c>
      <c r="AG21" s="161">
        <f t="shared" si="7"/>
        <v>153944699.9</v>
      </c>
      <c r="AH21" s="161">
        <f t="shared" si="7"/>
        <v>161806116.9</v>
      </c>
      <c r="AI21" s="161">
        <f t="shared" si="7"/>
        <v>174971533.2</v>
      </c>
      <c r="AJ21" s="161">
        <f t="shared" si="7"/>
        <v>188440948.9</v>
      </c>
      <c r="AK21" s="161">
        <f t="shared" si="7"/>
        <v>202214363.9</v>
      </c>
      <c r="AL21" s="161">
        <f t="shared" si="7"/>
        <v>216291778.3</v>
      </c>
      <c r="AM21" s="161">
        <f t="shared" si="7"/>
        <v>230673192.1</v>
      </c>
      <c r="AN21" s="161">
        <f t="shared" si="7"/>
        <v>245358605.2</v>
      </c>
      <c r="AO21" s="161">
        <f t="shared" si="7"/>
        <v>267809184.9</v>
      </c>
      <c r="AP21" s="161">
        <f t="shared" si="7"/>
        <v>298588935.5</v>
      </c>
      <c r="AQ21" s="161">
        <f t="shared" si="7"/>
        <v>330301505</v>
      </c>
      <c r="AR21" s="161">
        <f t="shared" si="7"/>
        <v>362946893.5</v>
      </c>
      <c r="AS21" s="161">
        <f t="shared" si="7"/>
        <v>396525101</v>
      </c>
      <c r="AT21" s="161">
        <f t="shared" si="7"/>
        <v>431036127.4</v>
      </c>
      <c r="AU21" s="161">
        <f t="shared" si="7"/>
        <v>466479972.8</v>
      </c>
      <c r="AV21" s="161">
        <f t="shared" si="7"/>
        <v>502856637.2</v>
      </c>
      <c r="AW21" s="161">
        <f t="shared" si="7"/>
        <v>540197212.3</v>
      </c>
      <c r="AX21" s="161">
        <f t="shared" si="7"/>
        <v>577537787.4</v>
      </c>
      <c r="AY21" s="161">
        <f t="shared" si="7"/>
        <v>614878362.6</v>
      </c>
      <c r="AZ21" s="161">
        <f t="shared" si="7"/>
        <v>652218937.7</v>
      </c>
      <c r="BA21" s="161">
        <f t="shared" si="7"/>
        <v>698208682.4</v>
      </c>
      <c r="BB21" s="161">
        <f t="shared" si="7"/>
        <v>746526962</v>
      </c>
      <c r="BC21" s="161">
        <f t="shared" si="7"/>
        <v>794845241.5</v>
      </c>
      <c r="BD21" s="161">
        <f t="shared" si="7"/>
        <v>843163521.1</v>
      </c>
      <c r="BE21" s="161">
        <f t="shared" si="7"/>
        <v>891481800.6</v>
      </c>
      <c r="BF21" s="161">
        <f t="shared" si="7"/>
        <v>939800080.1</v>
      </c>
      <c r="BG21" s="161">
        <f t="shared" si="7"/>
        <v>988118359.7</v>
      </c>
      <c r="BH21" s="161">
        <f t="shared" si="7"/>
        <v>1036436639</v>
      </c>
      <c r="BI21" s="161">
        <f t="shared" si="7"/>
        <v>1084754919</v>
      </c>
      <c r="BJ21" s="161">
        <f t="shared" si="7"/>
        <v>1133073198</v>
      </c>
      <c r="BK21" s="161">
        <f t="shared" si="7"/>
        <v>1181391478</v>
      </c>
      <c r="BL21" s="143">
        <f t="shared" si="7"/>
        <v>1229709757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6.5"/>
    <col customWidth="1" min="3" max="3" width="4.13"/>
    <col customWidth="1" min="4" max="4" width="23.5"/>
    <col customWidth="1" min="5" max="9" width="16.5"/>
  </cols>
  <sheetData>
    <row r="1">
      <c r="A1" s="235" t="str">
        <f>COVER!$B$12</f>
        <v>Narayan Dairy Project</v>
      </c>
      <c r="B1" s="30"/>
      <c r="C1" s="30"/>
      <c r="D1" s="30"/>
      <c r="E1" s="30"/>
      <c r="F1" s="30"/>
      <c r="G1" s="30"/>
      <c r="H1" s="30"/>
      <c r="I1" s="30"/>
    </row>
    <row r="2" ht="15.75" customHeight="1">
      <c r="A2" s="197" t="s">
        <v>297</v>
      </c>
      <c r="B2" s="30"/>
      <c r="C2" s="30"/>
      <c r="D2" s="30"/>
      <c r="E2" s="30"/>
      <c r="F2" s="30"/>
      <c r="G2" s="30"/>
      <c r="H2" s="30"/>
      <c r="I2" s="30"/>
    </row>
    <row r="3" ht="15.75" customHeight="1">
      <c r="A3" s="198"/>
      <c r="B3" s="198"/>
      <c r="C3" s="198"/>
      <c r="D3" s="198"/>
      <c r="E3" s="198"/>
      <c r="F3" s="198"/>
      <c r="G3" s="198"/>
      <c r="H3" s="198"/>
      <c r="I3" s="198"/>
    </row>
    <row r="4" ht="15.75" customHeight="1">
      <c r="A4" s="30"/>
      <c r="B4" s="30"/>
      <c r="C4" s="236"/>
      <c r="D4" s="131" t="s">
        <v>252</v>
      </c>
      <c r="E4" s="131" t="s">
        <v>298</v>
      </c>
      <c r="F4" s="131" t="s">
        <v>299</v>
      </c>
      <c r="G4" s="131" t="s">
        <v>300</v>
      </c>
      <c r="H4" s="131" t="s">
        <v>301</v>
      </c>
      <c r="I4" s="132" t="s">
        <v>302</v>
      </c>
    </row>
    <row r="5" ht="1.5" customHeight="1">
      <c r="A5" s="30"/>
      <c r="B5" s="30"/>
      <c r="C5" s="237"/>
      <c r="D5" s="149"/>
      <c r="E5" s="149"/>
      <c r="F5" s="149"/>
      <c r="G5" s="149"/>
      <c r="H5" s="149"/>
      <c r="I5" s="150"/>
    </row>
    <row r="6" ht="1.5" customHeight="1">
      <c r="A6" s="30"/>
      <c r="B6" s="30"/>
      <c r="C6" s="238"/>
      <c r="D6" s="151"/>
      <c r="E6" s="151"/>
      <c r="F6" s="151"/>
      <c r="G6" s="151"/>
      <c r="H6" s="151"/>
      <c r="I6" s="152"/>
    </row>
    <row r="7" ht="15.75" customHeight="1">
      <c r="A7" s="30"/>
      <c r="B7" s="30"/>
      <c r="C7" s="210" t="s">
        <v>253</v>
      </c>
      <c r="D7" s="75" t="s">
        <v>243</v>
      </c>
      <c r="E7" s="239">
        <f>SUM('P&amp;L'!E7:P7)</f>
        <v>160245121</v>
      </c>
      <c r="F7" s="239">
        <f>SUM('P&amp;L'!Q7:AB7)</f>
        <v>593462773.2</v>
      </c>
      <c r="G7" s="239">
        <f>SUM('P&amp;L'!AC7:AN7)</f>
        <v>1188290397</v>
      </c>
      <c r="H7" s="239">
        <f>SUM('P&amp;L'!AO7:AZ7)</f>
        <v>2781598958</v>
      </c>
      <c r="I7" s="240">
        <f>SUM('P&amp;L'!BA7:BL7)</f>
        <v>3363420208</v>
      </c>
    </row>
    <row r="8" ht="15.75" customHeight="1">
      <c r="A8" s="30"/>
      <c r="B8" s="30"/>
      <c r="C8" s="210" t="s">
        <v>254</v>
      </c>
      <c r="D8" s="213" t="s">
        <v>245</v>
      </c>
      <c r="E8" s="241">
        <f>SUM('P&amp;L'!E8:P8)</f>
        <v>125833182.6</v>
      </c>
      <c r="F8" s="241">
        <f>SUM('P&amp;L'!Q8:AB8)</f>
        <v>470904135.8</v>
      </c>
      <c r="G8" s="241">
        <f>SUM('P&amp;L'!AC8:AN8)</f>
        <v>935853271.6</v>
      </c>
      <c r="H8" s="241">
        <f>SUM('P&amp;L'!AO8:AZ8)</f>
        <v>2147231804</v>
      </c>
      <c r="I8" s="242">
        <f>SUM('P&amp;L'!BA8:BL8)</f>
        <v>2502610589</v>
      </c>
    </row>
    <row r="9" ht="15.75" customHeight="1">
      <c r="A9" s="30"/>
      <c r="B9" s="30"/>
      <c r="C9" s="216" t="s">
        <v>255</v>
      </c>
      <c r="D9" s="32" t="s">
        <v>256</v>
      </c>
      <c r="E9" s="239">
        <f>SUM('P&amp;L'!E9:P9)</f>
        <v>34411938.34</v>
      </c>
      <c r="F9" s="239">
        <f>SUM('P&amp;L'!Q9:AB9)</f>
        <v>122558637.5</v>
      </c>
      <c r="G9" s="239">
        <f>SUM('P&amp;L'!AC9:AN9)</f>
        <v>252437125.7</v>
      </c>
      <c r="H9" s="239">
        <f>SUM('P&amp;L'!AO9:AZ9)</f>
        <v>634367153.3</v>
      </c>
      <c r="I9" s="240">
        <f>SUM('P&amp;L'!BA9:BL9)</f>
        <v>860809619.3</v>
      </c>
    </row>
    <row r="10" ht="15.75" customHeight="1">
      <c r="A10" s="30"/>
      <c r="B10" s="30"/>
      <c r="C10" s="216" t="s">
        <v>257</v>
      </c>
      <c r="D10" s="32" t="s">
        <v>258</v>
      </c>
      <c r="E10" s="36">
        <f t="shared" ref="E10:I10" si="1">E9 / E7</f>
        <v>0.214745623</v>
      </c>
      <c r="F10" s="36">
        <f t="shared" si="1"/>
        <v>0.2065144487</v>
      </c>
      <c r="G10" s="36">
        <f t="shared" si="1"/>
        <v>0.2124372344</v>
      </c>
      <c r="H10" s="36">
        <f t="shared" si="1"/>
        <v>0.2280584523</v>
      </c>
      <c r="I10" s="33">
        <f t="shared" si="1"/>
        <v>0.2559328202</v>
      </c>
    </row>
    <row r="11" ht="15.75" customHeight="1">
      <c r="A11" s="30"/>
      <c r="B11" s="30"/>
      <c r="C11" s="210" t="s">
        <v>259</v>
      </c>
      <c r="D11" s="75" t="s">
        <v>260</v>
      </c>
      <c r="E11" s="243">
        <f>SUM('P&amp;L'!E11:P11)</f>
        <v>11348000</v>
      </c>
      <c r="F11" s="243">
        <f>SUM('P&amp;L'!Q11:AB11)</f>
        <v>29458080</v>
      </c>
      <c r="G11" s="243">
        <f>SUM('P&amp;L'!AC11:AN11)</f>
        <v>46739980.8</v>
      </c>
      <c r="H11" s="243">
        <f>SUM('P&amp;L'!AO11:AZ11)</f>
        <v>79679303.42</v>
      </c>
      <c r="I11" s="91">
        <f>SUM('P&amp;L'!BA11:BL11)</f>
        <v>95653257.8</v>
      </c>
    </row>
    <row r="12" ht="15.75" customHeight="1">
      <c r="A12" s="30"/>
      <c r="B12" s="30"/>
      <c r="C12" s="216" t="s">
        <v>261</v>
      </c>
      <c r="D12" s="73" t="s">
        <v>262</v>
      </c>
      <c r="E12" s="244">
        <f>SUM('P&amp;L'!E12:P12)</f>
        <v>23063938.34</v>
      </c>
      <c r="F12" s="244">
        <f>SUM('P&amp;L'!Q12:AB12)</f>
        <v>93100557.45</v>
      </c>
      <c r="G12" s="244">
        <f>SUM('P&amp;L'!AC12:AN12)</f>
        <v>205697144.9</v>
      </c>
      <c r="H12" s="244">
        <f>SUM('P&amp;L'!AO12:AZ12)</f>
        <v>554687849.9</v>
      </c>
      <c r="I12" s="90">
        <f>SUM('P&amp;L'!BA12:BL12)</f>
        <v>765156361.5</v>
      </c>
    </row>
    <row r="13" ht="15.75" customHeight="1">
      <c r="A13" s="30"/>
      <c r="B13" s="30"/>
      <c r="C13" s="216" t="s">
        <v>263</v>
      </c>
      <c r="D13" s="32" t="s">
        <v>264</v>
      </c>
      <c r="E13" s="36">
        <f t="shared" ref="E13:I13" si="2">E12 / E7</f>
        <v>0.1439291143</v>
      </c>
      <c r="F13" s="36">
        <f t="shared" si="2"/>
        <v>0.1568768281</v>
      </c>
      <c r="G13" s="36">
        <f t="shared" si="2"/>
        <v>0.1731034311</v>
      </c>
      <c r="H13" s="36">
        <f t="shared" si="2"/>
        <v>0.1994133081</v>
      </c>
      <c r="I13" s="33">
        <f t="shared" si="2"/>
        <v>0.2274935376</v>
      </c>
    </row>
    <row r="14" ht="15.75" customHeight="1">
      <c r="A14" s="30"/>
      <c r="B14" s="30"/>
      <c r="C14" s="216" t="s">
        <v>265</v>
      </c>
      <c r="D14" s="32" t="s">
        <v>266</v>
      </c>
      <c r="E14" s="243">
        <f>SUM('P&amp;L'!E14:P14)</f>
        <v>12566900</v>
      </c>
      <c r="F14" s="243">
        <f>SUM('P&amp;L'!Q14:AB14)</f>
        <v>20183333.33</v>
      </c>
      <c r="G14" s="243">
        <f>SUM('P&amp;L'!AC14:AN14)</f>
        <v>23704166.67</v>
      </c>
      <c r="H14" s="243">
        <f>SUM('P&amp;L'!AO14:AZ14)</f>
        <v>23808333.33</v>
      </c>
      <c r="I14" s="91">
        <f>SUM('P&amp;L'!BA14:BL14)</f>
        <v>23808333.33</v>
      </c>
    </row>
    <row r="15" ht="15.75" customHeight="1">
      <c r="A15" s="30"/>
      <c r="B15" s="30"/>
      <c r="C15" s="216" t="s">
        <v>267</v>
      </c>
      <c r="D15" s="73" t="s">
        <v>268</v>
      </c>
      <c r="E15" s="244">
        <f>SUM('P&amp;L'!E15:P15)</f>
        <v>10497038.34</v>
      </c>
      <c r="F15" s="244">
        <f>SUM('P&amp;L'!Q15:AB15)</f>
        <v>72917224.12</v>
      </c>
      <c r="G15" s="244">
        <f>SUM('P&amp;L'!AC15:AN15)</f>
        <v>181992978.2</v>
      </c>
      <c r="H15" s="244">
        <f>SUM('P&amp;L'!AO15:AZ15)</f>
        <v>530879516.6</v>
      </c>
      <c r="I15" s="90">
        <f>SUM('P&amp;L'!BA15:BL15)</f>
        <v>741348028.2</v>
      </c>
    </row>
    <row r="16" ht="15.75" customHeight="1">
      <c r="A16" s="30"/>
      <c r="B16" s="30"/>
      <c r="C16" s="210" t="s">
        <v>269</v>
      </c>
      <c r="D16" s="75" t="s">
        <v>270</v>
      </c>
      <c r="E16" s="243">
        <f>SUM('P&amp;L'!E16:P16)</f>
        <v>0</v>
      </c>
      <c r="F16" s="243">
        <f>SUM('P&amp;L'!Q16:AB16)</f>
        <v>0</v>
      </c>
      <c r="G16" s="243">
        <f>SUM('P&amp;L'!AC16:AN16)</f>
        <v>0</v>
      </c>
      <c r="H16" s="243">
        <f>SUM('P&amp;L'!AO16:AZ16)</f>
        <v>0</v>
      </c>
      <c r="I16" s="91">
        <f>SUM('P&amp;L'!BA16:BL16)</f>
        <v>0</v>
      </c>
    </row>
    <row r="17" ht="15.75" customHeight="1">
      <c r="A17" s="30"/>
      <c r="B17" s="30"/>
      <c r="C17" s="216" t="s">
        <v>271</v>
      </c>
      <c r="D17" s="73" t="s">
        <v>272</v>
      </c>
      <c r="E17" s="244">
        <f>SUM('P&amp;L'!E17:P17)</f>
        <v>10497038.34</v>
      </c>
      <c r="F17" s="244">
        <f>SUM('P&amp;L'!Q17:AB17)</f>
        <v>72917224.12</v>
      </c>
      <c r="G17" s="244">
        <f>SUM('P&amp;L'!AC17:AN17)</f>
        <v>181992978.2</v>
      </c>
      <c r="H17" s="244">
        <f>SUM('P&amp;L'!AO17:AZ17)</f>
        <v>530879516.6</v>
      </c>
      <c r="I17" s="90">
        <f>SUM('P&amp;L'!BA17:BL17)</f>
        <v>741348028.2</v>
      </c>
    </row>
    <row r="18" ht="15.75" customHeight="1">
      <c r="A18" s="30"/>
      <c r="B18" s="30"/>
      <c r="C18" s="210" t="s">
        <v>273</v>
      </c>
      <c r="D18" s="75" t="s">
        <v>274</v>
      </c>
      <c r="E18" s="243">
        <f>E$17 * ASSUMPTIONS!$H$58</f>
        <v>2624259.584</v>
      </c>
      <c r="F18" s="243">
        <f>F$17 * ASSUMPTIONS!$H$58</f>
        <v>18229306.03</v>
      </c>
      <c r="G18" s="243">
        <f>G$17 * ASSUMPTIONS!$H$58</f>
        <v>45498244.56</v>
      </c>
      <c r="H18" s="243">
        <f>H$17 * ASSUMPTIONS!$H$58</f>
        <v>132719879.1</v>
      </c>
      <c r="I18" s="91">
        <f>I$17 * ASSUMPTIONS!$H$58</f>
        <v>185337007</v>
      </c>
    </row>
    <row r="19" ht="15.75" customHeight="1">
      <c r="A19" s="30"/>
      <c r="B19" s="30"/>
      <c r="C19" s="210" t="s">
        <v>275</v>
      </c>
      <c r="D19" s="226" t="s">
        <v>276</v>
      </c>
      <c r="E19" s="244">
        <f t="shared" ref="E19:I19" si="3">E17 - E18</f>
        <v>7872778.752</v>
      </c>
      <c r="F19" s="244">
        <f t="shared" si="3"/>
        <v>54687918.09</v>
      </c>
      <c r="G19" s="244">
        <f t="shared" si="3"/>
        <v>136494733.7</v>
      </c>
      <c r="H19" s="244">
        <f t="shared" si="3"/>
        <v>398159637.4</v>
      </c>
      <c r="I19" s="90">
        <f t="shared" si="3"/>
        <v>556011021.1</v>
      </c>
    </row>
    <row r="20" ht="15.75" customHeight="1">
      <c r="A20" s="30"/>
      <c r="B20" s="30"/>
      <c r="C20" s="227" t="s">
        <v>277</v>
      </c>
      <c r="D20" s="228" t="s">
        <v>278</v>
      </c>
      <c r="E20" s="245">
        <f t="shared" ref="E20:I20" si="4">E19 / E7</f>
        <v>0.04912960036</v>
      </c>
      <c r="F20" s="245">
        <f t="shared" si="4"/>
        <v>0.09215054516</v>
      </c>
      <c r="G20" s="245">
        <f t="shared" si="4"/>
        <v>0.1148664788</v>
      </c>
      <c r="H20" s="245">
        <f t="shared" si="4"/>
        <v>0.1431405618</v>
      </c>
      <c r="I20" s="246">
        <f t="shared" si="4"/>
        <v>0.1653111972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