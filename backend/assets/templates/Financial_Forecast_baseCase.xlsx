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0564F524-133E-D148-829F-4E98441240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VER" sheetId="1" r:id="rId1"/>
    <sheet name="ASSUMPTIONS" sheetId="2" r:id="rId2"/>
    <sheet name="FUNDING_REQUIREMENT" sheetId="3" r:id="rId3"/>
    <sheet name="SUBSCRIBER_FUNNEL" sheetId="4" r:id="rId4"/>
    <sheet name="REVENUE_ENGINE" sheetId="5" r:id="rId5"/>
    <sheet name="COGS_ENGINE" sheetId="6" r:id="rId6"/>
    <sheet name="HR_AND_OPEX" sheetId="7" r:id="rId7"/>
    <sheet name="CAPEX_AND_DEPRECIATION" sheetId="8" r:id="rId8"/>
    <sheet name="WORKING_CAPITAL" sheetId="9" r:id="rId9"/>
    <sheet name="MONTHLY_P_AND_L" sheetId="10" r:id="rId10"/>
    <sheet name="MONTHLY_CASH_FLOW" sheetId="11" r:id="rId11"/>
    <sheet name="QUARTERLY_SUMMARY" sheetId="12" r:id="rId12"/>
    <sheet name="YEARLY_SUMMARY" sheetId="13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" i="12" l="1"/>
  <c r="V45" i="12"/>
  <c r="V48" i="12"/>
  <c r="V50" i="12"/>
  <c r="V51" i="12"/>
  <c r="V52" i="12"/>
  <c r="V53" i="12"/>
  <c r="U42" i="12"/>
  <c r="U45" i="12"/>
  <c r="U48" i="12"/>
  <c r="U50" i="12"/>
  <c r="U51" i="12"/>
  <c r="U52" i="12"/>
  <c r="U53" i="12"/>
  <c r="T42" i="12"/>
  <c r="T45" i="12"/>
  <c r="T48" i="12"/>
  <c r="T50" i="12"/>
  <c r="T51" i="12"/>
  <c r="T52" i="12"/>
  <c r="T53" i="12"/>
  <c r="S42" i="12"/>
  <c r="S45" i="12"/>
  <c r="S48" i="12"/>
  <c r="S50" i="12"/>
  <c r="S51" i="12"/>
  <c r="S52" i="12"/>
  <c r="S53" i="12"/>
  <c r="R42" i="12"/>
  <c r="R45" i="12"/>
  <c r="R48" i="12"/>
  <c r="R50" i="12"/>
  <c r="R51" i="12"/>
  <c r="R52" i="12"/>
  <c r="R53" i="12"/>
  <c r="Q42" i="12"/>
  <c r="Q45" i="12"/>
  <c r="Q48" i="12"/>
  <c r="Q50" i="12"/>
  <c r="Q51" i="12"/>
  <c r="Q52" i="12"/>
  <c r="Q53" i="12"/>
  <c r="P42" i="12"/>
  <c r="P45" i="12"/>
  <c r="P48" i="12"/>
  <c r="P50" i="12"/>
  <c r="P51" i="12"/>
  <c r="P52" i="12"/>
  <c r="P53" i="12"/>
  <c r="O42" i="12"/>
  <c r="O45" i="12"/>
  <c r="O48" i="12"/>
  <c r="O50" i="12"/>
  <c r="O51" i="12"/>
  <c r="O52" i="12"/>
  <c r="O53" i="12"/>
  <c r="N42" i="12"/>
  <c r="N45" i="12"/>
  <c r="N48" i="12"/>
  <c r="N50" i="12"/>
  <c r="N51" i="12"/>
  <c r="N52" i="12"/>
  <c r="N53" i="12"/>
  <c r="M42" i="12"/>
  <c r="M45" i="12"/>
  <c r="M48" i="12"/>
  <c r="M50" i="12"/>
  <c r="M51" i="12"/>
  <c r="M52" i="12"/>
  <c r="M53" i="12"/>
  <c r="L42" i="12"/>
  <c r="L45" i="12"/>
  <c r="L48" i="12"/>
  <c r="L50" i="12"/>
  <c r="L51" i="12"/>
  <c r="L52" i="12"/>
  <c r="L53" i="12"/>
  <c r="K42" i="12"/>
  <c r="K45" i="12"/>
  <c r="K48" i="12"/>
  <c r="K50" i="12"/>
  <c r="K51" i="12"/>
  <c r="K52" i="12"/>
  <c r="K53" i="12"/>
  <c r="J42" i="12"/>
  <c r="J45" i="12"/>
  <c r="J48" i="12"/>
  <c r="J50" i="12"/>
  <c r="J51" i="12"/>
  <c r="J52" i="12"/>
  <c r="J53" i="12"/>
  <c r="I42" i="12"/>
  <c r="I45" i="12"/>
  <c r="I48" i="12"/>
  <c r="I50" i="12"/>
  <c r="I51" i="12"/>
  <c r="I52" i="12"/>
  <c r="I53" i="12"/>
  <c r="H42" i="12"/>
  <c r="H45" i="12"/>
  <c r="H48" i="12"/>
  <c r="H50" i="12"/>
  <c r="H51" i="12"/>
  <c r="H52" i="12"/>
  <c r="H53" i="12"/>
  <c r="G42" i="12"/>
  <c r="G45" i="12"/>
  <c r="G48" i="12"/>
  <c r="G50" i="12"/>
  <c r="G51" i="12"/>
  <c r="G52" i="12"/>
  <c r="G53" i="12"/>
  <c r="F42" i="12"/>
  <c r="F45" i="12"/>
  <c r="F48" i="12"/>
  <c r="F50" i="12"/>
  <c r="F51" i="12"/>
  <c r="F52" i="12"/>
  <c r="F53" i="12"/>
  <c r="E42" i="12"/>
  <c r="E45" i="12"/>
  <c r="E48" i="12"/>
  <c r="E50" i="12"/>
  <c r="E51" i="12"/>
  <c r="E52" i="12"/>
  <c r="E53" i="12"/>
  <c r="D42" i="12"/>
  <c r="D45" i="12"/>
  <c r="D48" i="12"/>
  <c r="D50" i="12"/>
  <c r="D51" i="12"/>
  <c r="D52" i="12"/>
  <c r="D53" i="12"/>
  <c r="C42" i="12"/>
  <c r="C45" i="12"/>
  <c r="C48" i="12"/>
  <c r="C50" i="12"/>
  <c r="C51" i="12"/>
  <c r="C52" i="12"/>
  <c r="C53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V25" i="12"/>
  <c r="V28" i="12"/>
  <c r="V31" i="12"/>
  <c r="V33" i="12"/>
  <c r="V34" i="12"/>
  <c r="V35" i="12"/>
  <c r="V36" i="12"/>
  <c r="U25" i="12"/>
  <c r="U28" i="12"/>
  <c r="U31" i="12"/>
  <c r="U33" i="12"/>
  <c r="U34" i="12"/>
  <c r="U35" i="12"/>
  <c r="U36" i="12"/>
  <c r="T25" i="12"/>
  <c r="T28" i="12"/>
  <c r="T31" i="12"/>
  <c r="T33" i="12"/>
  <c r="T34" i="12"/>
  <c r="T35" i="12"/>
  <c r="T36" i="12"/>
  <c r="S25" i="12"/>
  <c r="S28" i="12"/>
  <c r="S31" i="12"/>
  <c r="S33" i="12"/>
  <c r="S34" i="12"/>
  <c r="S35" i="12"/>
  <c r="S36" i="12"/>
  <c r="R25" i="12"/>
  <c r="R28" i="12"/>
  <c r="R31" i="12"/>
  <c r="R33" i="12"/>
  <c r="R34" i="12"/>
  <c r="R35" i="12"/>
  <c r="R36" i="12"/>
  <c r="Q25" i="12"/>
  <c r="Q28" i="12"/>
  <c r="Q31" i="12"/>
  <c r="Q33" i="12"/>
  <c r="Q34" i="12"/>
  <c r="Q35" i="12"/>
  <c r="Q36" i="12"/>
  <c r="P25" i="12"/>
  <c r="P28" i="12"/>
  <c r="P31" i="12"/>
  <c r="P33" i="12"/>
  <c r="P34" i="12"/>
  <c r="P35" i="12"/>
  <c r="P36" i="12"/>
  <c r="O25" i="12"/>
  <c r="O28" i="12"/>
  <c r="O31" i="12"/>
  <c r="O33" i="12"/>
  <c r="O34" i="12"/>
  <c r="O35" i="12"/>
  <c r="O36" i="12"/>
  <c r="N25" i="12"/>
  <c r="N28" i="12"/>
  <c r="N31" i="12"/>
  <c r="N33" i="12"/>
  <c r="N34" i="12"/>
  <c r="N35" i="12"/>
  <c r="N36" i="12"/>
  <c r="M25" i="12"/>
  <c r="M28" i="12"/>
  <c r="M31" i="12"/>
  <c r="M33" i="12"/>
  <c r="M34" i="12"/>
  <c r="M35" i="12"/>
  <c r="M36" i="12"/>
  <c r="L25" i="12"/>
  <c r="L28" i="12"/>
  <c r="L31" i="12"/>
  <c r="L33" i="12"/>
  <c r="L34" i="12"/>
  <c r="L35" i="12"/>
  <c r="L36" i="12"/>
  <c r="K25" i="12"/>
  <c r="K28" i="12"/>
  <c r="K31" i="12"/>
  <c r="K33" i="12"/>
  <c r="K34" i="12"/>
  <c r="K35" i="12"/>
  <c r="K36" i="12"/>
  <c r="J25" i="12"/>
  <c r="J28" i="12"/>
  <c r="J31" i="12"/>
  <c r="J33" i="12"/>
  <c r="J34" i="12"/>
  <c r="J35" i="12"/>
  <c r="J36" i="12"/>
  <c r="I25" i="12"/>
  <c r="I28" i="12"/>
  <c r="I31" i="12"/>
  <c r="I33" i="12"/>
  <c r="I34" i="12"/>
  <c r="I35" i="12"/>
  <c r="I36" i="12"/>
  <c r="H25" i="12"/>
  <c r="H28" i="12"/>
  <c r="H31" i="12"/>
  <c r="H33" i="12"/>
  <c r="H34" i="12"/>
  <c r="H35" i="12"/>
  <c r="H36" i="12"/>
  <c r="G25" i="12"/>
  <c r="G28" i="12"/>
  <c r="G31" i="12"/>
  <c r="G33" i="12"/>
  <c r="G34" i="12"/>
  <c r="G35" i="12"/>
  <c r="G36" i="12"/>
  <c r="F25" i="12"/>
  <c r="F28" i="12"/>
  <c r="F31" i="12"/>
  <c r="F33" i="12"/>
  <c r="F34" i="12"/>
  <c r="F35" i="12"/>
  <c r="F36" i="12"/>
  <c r="E25" i="12"/>
  <c r="E28" i="12"/>
  <c r="E31" i="12"/>
  <c r="E33" i="12"/>
  <c r="E34" i="12"/>
  <c r="E35" i="12"/>
  <c r="E36" i="12"/>
  <c r="D25" i="12"/>
  <c r="D28" i="12"/>
  <c r="D31" i="12"/>
  <c r="D33" i="12"/>
  <c r="D34" i="12"/>
  <c r="D35" i="12"/>
  <c r="D36" i="12"/>
  <c r="C25" i="12"/>
  <c r="C28" i="12"/>
  <c r="C31" i="12"/>
  <c r="C33" i="12"/>
  <c r="C34" i="12"/>
  <c r="C35" i="12"/>
  <c r="C36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V8" i="12"/>
  <c r="V11" i="12"/>
  <c r="V14" i="12"/>
  <c r="V16" i="12"/>
  <c r="V17" i="12"/>
  <c r="V18" i="12"/>
  <c r="V19" i="12"/>
  <c r="U8" i="12"/>
  <c r="U11" i="12"/>
  <c r="U14" i="12"/>
  <c r="U16" i="12"/>
  <c r="U17" i="12"/>
  <c r="U18" i="12"/>
  <c r="U19" i="12"/>
  <c r="T8" i="12"/>
  <c r="T11" i="12"/>
  <c r="T14" i="12"/>
  <c r="T16" i="12"/>
  <c r="T17" i="12"/>
  <c r="T18" i="12"/>
  <c r="T19" i="12"/>
  <c r="S8" i="12"/>
  <c r="S11" i="12"/>
  <c r="S14" i="12"/>
  <c r="S16" i="12"/>
  <c r="S17" i="12"/>
  <c r="S18" i="12"/>
  <c r="S19" i="12"/>
  <c r="R8" i="12"/>
  <c r="R11" i="12"/>
  <c r="R14" i="12"/>
  <c r="R16" i="12"/>
  <c r="R17" i="12"/>
  <c r="R18" i="12"/>
  <c r="R19" i="12"/>
  <c r="Q8" i="12"/>
  <c r="Q11" i="12"/>
  <c r="Q14" i="12"/>
  <c r="Q16" i="12"/>
  <c r="Q17" i="12"/>
  <c r="Q18" i="12"/>
  <c r="Q19" i="12"/>
  <c r="P8" i="12"/>
  <c r="P11" i="12"/>
  <c r="P14" i="12"/>
  <c r="P16" i="12"/>
  <c r="P17" i="12"/>
  <c r="P18" i="12"/>
  <c r="P19" i="12"/>
  <c r="O8" i="12"/>
  <c r="O11" i="12"/>
  <c r="O14" i="12"/>
  <c r="O16" i="12"/>
  <c r="O17" i="12"/>
  <c r="O18" i="12"/>
  <c r="O19" i="12"/>
  <c r="N8" i="12"/>
  <c r="N11" i="12"/>
  <c r="N14" i="12"/>
  <c r="N16" i="12"/>
  <c r="N17" i="12"/>
  <c r="N18" i="12"/>
  <c r="N19" i="12"/>
  <c r="M8" i="12"/>
  <c r="M11" i="12"/>
  <c r="M14" i="12"/>
  <c r="M16" i="12"/>
  <c r="M17" i="12"/>
  <c r="M18" i="12"/>
  <c r="M19" i="12"/>
  <c r="L8" i="12"/>
  <c r="L11" i="12"/>
  <c r="L14" i="12"/>
  <c r="L16" i="12"/>
  <c r="L17" i="12"/>
  <c r="L18" i="12"/>
  <c r="L19" i="12"/>
  <c r="K8" i="12"/>
  <c r="K11" i="12"/>
  <c r="K14" i="12"/>
  <c r="K16" i="12"/>
  <c r="K17" i="12"/>
  <c r="K18" i="12"/>
  <c r="K19" i="12"/>
  <c r="J8" i="12"/>
  <c r="J11" i="12"/>
  <c r="J14" i="12"/>
  <c r="J16" i="12"/>
  <c r="J17" i="12"/>
  <c r="J18" i="12"/>
  <c r="J19" i="12"/>
  <c r="I8" i="12"/>
  <c r="I11" i="12"/>
  <c r="I14" i="12"/>
  <c r="I16" i="12"/>
  <c r="I17" i="12"/>
  <c r="I18" i="12"/>
  <c r="I19" i="12"/>
  <c r="H8" i="12"/>
  <c r="H11" i="12"/>
  <c r="H14" i="12"/>
  <c r="H16" i="12"/>
  <c r="H17" i="12"/>
  <c r="H18" i="12"/>
  <c r="H19" i="12"/>
  <c r="G8" i="12"/>
  <c r="G11" i="12"/>
  <c r="G14" i="12"/>
  <c r="G16" i="12"/>
  <c r="G17" i="12"/>
  <c r="G18" i="12"/>
  <c r="G19" i="12"/>
  <c r="F8" i="12"/>
  <c r="F11" i="12"/>
  <c r="F14" i="12"/>
  <c r="F16" i="12"/>
  <c r="F17" i="12"/>
  <c r="F18" i="12"/>
  <c r="F19" i="12"/>
  <c r="E8" i="12"/>
  <c r="E11" i="12"/>
  <c r="E14" i="12"/>
  <c r="E16" i="12"/>
  <c r="E17" i="12"/>
  <c r="E18" i="12"/>
  <c r="E19" i="12"/>
  <c r="D8" i="12"/>
  <c r="D11" i="12"/>
  <c r="D14" i="12"/>
  <c r="D16" i="12"/>
  <c r="D17" i="12"/>
  <c r="D18" i="12"/>
  <c r="D19" i="12"/>
  <c r="C8" i="12"/>
  <c r="C11" i="12"/>
  <c r="C14" i="12"/>
  <c r="C16" i="12"/>
  <c r="C17" i="12"/>
  <c r="C18" i="12"/>
  <c r="C19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C6" i="4"/>
  <c r="C7" i="4"/>
  <c r="C8" i="4"/>
  <c r="C6" i="5"/>
  <c r="C5" i="10"/>
  <c r="C5" i="6"/>
  <c r="C6" i="6"/>
  <c r="C7" i="6"/>
  <c r="C6" i="10"/>
  <c r="C7" i="10"/>
  <c r="C5" i="7"/>
  <c r="C6" i="7"/>
  <c r="C7" i="7"/>
  <c r="C8" i="7"/>
  <c r="C9" i="7"/>
  <c r="C10" i="7"/>
  <c r="C8" i="10"/>
  <c r="C9" i="10"/>
  <c r="C6" i="8"/>
  <c r="C7" i="8"/>
  <c r="C10" i="10"/>
  <c r="C11" i="10"/>
  <c r="C12" i="10"/>
  <c r="C13" i="10"/>
  <c r="C14" i="10"/>
  <c r="C15" i="10"/>
  <c r="C5" i="11"/>
  <c r="C6" i="11"/>
  <c r="C5" i="9"/>
  <c r="C6" i="9"/>
  <c r="C7" i="9"/>
  <c r="C8" i="9"/>
  <c r="C7" i="11"/>
  <c r="C8" i="11"/>
  <c r="C9" i="11"/>
  <c r="C10" i="11"/>
  <c r="C9" i="3"/>
  <c r="C11" i="11"/>
  <c r="C12" i="11"/>
  <c r="C13" i="11"/>
  <c r="C14" i="11"/>
  <c r="D5" i="4"/>
  <c r="D6" i="4"/>
  <c r="D7" i="4"/>
  <c r="D8" i="4"/>
  <c r="D6" i="5"/>
  <c r="D5" i="10"/>
  <c r="D5" i="6"/>
  <c r="D6" i="6"/>
  <c r="D7" i="6"/>
  <c r="D6" i="10"/>
  <c r="D7" i="10"/>
  <c r="D5" i="7"/>
  <c r="D6" i="7"/>
  <c r="D7" i="7"/>
  <c r="D8" i="7"/>
  <c r="D9" i="7"/>
  <c r="D10" i="7"/>
  <c r="D8" i="10"/>
  <c r="D9" i="10"/>
  <c r="C8" i="8"/>
  <c r="D5" i="8"/>
  <c r="D7" i="8"/>
  <c r="D10" i="10"/>
  <c r="D11" i="10"/>
  <c r="D12" i="10"/>
  <c r="D13" i="10"/>
  <c r="D14" i="10"/>
  <c r="D15" i="10"/>
  <c r="D5" i="11"/>
  <c r="D6" i="11"/>
  <c r="D5" i="9"/>
  <c r="D6" i="9"/>
  <c r="D7" i="9"/>
  <c r="D8" i="9"/>
  <c r="D7" i="11"/>
  <c r="D8" i="11"/>
  <c r="D9" i="11"/>
  <c r="D10" i="11"/>
  <c r="D12" i="11"/>
  <c r="D13" i="11"/>
  <c r="D14" i="11"/>
  <c r="E5" i="4"/>
  <c r="E6" i="4"/>
  <c r="E7" i="4"/>
  <c r="E8" i="4"/>
  <c r="E6" i="5"/>
  <c r="E5" i="10"/>
  <c r="E5" i="6"/>
  <c r="E6" i="6"/>
  <c r="E7" i="6"/>
  <c r="E6" i="10"/>
  <c r="E7" i="10"/>
  <c r="E5" i="7"/>
  <c r="E6" i="7"/>
  <c r="E7" i="7"/>
  <c r="E8" i="7"/>
  <c r="E9" i="7"/>
  <c r="E10" i="7"/>
  <c r="E8" i="10"/>
  <c r="E9" i="10"/>
  <c r="D8" i="8"/>
  <c r="E5" i="8"/>
  <c r="E7" i="8"/>
  <c r="E10" i="10"/>
  <c r="E11" i="10"/>
  <c r="E12" i="10"/>
  <c r="E13" i="10"/>
  <c r="E14" i="10"/>
  <c r="E15" i="10"/>
  <c r="E5" i="11"/>
  <c r="E6" i="11"/>
  <c r="E5" i="9"/>
  <c r="E6" i="9"/>
  <c r="E7" i="9"/>
  <c r="E8" i="9"/>
  <c r="E7" i="11"/>
  <c r="E8" i="11"/>
  <c r="E9" i="11"/>
  <c r="E10" i="11"/>
  <c r="E12" i="11"/>
  <c r="E13" i="11"/>
  <c r="E14" i="11"/>
  <c r="F5" i="4"/>
  <c r="F6" i="4"/>
  <c r="F7" i="4"/>
  <c r="F8" i="4"/>
  <c r="F6" i="5"/>
  <c r="F5" i="10"/>
  <c r="F5" i="6"/>
  <c r="F6" i="6"/>
  <c r="F7" i="6"/>
  <c r="F6" i="10"/>
  <c r="F7" i="10"/>
  <c r="F5" i="7"/>
  <c r="F6" i="7"/>
  <c r="F7" i="7"/>
  <c r="F8" i="7"/>
  <c r="F9" i="7"/>
  <c r="F10" i="7"/>
  <c r="F8" i="10"/>
  <c r="F9" i="10"/>
  <c r="E8" i="8"/>
  <c r="F5" i="8"/>
  <c r="F7" i="8"/>
  <c r="F10" i="10"/>
  <c r="F11" i="10"/>
  <c r="F12" i="10"/>
  <c r="F13" i="10"/>
  <c r="F14" i="10"/>
  <c r="F15" i="10"/>
  <c r="F5" i="11"/>
  <c r="F6" i="11"/>
  <c r="F5" i="9"/>
  <c r="F6" i="9"/>
  <c r="F7" i="9"/>
  <c r="F8" i="9"/>
  <c r="F7" i="11"/>
  <c r="F8" i="11"/>
  <c r="F9" i="11"/>
  <c r="F10" i="11"/>
  <c r="F12" i="11"/>
  <c r="F13" i="11"/>
  <c r="F14" i="11"/>
  <c r="G5" i="4"/>
  <c r="G6" i="4"/>
  <c r="G7" i="4"/>
  <c r="G8" i="4"/>
  <c r="G6" i="5"/>
  <c r="G5" i="10"/>
  <c r="G5" i="6"/>
  <c r="G6" i="6"/>
  <c r="G7" i="6"/>
  <c r="G6" i="10"/>
  <c r="G7" i="10"/>
  <c r="G5" i="7"/>
  <c r="G6" i="7"/>
  <c r="G7" i="7"/>
  <c r="G8" i="7"/>
  <c r="G9" i="7"/>
  <c r="G10" i="7"/>
  <c r="G8" i="10"/>
  <c r="G9" i="10"/>
  <c r="F8" i="8"/>
  <c r="G5" i="8"/>
  <c r="G7" i="8"/>
  <c r="G10" i="10"/>
  <c r="G11" i="10"/>
  <c r="G12" i="10"/>
  <c r="G13" i="10"/>
  <c r="G14" i="10"/>
  <c r="G15" i="10"/>
  <c r="G5" i="11"/>
  <c r="G6" i="11"/>
  <c r="G5" i="9"/>
  <c r="G6" i="9"/>
  <c r="G7" i="9"/>
  <c r="G8" i="9"/>
  <c r="G7" i="11"/>
  <c r="G8" i="11"/>
  <c r="G9" i="11"/>
  <c r="G10" i="11"/>
  <c r="G12" i="11"/>
  <c r="G13" i="11"/>
  <c r="G14" i="11"/>
  <c r="H5" i="4"/>
  <c r="H6" i="4"/>
  <c r="H7" i="4"/>
  <c r="H8" i="4"/>
  <c r="H6" i="5"/>
  <c r="H5" i="10"/>
  <c r="H5" i="6"/>
  <c r="H6" i="6"/>
  <c r="H7" i="6"/>
  <c r="H6" i="10"/>
  <c r="H7" i="10"/>
  <c r="H5" i="7"/>
  <c r="H6" i="7"/>
  <c r="H7" i="7"/>
  <c r="H8" i="7"/>
  <c r="H9" i="7"/>
  <c r="H10" i="7"/>
  <c r="H8" i="10"/>
  <c r="H9" i="10"/>
  <c r="G8" i="8"/>
  <c r="H5" i="8"/>
  <c r="H7" i="8"/>
  <c r="H10" i="10"/>
  <c r="H11" i="10"/>
  <c r="H12" i="10"/>
  <c r="H13" i="10"/>
  <c r="H14" i="10"/>
  <c r="H15" i="10"/>
  <c r="H5" i="11"/>
  <c r="H6" i="11"/>
  <c r="H5" i="9"/>
  <c r="H6" i="9"/>
  <c r="H7" i="9"/>
  <c r="H8" i="9"/>
  <c r="H7" i="11"/>
  <c r="H8" i="11"/>
  <c r="H9" i="11"/>
  <c r="H10" i="11"/>
  <c r="H12" i="11"/>
  <c r="H13" i="11"/>
  <c r="H14" i="11"/>
  <c r="I5" i="4"/>
  <c r="I6" i="4"/>
  <c r="I7" i="4"/>
  <c r="I8" i="4"/>
  <c r="I6" i="5"/>
  <c r="I5" i="10"/>
  <c r="I5" i="6"/>
  <c r="I6" i="6"/>
  <c r="I7" i="6"/>
  <c r="I6" i="10"/>
  <c r="I7" i="10"/>
  <c r="I5" i="7"/>
  <c r="I6" i="7"/>
  <c r="I7" i="7"/>
  <c r="I8" i="7"/>
  <c r="I9" i="7"/>
  <c r="I10" i="7"/>
  <c r="I8" i="10"/>
  <c r="I9" i="10"/>
  <c r="H8" i="8"/>
  <c r="I5" i="8"/>
  <c r="I7" i="8"/>
  <c r="I10" i="10"/>
  <c r="I11" i="10"/>
  <c r="I12" i="10"/>
  <c r="I13" i="10"/>
  <c r="I14" i="10"/>
  <c r="I15" i="10"/>
  <c r="I5" i="11"/>
  <c r="I6" i="11"/>
  <c r="I5" i="9"/>
  <c r="I6" i="9"/>
  <c r="I7" i="9"/>
  <c r="I8" i="9"/>
  <c r="I7" i="11"/>
  <c r="I8" i="11"/>
  <c r="I9" i="11"/>
  <c r="I10" i="11"/>
  <c r="I12" i="11"/>
  <c r="I13" i="11"/>
  <c r="I14" i="11"/>
  <c r="J5" i="4"/>
  <c r="J6" i="4"/>
  <c r="J7" i="4"/>
  <c r="J8" i="4"/>
  <c r="J6" i="5"/>
  <c r="J5" i="10"/>
  <c r="J5" i="6"/>
  <c r="J6" i="6"/>
  <c r="J7" i="6"/>
  <c r="J6" i="10"/>
  <c r="J7" i="10"/>
  <c r="J5" i="7"/>
  <c r="J6" i="7"/>
  <c r="J7" i="7"/>
  <c r="J8" i="7"/>
  <c r="J9" i="7"/>
  <c r="J10" i="7"/>
  <c r="J8" i="10"/>
  <c r="J9" i="10"/>
  <c r="I8" i="8"/>
  <c r="J5" i="8"/>
  <c r="J7" i="8"/>
  <c r="J10" i="10"/>
  <c r="J11" i="10"/>
  <c r="J12" i="10"/>
  <c r="J13" i="10"/>
  <c r="J14" i="10"/>
  <c r="J15" i="10"/>
  <c r="J5" i="11"/>
  <c r="J6" i="11"/>
  <c r="J5" i="9"/>
  <c r="J6" i="9"/>
  <c r="J7" i="9"/>
  <c r="J8" i="9"/>
  <c r="J7" i="11"/>
  <c r="J8" i="11"/>
  <c r="J9" i="11"/>
  <c r="J10" i="11"/>
  <c r="J12" i="11"/>
  <c r="J13" i="11"/>
  <c r="J14" i="11"/>
  <c r="K5" i="4"/>
  <c r="K6" i="4"/>
  <c r="K7" i="4"/>
  <c r="K8" i="4"/>
  <c r="K6" i="5"/>
  <c r="K5" i="10"/>
  <c r="K5" i="6"/>
  <c r="K6" i="6"/>
  <c r="K7" i="6"/>
  <c r="K6" i="10"/>
  <c r="K7" i="10"/>
  <c r="K5" i="7"/>
  <c r="K6" i="7"/>
  <c r="K7" i="7"/>
  <c r="K8" i="7"/>
  <c r="K9" i="7"/>
  <c r="K10" i="7"/>
  <c r="K8" i="10"/>
  <c r="K9" i="10"/>
  <c r="J8" i="8"/>
  <c r="K5" i="8"/>
  <c r="K7" i="8"/>
  <c r="K10" i="10"/>
  <c r="K11" i="10"/>
  <c r="K12" i="10"/>
  <c r="K13" i="10"/>
  <c r="K14" i="10"/>
  <c r="K15" i="10"/>
  <c r="K5" i="11"/>
  <c r="K6" i="11"/>
  <c r="K5" i="9"/>
  <c r="K6" i="9"/>
  <c r="K7" i="9"/>
  <c r="K8" i="9"/>
  <c r="K7" i="11"/>
  <c r="K8" i="11"/>
  <c r="K9" i="11"/>
  <c r="K10" i="11"/>
  <c r="K12" i="11"/>
  <c r="K13" i="11"/>
  <c r="K14" i="11"/>
  <c r="L5" i="4"/>
  <c r="L6" i="4"/>
  <c r="L7" i="4"/>
  <c r="L8" i="4"/>
  <c r="L6" i="5"/>
  <c r="L5" i="10"/>
  <c r="L5" i="6"/>
  <c r="L6" i="6"/>
  <c r="L7" i="6"/>
  <c r="L6" i="10"/>
  <c r="L7" i="10"/>
  <c r="L5" i="7"/>
  <c r="L6" i="7"/>
  <c r="L7" i="7"/>
  <c r="L8" i="7"/>
  <c r="L9" i="7"/>
  <c r="L10" i="7"/>
  <c r="L8" i="10"/>
  <c r="L9" i="10"/>
  <c r="K8" i="8"/>
  <c r="L5" i="8"/>
  <c r="L7" i="8"/>
  <c r="L10" i="10"/>
  <c r="L11" i="10"/>
  <c r="L12" i="10"/>
  <c r="L13" i="10"/>
  <c r="L14" i="10"/>
  <c r="L15" i="10"/>
  <c r="L5" i="11"/>
  <c r="L6" i="11"/>
  <c r="L5" i="9"/>
  <c r="L6" i="9"/>
  <c r="L7" i="9"/>
  <c r="L8" i="9"/>
  <c r="L7" i="11"/>
  <c r="L8" i="11"/>
  <c r="L9" i="11"/>
  <c r="L10" i="11"/>
  <c r="L12" i="11"/>
  <c r="L13" i="11"/>
  <c r="L14" i="11"/>
  <c r="M5" i="4"/>
  <c r="M6" i="4"/>
  <c r="M7" i="4"/>
  <c r="M8" i="4"/>
  <c r="M6" i="5"/>
  <c r="M5" i="10"/>
  <c r="M5" i="6"/>
  <c r="M6" i="6"/>
  <c r="M7" i="6"/>
  <c r="M6" i="10"/>
  <c r="M7" i="10"/>
  <c r="M5" i="7"/>
  <c r="M6" i="7"/>
  <c r="M7" i="7"/>
  <c r="M8" i="7"/>
  <c r="M9" i="7"/>
  <c r="M10" i="7"/>
  <c r="M8" i="10"/>
  <c r="M9" i="10"/>
  <c r="L8" i="8"/>
  <c r="M5" i="8"/>
  <c r="M7" i="8"/>
  <c r="M10" i="10"/>
  <c r="M11" i="10"/>
  <c r="M12" i="10"/>
  <c r="M13" i="10"/>
  <c r="M14" i="10"/>
  <c r="M15" i="10"/>
  <c r="M5" i="11"/>
  <c r="M6" i="11"/>
  <c r="M5" i="9"/>
  <c r="M6" i="9"/>
  <c r="M7" i="9"/>
  <c r="M8" i="9"/>
  <c r="M7" i="11"/>
  <c r="M8" i="11"/>
  <c r="M9" i="11"/>
  <c r="M10" i="11"/>
  <c r="M12" i="11"/>
  <c r="M13" i="11"/>
  <c r="M14" i="11"/>
  <c r="N5" i="4"/>
  <c r="N6" i="4"/>
  <c r="N7" i="4"/>
  <c r="N8" i="4"/>
  <c r="N6" i="5"/>
  <c r="N5" i="10"/>
  <c r="N5" i="6"/>
  <c r="N6" i="6"/>
  <c r="N7" i="6"/>
  <c r="N6" i="10"/>
  <c r="N7" i="10"/>
  <c r="N5" i="7"/>
  <c r="N6" i="7"/>
  <c r="N7" i="7"/>
  <c r="N8" i="7"/>
  <c r="N9" i="7"/>
  <c r="N10" i="7"/>
  <c r="N8" i="10"/>
  <c r="N9" i="10"/>
  <c r="M8" i="8"/>
  <c r="N5" i="8"/>
  <c r="N7" i="8"/>
  <c r="N10" i="10"/>
  <c r="N11" i="10"/>
  <c r="N12" i="10"/>
  <c r="N13" i="10"/>
  <c r="N14" i="10"/>
  <c r="N15" i="10"/>
  <c r="N5" i="11"/>
  <c r="N6" i="11"/>
  <c r="N5" i="9"/>
  <c r="N6" i="9"/>
  <c r="N7" i="9"/>
  <c r="N8" i="9"/>
  <c r="N7" i="11"/>
  <c r="N8" i="11"/>
  <c r="N9" i="11"/>
  <c r="N10" i="11"/>
  <c r="N12" i="11"/>
  <c r="N13" i="11"/>
  <c r="N14" i="11"/>
  <c r="O5" i="4"/>
  <c r="O6" i="4"/>
  <c r="O7" i="4"/>
  <c r="O8" i="4"/>
  <c r="O6" i="5"/>
  <c r="O5" i="10"/>
  <c r="O5" i="6"/>
  <c r="O6" i="6"/>
  <c r="O7" i="6"/>
  <c r="O6" i="10"/>
  <c r="O7" i="10"/>
  <c r="O5" i="7"/>
  <c r="O6" i="7"/>
  <c r="O7" i="7"/>
  <c r="O8" i="7"/>
  <c r="O9" i="7"/>
  <c r="O10" i="7"/>
  <c r="O8" i="10"/>
  <c r="O9" i="10"/>
  <c r="N8" i="8"/>
  <c r="O5" i="8"/>
  <c r="O7" i="8"/>
  <c r="O10" i="10"/>
  <c r="O11" i="10"/>
  <c r="O12" i="10"/>
  <c r="O13" i="10"/>
  <c r="O14" i="10"/>
  <c r="O15" i="10"/>
  <c r="O5" i="11"/>
  <c r="O6" i="11"/>
  <c r="O5" i="9"/>
  <c r="O6" i="9"/>
  <c r="O7" i="9"/>
  <c r="O8" i="9"/>
  <c r="O7" i="11"/>
  <c r="O8" i="11"/>
  <c r="O9" i="11"/>
  <c r="O10" i="11"/>
  <c r="O12" i="11"/>
  <c r="O13" i="11"/>
  <c r="O14" i="11"/>
  <c r="P5" i="4"/>
  <c r="P6" i="4"/>
  <c r="P7" i="4"/>
  <c r="P8" i="4"/>
  <c r="P6" i="5"/>
  <c r="P5" i="10"/>
  <c r="P5" i="6"/>
  <c r="P6" i="6"/>
  <c r="P7" i="6"/>
  <c r="P6" i="10"/>
  <c r="P7" i="10"/>
  <c r="P5" i="7"/>
  <c r="P6" i="7"/>
  <c r="P7" i="7"/>
  <c r="P8" i="7"/>
  <c r="P9" i="7"/>
  <c r="P10" i="7"/>
  <c r="P8" i="10"/>
  <c r="P9" i="10"/>
  <c r="O8" i="8"/>
  <c r="P5" i="8"/>
  <c r="P7" i="8"/>
  <c r="P10" i="10"/>
  <c r="P11" i="10"/>
  <c r="P12" i="10"/>
  <c r="P13" i="10"/>
  <c r="P14" i="10"/>
  <c r="P15" i="10"/>
  <c r="P5" i="11"/>
  <c r="P6" i="11"/>
  <c r="P5" i="9"/>
  <c r="P6" i="9"/>
  <c r="P7" i="9"/>
  <c r="P8" i="9"/>
  <c r="P7" i="11"/>
  <c r="P8" i="11"/>
  <c r="P9" i="11"/>
  <c r="P10" i="11"/>
  <c r="P12" i="11"/>
  <c r="P13" i="11"/>
  <c r="P14" i="11"/>
  <c r="Q5" i="4"/>
  <c r="Q6" i="4"/>
  <c r="Q7" i="4"/>
  <c r="Q8" i="4"/>
  <c r="Q6" i="5"/>
  <c r="Q5" i="10"/>
  <c r="Q5" i="6"/>
  <c r="Q6" i="6"/>
  <c r="Q7" i="6"/>
  <c r="Q6" i="10"/>
  <c r="Q7" i="10"/>
  <c r="Q5" i="7"/>
  <c r="Q6" i="7"/>
  <c r="Q7" i="7"/>
  <c r="Q8" i="7"/>
  <c r="Q9" i="7"/>
  <c r="Q10" i="7"/>
  <c r="Q8" i="10"/>
  <c r="Q9" i="10"/>
  <c r="P8" i="8"/>
  <c r="Q5" i="8"/>
  <c r="Q7" i="8"/>
  <c r="Q10" i="10"/>
  <c r="Q11" i="10"/>
  <c r="Q12" i="10"/>
  <c r="Q13" i="10"/>
  <c r="Q14" i="10"/>
  <c r="Q15" i="10"/>
  <c r="Q5" i="11"/>
  <c r="Q6" i="11"/>
  <c r="Q5" i="9"/>
  <c r="Q6" i="9"/>
  <c r="Q7" i="9"/>
  <c r="Q8" i="9"/>
  <c r="Q7" i="11"/>
  <c r="Q8" i="11"/>
  <c r="Q9" i="11"/>
  <c r="Q10" i="11"/>
  <c r="Q12" i="11"/>
  <c r="Q13" i="11"/>
  <c r="Q14" i="11"/>
  <c r="R5" i="4"/>
  <c r="R6" i="4"/>
  <c r="R7" i="4"/>
  <c r="R8" i="4"/>
  <c r="R6" i="5"/>
  <c r="R5" i="10"/>
  <c r="R5" i="6"/>
  <c r="R6" i="6"/>
  <c r="R7" i="6"/>
  <c r="R6" i="10"/>
  <c r="R7" i="10"/>
  <c r="R5" i="7"/>
  <c r="R6" i="7"/>
  <c r="R7" i="7"/>
  <c r="R8" i="7"/>
  <c r="R9" i="7"/>
  <c r="R10" i="7"/>
  <c r="R8" i="10"/>
  <c r="R9" i="10"/>
  <c r="Q8" i="8"/>
  <c r="R5" i="8"/>
  <c r="R7" i="8"/>
  <c r="R10" i="10"/>
  <c r="R11" i="10"/>
  <c r="R12" i="10"/>
  <c r="R13" i="10"/>
  <c r="R14" i="10"/>
  <c r="R15" i="10"/>
  <c r="R5" i="11"/>
  <c r="R6" i="11"/>
  <c r="R5" i="9"/>
  <c r="R6" i="9"/>
  <c r="R7" i="9"/>
  <c r="R8" i="9"/>
  <c r="R7" i="11"/>
  <c r="R8" i="11"/>
  <c r="R9" i="11"/>
  <c r="R10" i="11"/>
  <c r="R12" i="11"/>
  <c r="R13" i="11"/>
  <c r="R14" i="11"/>
  <c r="S5" i="4"/>
  <c r="S6" i="4"/>
  <c r="S7" i="4"/>
  <c r="S8" i="4"/>
  <c r="S6" i="5"/>
  <c r="S5" i="10"/>
  <c r="S5" i="6"/>
  <c r="S6" i="6"/>
  <c r="S7" i="6"/>
  <c r="S6" i="10"/>
  <c r="S7" i="10"/>
  <c r="S5" i="7"/>
  <c r="S6" i="7"/>
  <c r="S7" i="7"/>
  <c r="S8" i="7"/>
  <c r="S9" i="7"/>
  <c r="S10" i="7"/>
  <c r="S8" i="10"/>
  <c r="S9" i="10"/>
  <c r="R8" i="8"/>
  <c r="S5" i="8"/>
  <c r="S7" i="8"/>
  <c r="S10" i="10"/>
  <c r="S11" i="10"/>
  <c r="S12" i="10"/>
  <c r="S13" i="10"/>
  <c r="S14" i="10"/>
  <c r="S15" i="10"/>
  <c r="S5" i="11"/>
  <c r="S6" i="11"/>
  <c r="S5" i="9"/>
  <c r="S6" i="9"/>
  <c r="S7" i="9"/>
  <c r="S8" i="9"/>
  <c r="S7" i="11"/>
  <c r="S8" i="11"/>
  <c r="S9" i="11"/>
  <c r="S10" i="11"/>
  <c r="S12" i="11"/>
  <c r="S13" i="11"/>
  <c r="S14" i="11"/>
  <c r="T5" i="4"/>
  <c r="T6" i="4"/>
  <c r="T7" i="4"/>
  <c r="T8" i="4"/>
  <c r="T6" i="5"/>
  <c r="T5" i="10"/>
  <c r="T5" i="6"/>
  <c r="T6" i="6"/>
  <c r="T7" i="6"/>
  <c r="T6" i="10"/>
  <c r="T7" i="10"/>
  <c r="T5" i="7"/>
  <c r="T6" i="7"/>
  <c r="T7" i="7"/>
  <c r="T8" i="7"/>
  <c r="T9" i="7"/>
  <c r="T10" i="7"/>
  <c r="T8" i="10"/>
  <c r="T9" i="10"/>
  <c r="S8" i="8"/>
  <c r="T5" i="8"/>
  <c r="T7" i="8"/>
  <c r="T10" i="10"/>
  <c r="T11" i="10"/>
  <c r="T12" i="10"/>
  <c r="T13" i="10"/>
  <c r="T14" i="10"/>
  <c r="T15" i="10"/>
  <c r="T5" i="11"/>
  <c r="T6" i="11"/>
  <c r="T5" i="9"/>
  <c r="T6" i="9"/>
  <c r="T7" i="9"/>
  <c r="T8" i="9"/>
  <c r="T7" i="11"/>
  <c r="T8" i="11"/>
  <c r="T9" i="11"/>
  <c r="T10" i="11"/>
  <c r="T12" i="11"/>
  <c r="T13" i="11"/>
  <c r="T14" i="11"/>
  <c r="U5" i="4"/>
  <c r="U6" i="4"/>
  <c r="U7" i="4"/>
  <c r="U8" i="4"/>
  <c r="U6" i="5"/>
  <c r="U5" i="10"/>
  <c r="U5" i="6"/>
  <c r="U6" i="6"/>
  <c r="U7" i="6"/>
  <c r="U6" i="10"/>
  <c r="U7" i="10"/>
  <c r="U5" i="7"/>
  <c r="U6" i="7"/>
  <c r="U7" i="7"/>
  <c r="U8" i="7"/>
  <c r="U9" i="7"/>
  <c r="U10" i="7"/>
  <c r="U8" i="10"/>
  <c r="U9" i="10"/>
  <c r="T8" i="8"/>
  <c r="U5" i="8"/>
  <c r="U7" i="8"/>
  <c r="U10" i="10"/>
  <c r="U11" i="10"/>
  <c r="U12" i="10"/>
  <c r="U13" i="10"/>
  <c r="U14" i="10"/>
  <c r="U15" i="10"/>
  <c r="U5" i="11"/>
  <c r="U6" i="11"/>
  <c r="U5" i="9"/>
  <c r="U6" i="9"/>
  <c r="U7" i="9"/>
  <c r="U8" i="9"/>
  <c r="U7" i="11"/>
  <c r="U8" i="11"/>
  <c r="U9" i="11"/>
  <c r="U10" i="11"/>
  <c r="U12" i="11"/>
  <c r="U13" i="11"/>
  <c r="U14" i="11"/>
  <c r="V5" i="4"/>
  <c r="V6" i="4"/>
  <c r="V7" i="4"/>
  <c r="V8" i="4"/>
  <c r="V6" i="5"/>
  <c r="V5" i="10"/>
  <c r="V5" i="6"/>
  <c r="V6" i="6"/>
  <c r="V7" i="6"/>
  <c r="V6" i="10"/>
  <c r="V7" i="10"/>
  <c r="V5" i="7"/>
  <c r="V6" i="7"/>
  <c r="V7" i="7"/>
  <c r="V8" i="7"/>
  <c r="V9" i="7"/>
  <c r="V10" i="7"/>
  <c r="V8" i="10"/>
  <c r="V9" i="10"/>
  <c r="U8" i="8"/>
  <c r="V5" i="8"/>
  <c r="V7" i="8"/>
  <c r="V10" i="10"/>
  <c r="V11" i="10"/>
  <c r="V12" i="10"/>
  <c r="V13" i="10"/>
  <c r="V14" i="10"/>
  <c r="V15" i="10"/>
  <c r="V5" i="11"/>
  <c r="V6" i="11"/>
  <c r="V5" i="9"/>
  <c r="V6" i="9"/>
  <c r="V7" i="9"/>
  <c r="V8" i="9"/>
  <c r="V7" i="11"/>
  <c r="V8" i="11"/>
  <c r="V9" i="11"/>
  <c r="V10" i="11"/>
  <c r="V12" i="11"/>
  <c r="V13" i="11"/>
  <c r="V14" i="11"/>
  <c r="W5" i="4"/>
  <c r="W6" i="4"/>
  <c r="W7" i="4"/>
  <c r="W8" i="4"/>
  <c r="W6" i="5"/>
  <c r="W5" i="10"/>
  <c r="W5" i="6"/>
  <c r="W6" i="6"/>
  <c r="W7" i="6"/>
  <c r="W6" i="10"/>
  <c r="W7" i="10"/>
  <c r="W5" i="7"/>
  <c r="W6" i="7"/>
  <c r="W7" i="7"/>
  <c r="W8" i="7"/>
  <c r="W9" i="7"/>
  <c r="W10" i="7"/>
  <c r="W8" i="10"/>
  <c r="W9" i="10"/>
  <c r="V8" i="8"/>
  <c r="W5" i="8"/>
  <c r="W7" i="8"/>
  <c r="W10" i="10"/>
  <c r="W11" i="10"/>
  <c r="W12" i="10"/>
  <c r="W13" i="10"/>
  <c r="W14" i="10"/>
  <c r="W15" i="10"/>
  <c r="W5" i="11"/>
  <c r="W6" i="11"/>
  <c r="W5" i="9"/>
  <c r="W6" i="9"/>
  <c r="W7" i="9"/>
  <c r="W8" i="9"/>
  <c r="W7" i="11"/>
  <c r="W8" i="11"/>
  <c r="W9" i="11"/>
  <c r="W10" i="11"/>
  <c r="W12" i="11"/>
  <c r="W13" i="11"/>
  <c r="W14" i="11"/>
  <c r="X5" i="4"/>
  <c r="X6" i="4"/>
  <c r="X7" i="4"/>
  <c r="X8" i="4"/>
  <c r="X6" i="5"/>
  <c r="X5" i="10"/>
  <c r="X5" i="6"/>
  <c r="X6" i="6"/>
  <c r="X7" i="6"/>
  <c r="X6" i="10"/>
  <c r="X7" i="10"/>
  <c r="X5" i="7"/>
  <c r="X6" i="7"/>
  <c r="X7" i="7"/>
  <c r="X8" i="7"/>
  <c r="X9" i="7"/>
  <c r="X10" i="7"/>
  <c r="X8" i="10"/>
  <c r="X9" i="10"/>
  <c r="W8" i="8"/>
  <c r="X5" i="8"/>
  <c r="X7" i="8"/>
  <c r="X10" i="10"/>
  <c r="X11" i="10"/>
  <c r="X12" i="10"/>
  <c r="X13" i="10"/>
  <c r="X14" i="10"/>
  <c r="X15" i="10"/>
  <c r="X5" i="11"/>
  <c r="X6" i="11"/>
  <c r="X5" i="9"/>
  <c r="X6" i="9"/>
  <c r="X7" i="9"/>
  <c r="X8" i="9"/>
  <c r="X7" i="11"/>
  <c r="X8" i="11"/>
  <c r="X9" i="11"/>
  <c r="X10" i="11"/>
  <c r="X12" i="11"/>
  <c r="X13" i="11"/>
  <c r="X14" i="11"/>
  <c r="Y5" i="4"/>
  <c r="Y6" i="4"/>
  <c r="Y7" i="4"/>
  <c r="Y8" i="4"/>
  <c r="Y6" i="5"/>
  <c r="Y5" i="10"/>
  <c r="Y5" i="6"/>
  <c r="Y6" i="6"/>
  <c r="Y7" i="6"/>
  <c r="Y6" i="10"/>
  <c r="Y7" i="10"/>
  <c r="Y5" i="7"/>
  <c r="Y6" i="7"/>
  <c r="Y7" i="7"/>
  <c r="Y8" i="7"/>
  <c r="Y9" i="7"/>
  <c r="Y10" i="7"/>
  <c r="Y8" i="10"/>
  <c r="Y9" i="10"/>
  <c r="X8" i="8"/>
  <c r="Y5" i="8"/>
  <c r="Y7" i="8"/>
  <c r="Y10" i="10"/>
  <c r="Y11" i="10"/>
  <c r="Y12" i="10"/>
  <c r="Y13" i="10"/>
  <c r="Y14" i="10"/>
  <c r="Y15" i="10"/>
  <c r="Y5" i="11"/>
  <c r="Y6" i="11"/>
  <c r="Y5" i="9"/>
  <c r="Y6" i="9"/>
  <c r="Y7" i="9"/>
  <c r="Y8" i="9"/>
  <c r="Y7" i="11"/>
  <c r="Y8" i="11"/>
  <c r="Y9" i="11"/>
  <c r="Y10" i="11"/>
  <c r="Y12" i="11"/>
  <c r="Y13" i="11"/>
  <c r="Y14" i="11"/>
  <c r="Z5" i="4"/>
  <c r="Z6" i="4"/>
  <c r="Z7" i="4"/>
  <c r="Z8" i="4"/>
  <c r="Z6" i="5"/>
  <c r="Z5" i="10"/>
  <c r="Z5" i="6"/>
  <c r="Z6" i="6"/>
  <c r="Z7" i="6"/>
  <c r="Z6" i="10"/>
  <c r="Z7" i="10"/>
  <c r="Z5" i="7"/>
  <c r="Z6" i="7"/>
  <c r="Z7" i="7"/>
  <c r="Z8" i="7"/>
  <c r="Z9" i="7"/>
  <c r="Z10" i="7"/>
  <c r="Z8" i="10"/>
  <c r="Z9" i="10"/>
  <c r="Y8" i="8"/>
  <c r="Z5" i="8"/>
  <c r="Z7" i="8"/>
  <c r="Z10" i="10"/>
  <c r="Z11" i="10"/>
  <c r="Z12" i="10"/>
  <c r="Z13" i="10"/>
  <c r="Z14" i="10"/>
  <c r="Z15" i="10"/>
  <c r="Z5" i="11"/>
  <c r="Z6" i="11"/>
  <c r="Z5" i="9"/>
  <c r="Z6" i="9"/>
  <c r="Z7" i="9"/>
  <c r="Z8" i="9"/>
  <c r="Z7" i="11"/>
  <c r="Z8" i="11"/>
  <c r="Z9" i="11"/>
  <c r="Z10" i="11"/>
  <c r="Z12" i="11"/>
  <c r="Z13" i="11"/>
  <c r="Z14" i="11"/>
  <c r="AA5" i="4"/>
  <c r="AA6" i="4"/>
  <c r="AA7" i="4"/>
  <c r="AA8" i="4"/>
  <c r="AA6" i="5"/>
  <c r="AA5" i="10"/>
  <c r="AA5" i="6"/>
  <c r="AA6" i="6"/>
  <c r="AA7" i="6"/>
  <c r="AA6" i="10"/>
  <c r="AA7" i="10"/>
  <c r="AA5" i="7"/>
  <c r="AA6" i="7"/>
  <c r="AA7" i="7"/>
  <c r="AA8" i="7"/>
  <c r="AA9" i="7"/>
  <c r="AA10" i="7"/>
  <c r="AA8" i="10"/>
  <c r="AA9" i="10"/>
  <c r="Z8" i="8"/>
  <c r="AA5" i="8"/>
  <c r="AA7" i="8"/>
  <c r="AA10" i="10"/>
  <c r="AA11" i="10"/>
  <c r="AA12" i="10"/>
  <c r="AA13" i="10"/>
  <c r="AA14" i="10"/>
  <c r="AA15" i="10"/>
  <c r="AA5" i="11"/>
  <c r="AA6" i="11"/>
  <c r="AA5" i="9"/>
  <c r="AA6" i="9"/>
  <c r="AA7" i="9"/>
  <c r="AA8" i="9"/>
  <c r="AA7" i="11"/>
  <c r="AA8" i="11"/>
  <c r="AA9" i="11"/>
  <c r="AA10" i="11"/>
  <c r="AA12" i="11"/>
  <c r="AA13" i="11"/>
  <c r="AA14" i="11"/>
  <c r="AB5" i="4"/>
  <c r="AB6" i="4"/>
  <c r="AB7" i="4"/>
  <c r="AB8" i="4"/>
  <c r="AB6" i="5"/>
  <c r="AB5" i="10"/>
  <c r="AB5" i="6"/>
  <c r="AB6" i="6"/>
  <c r="AB7" i="6"/>
  <c r="AB6" i="10"/>
  <c r="AB7" i="10"/>
  <c r="AB5" i="7"/>
  <c r="AB6" i="7"/>
  <c r="AB7" i="7"/>
  <c r="AB8" i="7"/>
  <c r="AB9" i="7"/>
  <c r="AB10" i="7"/>
  <c r="AB8" i="10"/>
  <c r="AB9" i="10"/>
  <c r="AA8" i="8"/>
  <c r="AB5" i="8"/>
  <c r="AB7" i="8"/>
  <c r="AB10" i="10"/>
  <c r="AB11" i="10"/>
  <c r="AB12" i="10"/>
  <c r="AB13" i="10"/>
  <c r="AB14" i="10"/>
  <c r="AB15" i="10"/>
  <c r="AB5" i="11"/>
  <c r="AB6" i="11"/>
  <c r="AB5" i="9"/>
  <c r="AB6" i="9"/>
  <c r="AB7" i="9"/>
  <c r="AB8" i="9"/>
  <c r="AB7" i="11"/>
  <c r="AB8" i="11"/>
  <c r="AB9" i="11"/>
  <c r="AB10" i="11"/>
  <c r="AB12" i="11"/>
  <c r="AB13" i="11"/>
  <c r="AB14" i="11"/>
  <c r="AC5" i="4"/>
  <c r="AC6" i="4"/>
  <c r="AC7" i="4"/>
  <c r="AC8" i="4"/>
  <c r="AC6" i="5"/>
  <c r="AC5" i="10"/>
  <c r="AC5" i="6"/>
  <c r="AC6" i="6"/>
  <c r="AC7" i="6"/>
  <c r="AC6" i="10"/>
  <c r="AC7" i="10"/>
  <c r="AC5" i="7"/>
  <c r="AC6" i="7"/>
  <c r="AC7" i="7"/>
  <c r="AC8" i="7"/>
  <c r="AC9" i="7"/>
  <c r="AC10" i="7"/>
  <c r="AC8" i="10"/>
  <c r="AC9" i="10"/>
  <c r="AB8" i="8"/>
  <c r="AC5" i="8"/>
  <c r="AC7" i="8"/>
  <c r="AC10" i="10"/>
  <c r="AC11" i="10"/>
  <c r="AC12" i="10"/>
  <c r="AC13" i="10"/>
  <c r="AC14" i="10"/>
  <c r="AC15" i="10"/>
  <c r="AC5" i="11"/>
  <c r="AC6" i="11"/>
  <c r="AC5" i="9"/>
  <c r="AC6" i="9"/>
  <c r="AC7" i="9"/>
  <c r="AC8" i="9"/>
  <c r="AC7" i="11"/>
  <c r="AC8" i="11"/>
  <c r="AC9" i="11"/>
  <c r="AC10" i="11"/>
  <c r="AC12" i="11"/>
  <c r="AC13" i="11"/>
  <c r="AC14" i="11"/>
  <c r="AD5" i="4"/>
  <c r="AD6" i="4"/>
  <c r="AD7" i="4"/>
  <c r="AD8" i="4"/>
  <c r="AD6" i="5"/>
  <c r="AD5" i="10"/>
  <c r="AD5" i="6"/>
  <c r="AD6" i="6"/>
  <c r="AD7" i="6"/>
  <c r="AD6" i="10"/>
  <c r="AD7" i="10"/>
  <c r="AD5" i="7"/>
  <c r="AD6" i="7"/>
  <c r="AD7" i="7"/>
  <c r="AD8" i="7"/>
  <c r="AD9" i="7"/>
  <c r="AD10" i="7"/>
  <c r="AD8" i="10"/>
  <c r="AD9" i="10"/>
  <c r="AC8" i="8"/>
  <c r="AD5" i="8"/>
  <c r="AD7" i="8"/>
  <c r="AD10" i="10"/>
  <c r="AD11" i="10"/>
  <c r="AD12" i="10"/>
  <c r="AD13" i="10"/>
  <c r="AD14" i="10"/>
  <c r="AD15" i="10"/>
  <c r="AD5" i="11"/>
  <c r="AD6" i="11"/>
  <c r="AD5" i="9"/>
  <c r="AD6" i="9"/>
  <c r="AD7" i="9"/>
  <c r="AD8" i="9"/>
  <c r="AD7" i="11"/>
  <c r="AD8" i="11"/>
  <c r="AD9" i="11"/>
  <c r="AD10" i="11"/>
  <c r="AD12" i="11"/>
  <c r="AD13" i="11"/>
  <c r="AD14" i="11"/>
  <c r="AE5" i="4"/>
  <c r="AE6" i="4"/>
  <c r="AE7" i="4"/>
  <c r="AE8" i="4"/>
  <c r="AE6" i="5"/>
  <c r="AE5" i="10"/>
  <c r="AE5" i="6"/>
  <c r="AE6" i="6"/>
  <c r="AE7" i="6"/>
  <c r="AE6" i="10"/>
  <c r="AE7" i="10"/>
  <c r="AE5" i="7"/>
  <c r="AE6" i="7"/>
  <c r="AE7" i="7"/>
  <c r="AE8" i="7"/>
  <c r="AE9" i="7"/>
  <c r="AE10" i="7"/>
  <c r="AE8" i="10"/>
  <c r="AE9" i="10"/>
  <c r="AD8" i="8"/>
  <c r="AE5" i="8"/>
  <c r="AE7" i="8"/>
  <c r="AE10" i="10"/>
  <c r="AE11" i="10"/>
  <c r="AE12" i="10"/>
  <c r="AE13" i="10"/>
  <c r="AE14" i="10"/>
  <c r="AE15" i="10"/>
  <c r="AE5" i="11"/>
  <c r="AE6" i="11"/>
  <c r="AE5" i="9"/>
  <c r="AE6" i="9"/>
  <c r="AE7" i="9"/>
  <c r="AE8" i="9"/>
  <c r="AE7" i="11"/>
  <c r="AE8" i="11"/>
  <c r="AE9" i="11"/>
  <c r="AE10" i="11"/>
  <c r="AE12" i="11"/>
  <c r="AE13" i="11"/>
  <c r="AE14" i="11"/>
  <c r="AF5" i="4"/>
  <c r="AF6" i="4"/>
  <c r="AF7" i="4"/>
  <c r="AF8" i="4"/>
  <c r="AF6" i="5"/>
  <c r="AF5" i="10"/>
  <c r="AF5" i="6"/>
  <c r="AF6" i="6"/>
  <c r="AF7" i="6"/>
  <c r="AF6" i="10"/>
  <c r="AF7" i="10"/>
  <c r="AF5" i="7"/>
  <c r="AF6" i="7"/>
  <c r="AF7" i="7"/>
  <c r="AF8" i="7"/>
  <c r="AF9" i="7"/>
  <c r="AF10" i="7"/>
  <c r="AF8" i="10"/>
  <c r="AF9" i="10"/>
  <c r="AE8" i="8"/>
  <c r="AF5" i="8"/>
  <c r="AF7" i="8"/>
  <c r="AF10" i="10"/>
  <c r="AF11" i="10"/>
  <c r="AF12" i="10"/>
  <c r="AF13" i="10"/>
  <c r="AF14" i="10"/>
  <c r="AF15" i="10"/>
  <c r="AF5" i="11"/>
  <c r="AF6" i="11"/>
  <c r="AF5" i="9"/>
  <c r="AF6" i="9"/>
  <c r="AF7" i="9"/>
  <c r="AF8" i="9"/>
  <c r="AF7" i="11"/>
  <c r="AF8" i="11"/>
  <c r="AF9" i="11"/>
  <c r="AF10" i="11"/>
  <c r="AF12" i="11"/>
  <c r="AF13" i="11"/>
  <c r="AF14" i="11"/>
  <c r="AG5" i="4"/>
  <c r="AG6" i="4"/>
  <c r="AG7" i="4"/>
  <c r="AG8" i="4"/>
  <c r="AG6" i="5"/>
  <c r="AG5" i="10"/>
  <c r="AG5" i="6"/>
  <c r="AG6" i="6"/>
  <c r="AG7" i="6"/>
  <c r="AG6" i="10"/>
  <c r="AG7" i="10"/>
  <c r="AG5" i="7"/>
  <c r="AG6" i="7"/>
  <c r="AG7" i="7"/>
  <c r="AG8" i="7"/>
  <c r="AG9" i="7"/>
  <c r="AG10" i="7"/>
  <c r="AG8" i="10"/>
  <c r="AG9" i="10"/>
  <c r="AF8" i="8"/>
  <c r="AG5" i="8"/>
  <c r="AG7" i="8"/>
  <c r="AG10" i="10"/>
  <c r="AG11" i="10"/>
  <c r="AG12" i="10"/>
  <c r="AG13" i="10"/>
  <c r="AG14" i="10"/>
  <c r="AG15" i="10"/>
  <c r="AG5" i="11"/>
  <c r="AG6" i="11"/>
  <c r="AG5" i="9"/>
  <c r="AG6" i="9"/>
  <c r="AG7" i="9"/>
  <c r="AG8" i="9"/>
  <c r="AG7" i="11"/>
  <c r="AG8" i="11"/>
  <c r="AG9" i="11"/>
  <c r="AG10" i="11"/>
  <c r="AG12" i="11"/>
  <c r="AG13" i="11"/>
  <c r="AG14" i="11"/>
  <c r="AH5" i="4"/>
  <c r="AH6" i="4"/>
  <c r="AH7" i="4"/>
  <c r="AH8" i="4"/>
  <c r="AH6" i="5"/>
  <c r="AH5" i="10"/>
  <c r="AH5" i="6"/>
  <c r="AH6" i="6"/>
  <c r="AH7" i="6"/>
  <c r="AH6" i="10"/>
  <c r="AH7" i="10"/>
  <c r="AH5" i="7"/>
  <c r="AH6" i="7"/>
  <c r="AH7" i="7"/>
  <c r="AH8" i="7"/>
  <c r="AH9" i="7"/>
  <c r="AH10" i="7"/>
  <c r="AH8" i="10"/>
  <c r="AH9" i="10"/>
  <c r="AG8" i="8"/>
  <c r="AH5" i="8"/>
  <c r="AH7" i="8"/>
  <c r="AH10" i="10"/>
  <c r="AH11" i="10"/>
  <c r="AH12" i="10"/>
  <c r="AH13" i="10"/>
  <c r="AH14" i="10"/>
  <c r="AH15" i="10"/>
  <c r="AH5" i="11"/>
  <c r="AH6" i="11"/>
  <c r="AH5" i="9"/>
  <c r="AH6" i="9"/>
  <c r="AH7" i="9"/>
  <c r="AH8" i="9"/>
  <c r="AH7" i="11"/>
  <c r="AH8" i="11"/>
  <c r="AH9" i="11"/>
  <c r="AH10" i="11"/>
  <c r="AH12" i="11"/>
  <c r="AH13" i="11"/>
  <c r="AH14" i="11"/>
  <c r="AI5" i="4"/>
  <c r="AI6" i="4"/>
  <c r="AI7" i="4"/>
  <c r="AI8" i="4"/>
  <c r="AI6" i="5"/>
  <c r="AI5" i="10"/>
  <c r="AI5" i="6"/>
  <c r="AI6" i="6"/>
  <c r="AI7" i="6"/>
  <c r="AI6" i="10"/>
  <c r="AI7" i="10"/>
  <c r="AI5" i="7"/>
  <c r="AI6" i="7"/>
  <c r="AI7" i="7"/>
  <c r="AI8" i="7"/>
  <c r="AI9" i="7"/>
  <c r="AI10" i="7"/>
  <c r="AI8" i="10"/>
  <c r="AI9" i="10"/>
  <c r="AH8" i="8"/>
  <c r="AI5" i="8"/>
  <c r="AI7" i="8"/>
  <c r="AI10" i="10"/>
  <c r="AI11" i="10"/>
  <c r="AI12" i="10"/>
  <c r="AI13" i="10"/>
  <c r="AI14" i="10"/>
  <c r="AI15" i="10"/>
  <c r="AI5" i="11"/>
  <c r="AI6" i="11"/>
  <c r="AI5" i="9"/>
  <c r="AI6" i="9"/>
  <c r="AI7" i="9"/>
  <c r="AI8" i="9"/>
  <c r="AI7" i="11"/>
  <c r="AI8" i="11"/>
  <c r="AI9" i="11"/>
  <c r="AI10" i="11"/>
  <c r="AI12" i="11"/>
  <c r="AI13" i="11"/>
  <c r="AI14" i="11"/>
  <c r="AJ5" i="4"/>
  <c r="AJ6" i="4"/>
  <c r="AJ7" i="4"/>
  <c r="AJ8" i="4"/>
  <c r="AJ6" i="5"/>
  <c r="AJ5" i="10"/>
  <c r="AJ5" i="6"/>
  <c r="AJ6" i="6"/>
  <c r="AJ7" i="6"/>
  <c r="AJ6" i="10"/>
  <c r="AJ7" i="10"/>
  <c r="AJ5" i="7"/>
  <c r="AJ6" i="7"/>
  <c r="AJ7" i="7"/>
  <c r="AJ8" i="7"/>
  <c r="AJ9" i="7"/>
  <c r="AJ10" i="7"/>
  <c r="AJ8" i="10"/>
  <c r="AJ9" i="10"/>
  <c r="AI8" i="8"/>
  <c r="AJ5" i="8"/>
  <c r="AJ7" i="8"/>
  <c r="AJ10" i="10"/>
  <c r="AJ11" i="10"/>
  <c r="AJ12" i="10"/>
  <c r="AJ13" i="10"/>
  <c r="AJ14" i="10"/>
  <c r="AJ15" i="10"/>
  <c r="AJ5" i="11"/>
  <c r="AJ6" i="11"/>
  <c r="AJ5" i="9"/>
  <c r="AJ6" i="9"/>
  <c r="AJ7" i="9"/>
  <c r="AJ8" i="9"/>
  <c r="AJ7" i="11"/>
  <c r="AJ8" i="11"/>
  <c r="AJ9" i="11"/>
  <c r="AJ10" i="11"/>
  <c r="AJ12" i="11"/>
  <c r="AJ13" i="11"/>
  <c r="AJ14" i="11"/>
  <c r="AK5" i="4"/>
  <c r="AK6" i="4"/>
  <c r="AK7" i="4"/>
  <c r="AK8" i="4"/>
  <c r="AK6" i="5"/>
  <c r="AK5" i="10"/>
  <c r="AK5" i="6"/>
  <c r="AK6" i="6"/>
  <c r="AK7" i="6"/>
  <c r="AK6" i="10"/>
  <c r="AK7" i="10"/>
  <c r="AK5" i="7"/>
  <c r="AK6" i="7"/>
  <c r="AK7" i="7"/>
  <c r="AK8" i="7"/>
  <c r="AK9" i="7"/>
  <c r="AK10" i="7"/>
  <c r="AK8" i="10"/>
  <c r="AK9" i="10"/>
  <c r="AJ8" i="8"/>
  <c r="AK5" i="8"/>
  <c r="AK7" i="8"/>
  <c r="AK10" i="10"/>
  <c r="AK11" i="10"/>
  <c r="AK12" i="10"/>
  <c r="AK13" i="10"/>
  <c r="AK14" i="10"/>
  <c r="AK15" i="10"/>
  <c r="AK5" i="11"/>
  <c r="AK6" i="11"/>
  <c r="AK5" i="9"/>
  <c r="AK6" i="9"/>
  <c r="AK7" i="9"/>
  <c r="AK8" i="9"/>
  <c r="AK7" i="11"/>
  <c r="AK8" i="11"/>
  <c r="AK9" i="11"/>
  <c r="AK10" i="11"/>
  <c r="AK12" i="11"/>
  <c r="AK13" i="11"/>
  <c r="AK14" i="11"/>
  <c r="AL5" i="4"/>
  <c r="AL6" i="4"/>
  <c r="AL7" i="4"/>
  <c r="AL8" i="4"/>
  <c r="AL6" i="5"/>
  <c r="AL5" i="10"/>
  <c r="AL5" i="6"/>
  <c r="AL6" i="6"/>
  <c r="AL7" i="6"/>
  <c r="AL6" i="10"/>
  <c r="AL7" i="10"/>
  <c r="AL5" i="7"/>
  <c r="AL6" i="7"/>
  <c r="AL7" i="7"/>
  <c r="AL8" i="7"/>
  <c r="AL9" i="7"/>
  <c r="AL10" i="7"/>
  <c r="AL8" i="10"/>
  <c r="AL9" i="10"/>
  <c r="AK8" i="8"/>
  <c r="AL5" i="8"/>
  <c r="AL7" i="8"/>
  <c r="AL10" i="10"/>
  <c r="AL11" i="10"/>
  <c r="AL12" i="10"/>
  <c r="AL13" i="10"/>
  <c r="AL14" i="10"/>
  <c r="AL15" i="10"/>
  <c r="AL5" i="11"/>
  <c r="AL6" i="11"/>
  <c r="AL5" i="9"/>
  <c r="AL6" i="9"/>
  <c r="AL7" i="9"/>
  <c r="AL8" i="9"/>
  <c r="AL7" i="11"/>
  <c r="AL8" i="11"/>
  <c r="AL9" i="11"/>
  <c r="AL10" i="11"/>
  <c r="AL12" i="11"/>
  <c r="AL13" i="11"/>
  <c r="AL14" i="11"/>
  <c r="AM5" i="4"/>
  <c r="AM6" i="4"/>
  <c r="AM7" i="4"/>
  <c r="AM8" i="4"/>
  <c r="AM6" i="5"/>
  <c r="AM5" i="10"/>
  <c r="AM5" i="6"/>
  <c r="AM6" i="6"/>
  <c r="AM7" i="6"/>
  <c r="AM6" i="10"/>
  <c r="AM7" i="10"/>
  <c r="AM5" i="7"/>
  <c r="AM6" i="7"/>
  <c r="AM7" i="7"/>
  <c r="AM8" i="7"/>
  <c r="AM9" i="7"/>
  <c r="AM10" i="7"/>
  <c r="AM8" i="10"/>
  <c r="AM9" i="10"/>
  <c r="AL8" i="8"/>
  <c r="AM5" i="8"/>
  <c r="AM7" i="8"/>
  <c r="AM10" i="10"/>
  <c r="AM11" i="10"/>
  <c r="AM12" i="10"/>
  <c r="AM13" i="10"/>
  <c r="AM14" i="10"/>
  <c r="AM15" i="10"/>
  <c r="AM5" i="11"/>
  <c r="AM6" i="11"/>
  <c r="AM5" i="9"/>
  <c r="AM6" i="9"/>
  <c r="AM7" i="9"/>
  <c r="AM8" i="9"/>
  <c r="AM7" i="11"/>
  <c r="AM8" i="11"/>
  <c r="AM9" i="11"/>
  <c r="AM10" i="11"/>
  <c r="AM12" i="11"/>
  <c r="AM13" i="11"/>
  <c r="AM14" i="11"/>
  <c r="AN5" i="4"/>
  <c r="AN6" i="4"/>
  <c r="AN7" i="4"/>
  <c r="AN8" i="4"/>
  <c r="AN6" i="5"/>
  <c r="AN5" i="10"/>
  <c r="AN5" i="6"/>
  <c r="AN6" i="6"/>
  <c r="AN7" i="6"/>
  <c r="AN6" i="10"/>
  <c r="AN7" i="10"/>
  <c r="AN5" i="7"/>
  <c r="AN6" i="7"/>
  <c r="AN7" i="7"/>
  <c r="AN8" i="7"/>
  <c r="AN9" i="7"/>
  <c r="AN10" i="7"/>
  <c r="AN8" i="10"/>
  <c r="AN9" i="10"/>
  <c r="AM8" i="8"/>
  <c r="AN5" i="8"/>
  <c r="AN7" i="8"/>
  <c r="AN10" i="10"/>
  <c r="AN11" i="10"/>
  <c r="AN12" i="10"/>
  <c r="AN13" i="10"/>
  <c r="AN14" i="10"/>
  <c r="AN15" i="10"/>
  <c r="AN5" i="11"/>
  <c r="AN6" i="11"/>
  <c r="AN5" i="9"/>
  <c r="AN6" i="9"/>
  <c r="AN7" i="9"/>
  <c r="AN8" i="9"/>
  <c r="AN7" i="11"/>
  <c r="AN8" i="11"/>
  <c r="AN9" i="11"/>
  <c r="AN10" i="11"/>
  <c r="AN12" i="11"/>
  <c r="AN13" i="11"/>
  <c r="AN14" i="11"/>
  <c r="AO5" i="4"/>
  <c r="AO6" i="4"/>
  <c r="AO7" i="4"/>
  <c r="AO8" i="4"/>
  <c r="AO6" i="5"/>
  <c r="AO5" i="10"/>
  <c r="AO5" i="6"/>
  <c r="AO6" i="6"/>
  <c r="AO7" i="6"/>
  <c r="AO6" i="10"/>
  <c r="AO7" i="10"/>
  <c r="AO5" i="7"/>
  <c r="AO6" i="7"/>
  <c r="AO7" i="7"/>
  <c r="AO8" i="7"/>
  <c r="AO9" i="7"/>
  <c r="AO10" i="7"/>
  <c r="AO8" i="10"/>
  <c r="AO9" i="10"/>
  <c r="AN8" i="8"/>
  <c r="AO5" i="8"/>
  <c r="AO7" i="8"/>
  <c r="AO10" i="10"/>
  <c r="AO11" i="10"/>
  <c r="AO12" i="10"/>
  <c r="AO13" i="10"/>
  <c r="AO14" i="10"/>
  <c r="AO15" i="10"/>
  <c r="AO5" i="11"/>
  <c r="AO6" i="11"/>
  <c r="AO5" i="9"/>
  <c r="AO6" i="9"/>
  <c r="AO7" i="9"/>
  <c r="AO8" i="9"/>
  <c r="AO7" i="11"/>
  <c r="AO8" i="11"/>
  <c r="AO9" i="11"/>
  <c r="AO10" i="11"/>
  <c r="AO12" i="11"/>
  <c r="AO13" i="11"/>
  <c r="AO14" i="11"/>
  <c r="AP5" i="4"/>
  <c r="AP6" i="4"/>
  <c r="AP7" i="4"/>
  <c r="AP8" i="4"/>
  <c r="AP6" i="5"/>
  <c r="AP5" i="10"/>
  <c r="AP5" i="6"/>
  <c r="AP6" i="6"/>
  <c r="AP7" i="6"/>
  <c r="AP6" i="10"/>
  <c r="AP7" i="10"/>
  <c r="AP5" i="7"/>
  <c r="AP6" i="7"/>
  <c r="AP7" i="7"/>
  <c r="AP8" i="7"/>
  <c r="AP9" i="7"/>
  <c r="AP10" i="7"/>
  <c r="AP8" i="10"/>
  <c r="AP9" i="10"/>
  <c r="AO8" i="8"/>
  <c r="AP5" i="8"/>
  <c r="AP7" i="8"/>
  <c r="AP10" i="10"/>
  <c r="AP11" i="10"/>
  <c r="AP12" i="10"/>
  <c r="AP13" i="10"/>
  <c r="AP14" i="10"/>
  <c r="AP15" i="10"/>
  <c r="AP5" i="11"/>
  <c r="AP6" i="11"/>
  <c r="AP5" i="9"/>
  <c r="AP6" i="9"/>
  <c r="AP7" i="9"/>
  <c r="AP8" i="9"/>
  <c r="AP7" i="11"/>
  <c r="AP8" i="11"/>
  <c r="AP9" i="11"/>
  <c r="AP10" i="11"/>
  <c r="AP12" i="11"/>
  <c r="AP13" i="11"/>
  <c r="AP14" i="11"/>
  <c r="AQ5" i="4"/>
  <c r="AQ6" i="4"/>
  <c r="AQ7" i="4"/>
  <c r="AQ8" i="4"/>
  <c r="AQ6" i="5"/>
  <c r="AQ5" i="10"/>
  <c r="AQ5" i="6"/>
  <c r="AQ6" i="6"/>
  <c r="AQ7" i="6"/>
  <c r="AQ6" i="10"/>
  <c r="AQ7" i="10"/>
  <c r="AQ5" i="7"/>
  <c r="AQ6" i="7"/>
  <c r="AQ7" i="7"/>
  <c r="AQ8" i="7"/>
  <c r="AQ9" i="7"/>
  <c r="AQ10" i="7"/>
  <c r="AQ8" i="10"/>
  <c r="AQ9" i="10"/>
  <c r="AP8" i="8"/>
  <c r="AQ5" i="8"/>
  <c r="AQ7" i="8"/>
  <c r="AQ10" i="10"/>
  <c r="AQ11" i="10"/>
  <c r="AQ12" i="10"/>
  <c r="AQ13" i="10"/>
  <c r="AQ14" i="10"/>
  <c r="AQ15" i="10"/>
  <c r="AQ5" i="11"/>
  <c r="AQ6" i="11"/>
  <c r="AQ5" i="9"/>
  <c r="AQ6" i="9"/>
  <c r="AQ7" i="9"/>
  <c r="AQ8" i="9"/>
  <c r="AQ7" i="11"/>
  <c r="AQ8" i="11"/>
  <c r="AQ9" i="11"/>
  <c r="AQ10" i="11"/>
  <c r="AQ12" i="11"/>
  <c r="AQ13" i="11"/>
  <c r="AQ14" i="11"/>
  <c r="AR5" i="4"/>
  <c r="AR6" i="4"/>
  <c r="AR7" i="4"/>
  <c r="AR8" i="4"/>
  <c r="AR6" i="5"/>
  <c r="AR5" i="10"/>
  <c r="AR5" i="6"/>
  <c r="AR6" i="6"/>
  <c r="AR7" i="6"/>
  <c r="AR6" i="10"/>
  <c r="AR7" i="10"/>
  <c r="AR5" i="7"/>
  <c r="AR6" i="7"/>
  <c r="AR7" i="7"/>
  <c r="AR8" i="7"/>
  <c r="AR9" i="7"/>
  <c r="AR10" i="7"/>
  <c r="AR8" i="10"/>
  <c r="AR9" i="10"/>
  <c r="AQ8" i="8"/>
  <c r="AR5" i="8"/>
  <c r="AR7" i="8"/>
  <c r="AR10" i="10"/>
  <c r="AR11" i="10"/>
  <c r="AR12" i="10"/>
  <c r="AR13" i="10"/>
  <c r="AR14" i="10"/>
  <c r="AR15" i="10"/>
  <c r="AR5" i="11"/>
  <c r="AR6" i="11"/>
  <c r="AR5" i="9"/>
  <c r="AR6" i="9"/>
  <c r="AR7" i="9"/>
  <c r="AR8" i="9"/>
  <c r="AR7" i="11"/>
  <c r="AR8" i="11"/>
  <c r="AR9" i="11"/>
  <c r="AR10" i="11"/>
  <c r="AR12" i="11"/>
  <c r="AR13" i="11"/>
  <c r="AR14" i="11"/>
  <c r="AS5" i="4"/>
  <c r="AS6" i="4"/>
  <c r="AS7" i="4"/>
  <c r="AS8" i="4"/>
  <c r="AS6" i="5"/>
  <c r="AS5" i="10"/>
  <c r="AS5" i="6"/>
  <c r="AS6" i="6"/>
  <c r="AS7" i="6"/>
  <c r="AS6" i="10"/>
  <c r="AS7" i="10"/>
  <c r="AS5" i="7"/>
  <c r="AS6" i="7"/>
  <c r="AS7" i="7"/>
  <c r="AS8" i="7"/>
  <c r="AS9" i="7"/>
  <c r="AS10" i="7"/>
  <c r="AS8" i="10"/>
  <c r="AS9" i="10"/>
  <c r="AR8" i="8"/>
  <c r="AS5" i="8"/>
  <c r="AS7" i="8"/>
  <c r="AS10" i="10"/>
  <c r="AS11" i="10"/>
  <c r="AS12" i="10"/>
  <c r="AS13" i="10"/>
  <c r="AS14" i="10"/>
  <c r="AS15" i="10"/>
  <c r="AS5" i="11"/>
  <c r="AS6" i="11"/>
  <c r="AS5" i="9"/>
  <c r="AS6" i="9"/>
  <c r="AS7" i="9"/>
  <c r="AS8" i="9"/>
  <c r="AS7" i="11"/>
  <c r="AS8" i="11"/>
  <c r="AS9" i="11"/>
  <c r="AS10" i="11"/>
  <c r="AS12" i="11"/>
  <c r="AS13" i="11"/>
  <c r="AS14" i="11"/>
  <c r="AT5" i="4"/>
  <c r="AT6" i="4"/>
  <c r="AT7" i="4"/>
  <c r="AT8" i="4"/>
  <c r="AT6" i="5"/>
  <c r="AT5" i="10"/>
  <c r="AT5" i="6"/>
  <c r="AT6" i="6"/>
  <c r="AT7" i="6"/>
  <c r="AT6" i="10"/>
  <c r="AT7" i="10"/>
  <c r="AT5" i="7"/>
  <c r="AT6" i="7"/>
  <c r="AT7" i="7"/>
  <c r="AT8" i="7"/>
  <c r="AT9" i="7"/>
  <c r="AT10" i="7"/>
  <c r="AT8" i="10"/>
  <c r="AT9" i="10"/>
  <c r="AS8" i="8"/>
  <c r="AT5" i="8"/>
  <c r="AT7" i="8"/>
  <c r="AT10" i="10"/>
  <c r="AT11" i="10"/>
  <c r="AT12" i="10"/>
  <c r="AT13" i="10"/>
  <c r="AT14" i="10"/>
  <c r="AT15" i="10"/>
  <c r="AT5" i="11"/>
  <c r="AT6" i="11"/>
  <c r="AT5" i="9"/>
  <c r="AT6" i="9"/>
  <c r="AT7" i="9"/>
  <c r="AT8" i="9"/>
  <c r="AT7" i="11"/>
  <c r="AT8" i="11"/>
  <c r="AT9" i="11"/>
  <c r="AT10" i="11"/>
  <c r="AT12" i="11"/>
  <c r="AT13" i="11"/>
  <c r="AT14" i="11"/>
  <c r="AU5" i="4"/>
  <c r="AU6" i="4"/>
  <c r="AU7" i="4"/>
  <c r="AU8" i="4"/>
  <c r="AU6" i="5"/>
  <c r="AU5" i="10"/>
  <c r="AU5" i="6"/>
  <c r="AU6" i="6"/>
  <c r="AU7" i="6"/>
  <c r="AU6" i="10"/>
  <c r="AU7" i="10"/>
  <c r="AU5" i="7"/>
  <c r="AU6" i="7"/>
  <c r="AU7" i="7"/>
  <c r="AU8" i="7"/>
  <c r="AU9" i="7"/>
  <c r="AU10" i="7"/>
  <c r="AU8" i="10"/>
  <c r="AU9" i="10"/>
  <c r="AT8" i="8"/>
  <c r="AU5" i="8"/>
  <c r="AU7" i="8"/>
  <c r="AU10" i="10"/>
  <c r="AU11" i="10"/>
  <c r="AU12" i="10"/>
  <c r="AU13" i="10"/>
  <c r="AU14" i="10"/>
  <c r="AU15" i="10"/>
  <c r="AU5" i="11"/>
  <c r="AU6" i="11"/>
  <c r="AU5" i="9"/>
  <c r="AU6" i="9"/>
  <c r="AU7" i="9"/>
  <c r="AU8" i="9"/>
  <c r="AU7" i="11"/>
  <c r="AU8" i="11"/>
  <c r="AU9" i="11"/>
  <c r="AU10" i="11"/>
  <c r="AU12" i="11"/>
  <c r="AU13" i="11"/>
  <c r="AU14" i="11"/>
  <c r="AV5" i="4"/>
  <c r="AV6" i="4"/>
  <c r="AV7" i="4"/>
  <c r="AV8" i="4"/>
  <c r="AV6" i="5"/>
  <c r="AV5" i="10"/>
  <c r="AV5" i="6"/>
  <c r="AV6" i="6"/>
  <c r="AV7" i="6"/>
  <c r="AV6" i="10"/>
  <c r="AV7" i="10"/>
  <c r="AV5" i="7"/>
  <c r="AV6" i="7"/>
  <c r="AV7" i="7"/>
  <c r="AV8" i="7"/>
  <c r="AV9" i="7"/>
  <c r="AV10" i="7"/>
  <c r="AV8" i="10"/>
  <c r="AV9" i="10"/>
  <c r="AU8" i="8"/>
  <c r="AV5" i="8"/>
  <c r="AV7" i="8"/>
  <c r="AV10" i="10"/>
  <c r="AV11" i="10"/>
  <c r="AV12" i="10"/>
  <c r="AV13" i="10"/>
  <c r="AV14" i="10"/>
  <c r="AV15" i="10"/>
  <c r="AV5" i="11"/>
  <c r="AV6" i="11"/>
  <c r="AV5" i="9"/>
  <c r="AV6" i="9"/>
  <c r="AV7" i="9"/>
  <c r="AV8" i="9"/>
  <c r="AV7" i="11"/>
  <c r="AV8" i="11"/>
  <c r="AV9" i="11"/>
  <c r="AV10" i="11"/>
  <c r="AV12" i="11"/>
  <c r="AV13" i="11"/>
  <c r="AV14" i="11"/>
  <c r="AW5" i="4"/>
  <c r="AW6" i="4"/>
  <c r="AW7" i="4"/>
  <c r="AW8" i="4"/>
  <c r="AW6" i="5"/>
  <c r="AW5" i="10"/>
  <c r="AW5" i="6"/>
  <c r="AW6" i="6"/>
  <c r="AW7" i="6"/>
  <c r="AW6" i="10"/>
  <c r="AW7" i="10"/>
  <c r="AW5" i="7"/>
  <c r="AW6" i="7"/>
  <c r="AW7" i="7"/>
  <c r="AW8" i="7"/>
  <c r="AW9" i="7"/>
  <c r="AW10" i="7"/>
  <c r="AW8" i="10"/>
  <c r="AW9" i="10"/>
  <c r="AV8" i="8"/>
  <c r="AW5" i="8"/>
  <c r="AW7" i="8"/>
  <c r="AW10" i="10"/>
  <c r="AW11" i="10"/>
  <c r="AW12" i="10"/>
  <c r="AW13" i="10"/>
  <c r="AW14" i="10"/>
  <c r="AW15" i="10"/>
  <c r="AW5" i="11"/>
  <c r="AW6" i="11"/>
  <c r="AW5" i="9"/>
  <c r="AW6" i="9"/>
  <c r="AW7" i="9"/>
  <c r="AW8" i="9"/>
  <c r="AW7" i="11"/>
  <c r="AW8" i="11"/>
  <c r="AW9" i="11"/>
  <c r="AW10" i="11"/>
  <c r="AW12" i="11"/>
  <c r="AW13" i="11"/>
  <c r="AW14" i="11"/>
  <c r="AX5" i="4"/>
  <c r="AX6" i="4"/>
  <c r="AX7" i="4"/>
  <c r="AX8" i="4"/>
  <c r="AX6" i="5"/>
  <c r="AX5" i="10"/>
  <c r="AX5" i="6"/>
  <c r="AX6" i="6"/>
  <c r="AX7" i="6"/>
  <c r="AX6" i="10"/>
  <c r="AX7" i="10"/>
  <c r="AX5" i="7"/>
  <c r="AX6" i="7"/>
  <c r="AX7" i="7"/>
  <c r="AX8" i="7"/>
  <c r="AX9" i="7"/>
  <c r="AX10" i="7"/>
  <c r="AX8" i="10"/>
  <c r="AX9" i="10"/>
  <c r="AW8" i="8"/>
  <c r="AX5" i="8"/>
  <c r="AX7" i="8"/>
  <c r="AX10" i="10"/>
  <c r="AX11" i="10"/>
  <c r="AX12" i="10"/>
  <c r="AX13" i="10"/>
  <c r="AX14" i="10"/>
  <c r="AX15" i="10"/>
  <c r="AX5" i="11"/>
  <c r="AX6" i="11"/>
  <c r="AX5" i="9"/>
  <c r="AX6" i="9"/>
  <c r="AX7" i="9"/>
  <c r="AX8" i="9"/>
  <c r="AX7" i="11"/>
  <c r="AX8" i="11"/>
  <c r="AX9" i="11"/>
  <c r="AX10" i="11"/>
  <c r="AX12" i="11"/>
  <c r="AX13" i="11"/>
  <c r="AX14" i="11"/>
  <c r="AY5" i="4"/>
  <c r="AY6" i="4"/>
  <c r="AY7" i="4"/>
  <c r="AY8" i="4"/>
  <c r="AY6" i="5"/>
  <c r="AY5" i="10"/>
  <c r="AY5" i="6"/>
  <c r="AY6" i="6"/>
  <c r="AY7" i="6"/>
  <c r="AY6" i="10"/>
  <c r="AY7" i="10"/>
  <c r="AY5" i="7"/>
  <c r="AY6" i="7"/>
  <c r="AY7" i="7"/>
  <c r="AY8" i="7"/>
  <c r="AY9" i="7"/>
  <c r="AY10" i="7"/>
  <c r="AY8" i="10"/>
  <c r="AY9" i="10"/>
  <c r="AX8" i="8"/>
  <c r="AY5" i="8"/>
  <c r="AY7" i="8"/>
  <c r="AY10" i="10"/>
  <c r="AY11" i="10"/>
  <c r="AY12" i="10"/>
  <c r="AY13" i="10"/>
  <c r="AY14" i="10"/>
  <c r="AY15" i="10"/>
  <c r="AY5" i="11"/>
  <c r="AY6" i="11"/>
  <c r="AY5" i="9"/>
  <c r="AY6" i="9"/>
  <c r="AY7" i="9"/>
  <c r="AY8" i="9"/>
  <c r="AY7" i="11"/>
  <c r="AY8" i="11"/>
  <c r="AY9" i="11"/>
  <c r="AY10" i="11"/>
  <c r="AY12" i="11"/>
  <c r="AY13" i="11"/>
  <c r="AY14" i="11"/>
  <c r="AZ5" i="4"/>
  <c r="AZ6" i="4"/>
  <c r="AZ7" i="4"/>
  <c r="AZ8" i="4"/>
  <c r="AZ6" i="5"/>
  <c r="AZ5" i="10"/>
  <c r="AZ5" i="6"/>
  <c r="AZ6" i="6"/>
  <c r="AZ7" i="6"/>
  <c r="AZ6" i="10"/>
  <c r="AZ7" i="10"/>
  <c r="AZ5" i="7"/>
  <c r="AZ6" i="7"/>
  <c r="AZ7" i="7"/>
  <c r="AZ8" i="7"/>
  <c r="AZ9" i="7"/>
  <c r="AZ10" i="7"/>
  <c r="AZ8" i="10"/>
  <c r="AZ9" i="10"/>
  <c r="AY8" i="8"/>
  <c r="AZ5" i="8"/>
  <c r="AZ7" i="8"/>
  <c r="AZ10" i="10"/>
  <c r="AZ11" i="10"/>
  <c r="AZ12" i="10"/>
  <c r="AZ13" i="10"/>
  <c r="AZ14" i="10"/>
  <c r="AZ15" i="10"/>
  <c r="AZ5" i="11"/>
  <c r="AZ6" i="11"/>
  <c r="AZ5" i="9"/>
  <c r="AZ6" i="9"/>
  <c r="AZ7" i="9"/>
  <c r="AZ8" i="9"/>
  <c r="AZ7" i="11"/>
  <c r="AZ8" i="11"/>
  <c r="AZ9" i="11"/>
  <c r="AZ10" i="11"/>
  <c r="AZ12" i="11"/>
  <c r="AZ13" i="11"/>
  <c r="AZ14" i="11"/>
  <c r="BA5" i="4"/>
  <c r="BA6" i="4"/>
  <c r="BA7" i="4"/>
  <c r="BA8" i="4"/>
  <c r="BA6" i="5"/>
  <c r="BA5" i="10"/>
  <c r="BA5" i="6"/>
  <c r="BA6" i="6"/>
  <c r="BA7" i="6"/>
  <c r="BA6" i="10"/>
  <c r="BA7" i="10"/>
  <c r="BA5" i="7"/>
  <c r="BA6" i="7"/>
  <c r="BA7" i="7"/>
  <c r="BA8" i="7"/>
  <c r="BA9" i="7"/>
  <c r="BA10" i="7"/>
  <c r="BA8" i="10"/>
  <c r="BA9" i="10"/>
  <c r="AZ8" i="8"/>
  <c r="BA5" i="8"/>
  <c r="BA7" i="8"/>
  <c r="BA10" i="10"/>
  <c r="BA11" i="10"/>
  <c r="BA12" i="10"/>
  <c r="BA13" i="10"/>
  <c r="BA14" i="10"/>
  <c r="BA15" i="10"/>
  <c r="BA5" i="11"/>
  <c r="BA6" i="11"/>
  <c r="BA5" i="9"/>
  <c r="BA6" i="9"/>
  <c r="BA7" i="9"/>
  <c r="BA8" i="9"/>
  <c r="BA7" i="11"/>
  <c r="BA8" i="11"/>
  <c r="BA9" i="11"/>
  <c r="BA10" i="11"/>
  <c r="BA12" i="11"/>
  <c r="BA13" i="11"/>
  <c r="BA14" i="11"/>
  <c r="BB5" i="4"/>
  <c r="BB6" i="4"/>
  <c r="BB7" i="4"/>
  <c r="BB8" i="4"/>
  <c r="BB6" i="5"/>
  <c r="BB5" i="10"/>
  <c r="BB5" i="6"/>
  <c r="BB6" i="6"/>
  <c r="BB7" i="6"/>
  <c r="BB6" i="10"/>
  <c r="BB7" i="10"/>
  <c r="BB5" i="7"/>
  <c r="BB6" i="7"/>
  <c r="BB7" i="7"/>
  <c r="BB8" i="7"/>
  <c r="BB9" i="7"/>
  <c r="BB10" i="7"/>
  <c r="BB8" i="10"/>
  <c r="BB9" i="10"/>
  <c r="BA8" i="8"/>
  <c r="BB5" i="8"/>
  <c r="BB7" i="8"/>
  <c r="BB10" i="10"/>
  <c r="BB11" i="10"/>
  <c r="BB12" i="10"/>
  <c r="BB13" i="10"/>
  <c r="BB14" i="10"/>
  <c r="BB15" i="10"/>
  <c r="BB5" i="11"/>
  <c r="BB6" i="11"/>
  <c r="BB5" i="9"/>
  <c r="BB6" i="9"/>
  <c r="BB7" i="9"/>
  <c r="BB8" i="9"/>
  <c r="BB7" i="11"/>
  <c r="BB8" i="11"/>
  <c r="BB9" i="11"/>
  <c r="BB10" i="11"/>
  <c r="BB12" i="11"/>
  <c r="BB13" i="11"/>
  <c r="BB14" i="11"/>
  <c r="BC5" i="4"/>
  <c r="BC6" i="4"/>
  <c r="BC7" i="4"/>
  <c r="BC8" i="4"/>
  <c r="BC6" i="5"/>
  <c r="BC5" i="10"/>
  <c r="BC5" i="6"/>
  <c r="BC6" i="6"/>
  <c r="BC7" i="6"/>
  <c r="BC6" i="10"/>
  <c r="BC7" i="10"/>
  <c r="BC5" i="7"/>
  <c r="BC6" i="7"/>
  <c r="BC7" i="7"/>
  <c r="BC8" i="7"/>
  <c r="BC9" i="7"/>
  <c r="BC10" i="7"/>
  <c r="BC8" i="10"/>
  <c r="BC9" i="10"/>
  <c r="BB8" i="8"/>
  <c r="BC5" i="8"/>
  <c r="BC7" i="8"/>
  <c r="BC10" i="10"/>
  <c r="BC11" i="10"/>
  <c r="BC12" i="10"/>
  <c r="BC13" i="10"/>
  <c r="BC14" i="10"/>
  <c r="BC15" i="10"/>
  <c r="BC5" i="11"/>
  <c r="BC6" i="11"/>
  <c r="BC5" i="9"/>
  <c r="BC6" i="9"/>
  <c r="BC7" i="9"/>
  <c r="BC8" i="9"/>
  <c r="BC7" i="11"/>
  <c r="BC8" i="11"/>
  <c r="BC9" i="11"/>
  <c r="BC10" i="11"/>
  <c r="BC12" i="11"/>
  <c r="BC13" i="11"/>
  <c r="BC14" i="11"/>
  <c r="BD5" i="4"/>
  <c r="BD6" i="4"/>
  <c r="BD7" i="4"/>
  <c r="BD8" i="4"/>
  <c r="BD6" i="5"/>
  <c r="BD5" i="10"/>
  <c r="BD5" i="6"/>
  <c r="BD6" i="6"/>
  <c r="BD7" i="6"/>
  <c r="BD6" i="10"/>
  <c r="BD7" i="10"/>
  <c r="BD5" i="7"/>
  <c r="BD6" i="7"/>
  <c r="BD7" i="7"/>
  <c r="BD8" i="7"/>
  <c r="BD9" i="7"/>
  <c r="BD10" i="7"/>
  <c r="BD8" i="10"/>
  <c r="BD9" i="10"/>
  <c r="BC8" i="8"/>
  <c r="BD5" i="8"/>
  <c r="BD7" i="8"/>
  <c r="BD10" i="10"/>
  <c r="BD11" i="10"/>
  <c r="BD12" i="10"/>
  <c r="BD13" i="10"/>
  <c r="BD14" i="10"/>
  <c r="BD15" i="10"/>
  <c r="BD5" i="11"/>
  <c r="BD6" i="11"/>
  <c r="BD5" i="9"/>
  <c r="BD6" i="9"/>
  <c r="BD7" i="9"/>
  <c r="BD8" i="9"/>
  <c r="BD7" i="11"/>
  <c r="BD8" i="11"/>
  <c r="BD9" i="11"/>
  <c r="BD10" i="11"/>
  <c r="BD12" i="11"/>
  <c r="BD13" i="11"/>
  <c r="BD14" i="11"/>
  <c r="BE5" i="4"/>
  <c r="BE6" i="4"/>
  <c r="BE7" i="4"/>
  <c r="BE8" i="4"/>
  <c r="BE6" i="5"/>
  <c r="BE5" i="10"/>
  <c r="BE5" i="6"/>
  <c r="BE6" i="6"/>
  <c r="BE7" i="6"/>
  <c r="BE6" i="10"/>
  <c r="BE7" i="10"/>
  <c r="BE5" i="7"/>
  <c r="BE6" i="7"/>
  <c r="BE7" i="7"/>
  <c r="BE8" i="7"/>
  <c r="BE9" i="7"/>
  <c r="BE10" i="7"/>
  <c r="BE8" i="10"/>
  <c r="BE9" i="10"/>
  <c r="BD8" i="8"/>
  <c r="BE5" i="8"/>
  <c r="BE7" i="8"/>
  <c r="BE10" i="10"/>
  <c r="BE11" i="10"/>
  <c r="BE12" i="10"/>
  <c r="BE13" i="10"/>
  <c r="BE14" i="10"/>
  <c r="BE15" i="10"/>
  <c r="BE5" i="11"/>
  <c r="BE6" i="11"/>
  <c r="BE5" i="9"/>
  <c r="BE6" i="9"/>
  <c r="BE7" i="9"/>
  <c r="BE8" i="9"/>
  <c r="BE7" i="11"/>
  <c r="BE8" i="11"/>
  <c r="BE9" i="11"/>
  <c r="BE10" i="11"/>
  <c r="BE12" i="11"/>
  <c r="BE13" i="11"/>
  <c r="BE14" i="11"/>
  <c r="BF5" i="4"/>
  <c r="BF6" i="4"/>
  <c r="BF7" i="4"/>
  <c r="BF8" i="4"/>
  <c r="BF6" i="5"/>
  <c r="BF5" i="10"/>
  <c r="BF5" i="6"/>
  <c r="BF6" i="6"/>
  <c r="BF7" i="6"/>
  <c r="BF6" i="10"/>
  <c r="BF7" i="10"/>
  <c r="BF5" i="7"/>
  <c r="BF6" i="7"/>
  <c r="BF7" i="7"/>
  <c r="BF8" i="7"/>
  <c r="BF9" i="7"/>
  <c r="BF10" i="7"/>
  <c r="BF8" i="10"/>
  <c r="BF9" i="10"/>
  <c r="BE8" i="8"/>
  <c r="BF5" i="8"/>
  <c r="BF7" i="8"/>
  <c r="BF10" i="10"/>
  <c r="BF11" i="10"/>
  <c r="BF12" i="10"/>
  <c r="BF13" i="10"/>
  <c r="BF14" i="10"/>
  <c r="BF15" i="10"/>
  <c r="BF5" i="11"/>
  <c r="BF6" i="11"/>
  <c r="BF5" i="9"/>
  <c r="BF6" i="9"/>
  <c r="BF7" i="9"/>
  <c r="BF8" i="9"/>
  <c r="BF7" i="11"/>
  <c r="BF8" i="11"/>
  <c r="BF9" i="11"/>
  <c r="BF10" i="11"/>
  <c r="BF12" i="11"/>
  <c r="BF13" i="11"/>
  <c r="BF14" i="11"/>
  <c r="BG5" i="4"/>
  <c r="BG6" i="4"/>
  <c r="BG7" i="4"/>
  <c r="BG8" i="4"/>
  <c r="BG6" i="5"/>
  <c r="BG5" i="10"/>
  <c r="BG5" i="6"/>
  <c r="BG6" i="6"/>
  <c r="BG7" i="6"/>
  <c r="BG6" i="10"/>
  <c r="BG7" i="10"/>
  <c r="BG5" i="7"/>
  <c r="BG6" i="7"/>
  <c r="BG7" i="7"/>
  <c r="BG8" i="7"/>
  <c r="BG9" i="7"/>
  <c r="BG10" i="7"/>
  <c r="BG8" i="10"/>
  <c r="BG9" i="10"/>
  <c r="BF8" i="8"/>
  <c r="BG5" i="8"/>
  <c r="BG7" i="8"/>
  <c r="BG10" i="10"/>
  <c r="BG11" i="10"/>
  <c r="BG12" i="10"/>
  <c r="BG13" i="10"/>
  <c r="BG14" i="10"/>
  <c r="BG15" i="10"/>
  <c r="BG5" i="11"/>
  <c r="BG6" i="11"/>
  <c r="BG5" i="9"/>
  <c r="BG6" i="9"/>
  <c r="BG7" i="9"/>
  <c r="BG8" i="9"/>
  <c r="BG7" i="11"/>
  <c r="BG8" i="11"/>
  <c r="BG9" i="11"/>
  <c r="BG10" i="11"/>
  <c r="BG12" i="11"/>
  <c r="BG13" i="11"/>
  <c r="BG14" i="11"/>
  <c r="BH5" i="4"/>
  <c r="BH6" i="4"/>
  <c r="BH7" i="4"/>
  <c r="BH8" i="4"/>
  <c r="BH6" i="5"/>
  <c r="BH5" i="10"/>
  <c r="BH5" i="6"/>
  <c r="BH6" i="6"/>
  <c r="BH7" i="6"/>
  <c r="BH6" i="10"/>
  <c r="BH7" i="10"/>
  <c r="BH5" i="7"/>
  <c r="BH6" i="7"/>
  <c r="BH7" i="7"/>
  <c r="BH8" i="7"/>
  <c r="BH9" i="7"/>
  <c r="BH10" i="7"/>
  <c r="BH8" i="10"/>
  <c r="BH9" i="10"/>
  <c r="BG8" i="8"/>
  <c r="BH5" i="8"/>
  <c r="BH7" i="8"/>
  <c r="BH10" i="10"/>
  <c r="BH11" i="10"/>
  <c r="BH12" i="10"/>
  <c r="BH13" i="10"/>
  <c r="BH14" i="10"/>
  <c r="BH15" i="10"/>
  <c r="BH5" i="11"/>
  <c r="BH6" i="11"/>
  <c r="BH5" i="9"/>
  <c r="BH6" i="9"/>
  <c r="BH7" i="9"/>
  <c r="BH8" i="9"/>
  <c r="BH7" i="11"/>
  <c r="BH8" i="11"/>
  <c r="BH9" i="11"/>
  <c r="BH10" i="11"/>
  <c r="BH12" i="11"/>
  <c r="BH13" i="11"/>
  <c r="BH14" i="11"/>
  <c r="BI5" i="4"/>
  <c r="BI6" i="4"/>
  <c r="BI7" i="4"/>
  <c r="BI8" i="4"/>
  <c r="BI6" i="5"/>
  <c r="BI5" i="10"/>
  <c r="BI5" i="6"/>
  <c r="BI6" i="6"/>
  <c r="BI7" i="6"/>
  <c r="BI6" i="10"/>
  <c r="BI7" i="10"/>
  <c r="BI5" i="7"/>
  <c r="BI6" i="7"/>
  <c r="BI7" i="7"/>
  <c r="BI8" i="7"/>
  <c r="BI9" i="7"/>
  <c r="BI10" i="7"/>
  <c r="BI8" i="10"/>
  <c r="BI9" i="10"/>
  <c r="BH8" i="8"/>
  <c r="BI5" i="8"/>
  <c r="BI7" i="8"/>
  <c r="BI10" i="10"/>
  <c r="BI11" i="10"/>
  <c r="BI12" i="10"/>
  <c r="BI13" i="10"/>
  <c r="BI14" i="10"/>
  <c r="BI15" i="10"/>
  <c r="BI5" i="11"/>
  <c r="BI6" i="11"/>
  <c r="BI5" i="9"/>
  <c r="BI6" i="9"/>
  <c r="BI7" i="9"/>
  <c r="BI8" i="9"/>
  <c r="BI7" i="11"/>
  <c r="BI8" i="11"/>
  <c r="BI9" i="11"/>
  <c r="BI10" i="11"/>
  <c r="BI12" i="11"/>
  <c r="BI13" i="11"/>
  <c r="BI14" i="11"/>
  <c r="BJ5" i="4"/>
  <c r="BJ6" i="4"/>
  <c r="BJ7" i="4"/>
  <c r="BJ8" i="4"/>
  <c r="BJ6" i="5"/>
  <c r="BJ5" i="10"/>
  <c r="BJ5" i="6"/>
  <c r="BJ6" i="6"/>
  <c r="BJ7" i="6"/>
  <c r="BJ6" i="10"/>
  <c r="BJ7" i="10"/>
  <c r="BJ5" i="7"/>
  <c r="BJ6" i="7"/>
  <c r="BJ7" i="7"/>
  <c r="BJ8" i="7"/>
  <c r="BJ9" i="7"/>
  <c r="BJ10" i="7"/>
  <c r="BJ8" i="10"/>
  <c r="BJ9" i="10"/>
  <c r="BI8" i="8"/>
  <c r="BJ5" i="8"/>
  <c r="BJ7" i="8"/>
  <c r="BJ10" i="10"/>
  <c r="BJ11" i="10"/>
  <c r="BJ12" i="10"/>
  <c r="BJ13" i="10"/>
  <c r="BJ14" i="10"/>
  <c r="BJ15" i="10"/>
  <c r="BJ5" i="11"/>
  <c r="BJ6" i="11"/>
  <c r="BJ5" i="9"/>
  <c r="BJ6" i="9"/>
  <c r="BJ7" i="9"/>
  <c r="BJ8" i="9"/>
  <c r="BJ7" i="11"/>
  <c r="BJ8" i="11"/>
  <c r="BJ9" i="11"/>
  <c r="BJ10" i="11"/>
  <c r="BJ12" i="11"/>
  <c r="BJ13" i="11"/>
  <c r="BJ14" i="11"/>
  <c r="BJ8" i="8"/>
</calcChain>
</file>

<file path=xl/sharedStrings.xml><?xml version="1.0" encoding="utf-8"?>
<sst xmlns="http://schemas.openxmlformats.org/spreadsheetml/2006/main" count="744" uniqueCount="186">
  <si>
    <t>Venture Wolf — SaaS &amp; Software Financial Model (India)
Dynamic 60-Month Forecast</t>
  </si>
  <si>
    <t>Confidential - Generated for internal venture analysis.</t>
  </si>
  <si>
    <t>ACTIVE SCENARIO:</t>
  </si>
  <si>
    <t>Base</t>
  </si>
  <si>
    <t>Particulars</t>
  </si>
  <si>
    <t>Worst</t>
  </si>
  <si>
    <t>Best</t>
  </si>
  <si>
    <t>1. MACRO-ECONOMIC &amp; TAX (INDIA)</t>
  </si>
  <si>
    <t>Corporate Tax Rate (%)</t>
  </si>
  <si>
    <t>DPIIT Tax Holiday Active (1=Yes, 0=No)</t>
  </si>
  <si>
    <t>Employer PF Burden (%)</t>
  </si>
  <si>
    <t>Initial Customer Count</t>
  </si>
  <si>
    <t>Avg. Monthly Revenue Per User (₹)</t>
  </si>
  <si>
    <t>MoM Growth Rate (%)</t>
  </si>
  <si>
    <t>Monthly Churn Rate (%)</t>
  </si>
  <si>
    <t>3. COST &amp; OPEX DRIVERS</t>
  </si>
  <si>
    <t>Direct COGS Margin (%)</t>
  </si>
  <si>
    <t>Annual Payroll Inflation (%)</t>
  </si>
  <si>
    <t>Marketing Spend (% of Revenue)</t>
  </si>
  <si>
    <t>Accounts Receivable (Days)</t>
  </si>
  <si>
    <t>Inventory Days (if applicable)</t>
  </si>
  <si>
    <t>Accounts Payable (Days)</t>
  </si>
  <si>
    <t>Funding Requirement (Tranche Breakdown)</t>
  </si>
  <si>
    <t>Use of Funds</t>
  </si>
  <si>
    <t>Amount (₹)</t>
  </si>
  <si>
    <t>CapEx &amp; Hardware</t>
  </si>
  <si>
    <t>Working Capital Buffer</t>
  </si>
  <si>
    <t>Marketing Launch</t>
  </si>
  <si>
    <t>Contingency</t>
  </si>
  <si>
    <t>Total Funding Required</t>
  </si>
  <si>
    <t>Subscriber Funnel &amp; Growth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</si>
  <si>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</si>
  <si>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</si>
  <si>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</si>
  <si>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</si>
  <si>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</si>
  <si>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</si>
  <si>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</si>
  <si>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</si>
  <si>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</si>
  <si>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</si>
  <si>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</si>
  <si>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</si>
  <si>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</si>
  <si>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</si>
  <si>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</si>
  <si>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</si>
  <si>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</si>
  <si>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</si>
  <si>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</si>
  <si>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</si>
  <si>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</si>
  <si>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</si>
  <si>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</si>
  <si>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</si>
  <si>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</si>
  <si>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</si>
  <si>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</si>
  <si>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</si>
  <si>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</si>
  <si>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</si>
  <si>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</si>
  <si>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</si>
  <si>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</si>
  <si>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</si>
  <si>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</si>
  <si>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</si>
  <si>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</si>
  <si>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</si>
  <si>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</si>
  <si>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</si>
  <si>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</si>
  <si>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</si>
  <si>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</si>
  <si>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</si>
  <si>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</si>
  <si>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</si>
  <si>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</si>
  <si>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</si>
  <si>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</si>
  <si>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</si>
  <si>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</si>
  <si>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</si>
  <si>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</si>
  <si>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</si>
  <si>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</si>
  <si>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</si>
  <si>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</si>
  <si>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</si>
  <si>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</si>
  <si>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</si>
  <si>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Starting Subscribers</t>
  </si>
  <si>
    <t>New Subscribers</t>
  </si>
  <si>
    <t>Churned Subscribers</t>
  </si>
  <si>
    <t>Ending Subscribers</t>
  </si>
  <si>
    <t>MRR &amp; Revenue Engine</t>
  </si>
  <si>
    <t>ARPU (Average Revenue Per User) (₹)</t>
  </si>
  <si>
    <t>Total MRR (Total Revenue) (₹)</t>
  </si>
  <si>
    <t>Cloud Infrastructure &amp; Variable COGS</t>
  </si>
  <si>
    <t>Cloud &amp; Server Hosting (₹)</t>
  </si>
  <si>
    <t>Payment Gateway Fees (2%) (₹)</t>
  </si>
  <si>
    <t>Total COGS (₹)</t>
  </si>
  <si>
    <t>HR &amp; Operating Expenses (OpEx)</t>
  </si>
  <si>
    <t>Engineering &amp; Product (₹)</t>
  </si>
  <si>
    <t>Sales &amp; Marketing (CAC) (₹)</t>
  </si>
  <si>
    <t>Customer Success (₹)</t>
  </si>
  <si>
    <t>Founders (₹)</t>
  </si>
  <si>
    <t>Admin &amp; Legal (₹)</t>
  </si>
  <si>
    <t>Total OpEx (Incl. PF Burden) (₹)</t>
  </si>
  <si>
    <t>CapEx &amp; Depreciation Schedule</t>
  </si>
  <si>
    <t>Opening Asset Balance (₹)</t>
  </si>
  <si>
    <t>New CapEx Additions (₹)</t>
  </si>
  <si>
    <t>Depreciation Expense (₹)</t>
  </si>
  <si>
    <t>Closing Asset Balance (₹)</t>
  </si>
  <si>
    <t>Working Capital Schedule</t>
  </si>
  <si>
    <t>Accounts Receivable (₹)</t>
  </si>
  <si>
    <t>Accounts Payable (₹)</t>
  </si>
  <si>
    <t>Net Working Capital (₹)</t>
  </si>
  <si>
    <t>Change in Working Capital (₹)</t>
  </si>
  <si>
    <t>Monthly Profit &amp; Loss</t>
  </si>
  <si>
    <t>Total Revenue</t>
  </si>
  <si>
    <t>Total COGS</t>
  </si>
  <si>
    <t>Gross Profit</t>
  </si>
  <si>
    <t>Total OpEx</t>
  </si>
  <si>
    <t>EBITDA</t>
  </si>
  <si>
    <t>Depreciation &amp; Amortization</t>
  </si>
  <si>
    <t>EBIT</t>
  </si>
  <si>
    <t>Interest Expense</t>
  </si>
  <si>
    <t>Profit Before Tax (PBT)</t>
  </si>
  <si>
    <t>Corporate Tax</t>
  </si>
  <si>
    <t>Net Income (PAT)</t>
  </si>
  <si>
    <t>Monthly Cash Flow Statement</t>
  </si>
  <si>
    <t>Net Income (₹)</t>
  </si>
  <si>
    <t>Add Back: Depreciation (₹)</t>
  </si>
  <si>
    <t>Less: Change in Working Capital (₹)</t>
  </si>
  <si>
    <t>Operating Cash Flow (₹)</t>
  </si>
  <si>
    <t>Less: CapEx Additions (₹)</t>
  </si>
  <si>
    <t>Investing Cash Flow (₹)</t>
  </si>
  <si>
    <t>Add: Equity Funding (₹)</t>
  </si>
  <si>
    <t>Financing Cash Flow (₹)</t>
  </si>
  <si>
    <t>Net Cash Flow for Month (₹)</t>
  </si>
  <si>
    <t>Closing Cash Balance (₹)</t>
  </si>
  <si>
    <t>Venture Wolf India — Master Quarterly Dashboard (Full Metrics)</t>
  </si>
  <si>
    <t>BASE CASE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</si>
  <si>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</si>
  <si>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</si>
  <si>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</si>
  <si>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</si>
  <si>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</si>
  <si>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</si>
  <si>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</si>
  <si>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</si>
  <si>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</si>
  <si>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</si>
  <si>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</si>
  <si>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</si>
  <si>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</si>
  <si>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</si>
  <si>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</si>
  <si>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</si>
  <si>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</si>
  <si>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</si>
  <si>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</si>
  <si>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</si>
  <si>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1. Total Revenue</t>
  </si>
  <si>
    <t>2. Total COGS</t>
  </si>
  <si>
    <t>3. Gross Profit</t>
  </si>
  <si>
    <t>A. Gross Margin %</t>
  </si>
  <si>
    <t>4. Total Operating Expenses</t>
  </si>
  <si>
    <t>5. EBITDA</t>
  </si>
  <si>
    <t>B. EBITDA %</t>
  </si>
  <si>
    <t>6. Depreciation &amp; Amortisation</t>
  </si>
  <si>
    <t>7. EBIT</t>
  </si>
  <si>
    <t>8. Interest</t>
  </si>
  <si>
    <t>9. PBT</t>
  </si>
  <si>
    <t>10. Taxes</t>
  </si>
  <si>
    <t>11. PAT</t>
  </si>
  <si>
    <t>C. PAT %</t>
  </si>
  <si>
    <t>BEST CASE</t>
  </si>
  <si>
    <t>WORST CASE</t>
  </si>
  <si>
    <t>Venture Wolf India — Master Summary Dashboard (Full Metrics)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</si>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</sst>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1" x14ac:knownFonts="1">
    <font>
      <sz val="11"/>
      <color theme="1"/>
      <name val="Calibri"/>
      <family val="2"/>
      <scheme val="minor"/>
    </font>
    <font>
      <b/>
      <sz val="28"/>
      <color rgb="FFFFFFFF"/>
      <name val="Arial"/>
    </font>
    <font>
      <i/>
      <sz val="12"/>
      <name val="Arial"/>
    </font>
    <font>
      <b/>
      <sz val="14"/>
      <color rgb="FF0F172A"/>
      <name val="Arial"/>
    </font>
    <font>
      <b/>
      <sz val="11"/>
      <color rgb="FF0F172A"/>
      <name val="Arial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b/>
      <sz val="11"/>
      <name val="Calibri"/>
    </font>
    <font>
      <b/>
      <sz val="16"/>
      <color rgb="FF0F172A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08A"/>
      </patternFill>
    </fill>
    <fill>
      <patternFill patternType="solid">
        <fgColor rgb="FF38BDF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0" fontId="6" fillId="3" borderId="2" xfId="0" applyNumberFormat="1" applyFont="1" applyFill="1" applyBorder="1" applyAlignment="1">
      <alignment horizontal="right" vertical="center"/>
    </xf>
    <xf numFmtId="1" fontId="6" fillId="3" borderId="2" xfId="0" applyNumberFormat="1" applyFont="1" applyFill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64" fontId="9" fillId="4" borderId="2" xfId="0" applyNumberFormat="1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9" fillId="0" borderId="0" xfId="0" applyFont="1"/>
    <xf numFmtId="164" fontId="6" fillId="0" borderId="2" xfId="0" applyNumberFormat="1" applyFont="1" applyBorder="1" applyAlignment="1">
      <alignment horizontal="right" vertical="center"/>
    </xf>
    <xf numFmtId="0" fontId="10" fillId="0" borderId="0" xfId="0" applyFont="1"/>
    <xf numFmtId="164" fontId="9" fillId="5" borderId="2" xfId="0" applyNumberFormat="1" applyFont="1" applyFill="1" applyBorder="1" applyAlignment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10" fontId="9" fillId="0" borderId="2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H18"/>
  <sheetViews>
    <sheetView showGridLines="0" tabSelected="1" zoomScaleNormal="100" workbookViewId="0"/>
  </sheetViews>
  <sheetFormatPr defaultRowHeight="15" x14ac:dyDescent="0.2"/>
  <cols>
    <col min="1" max="1" width="4.03515625" customWidth="1"/>
  </cols>
  <sheetData>
    <row r="10" spans="2:8" x14ac:dyDescent="0.2">
      <c r="B10" s="20" t="s">
        <v>0</v>
      </c>
      <c r="C10" s="20"/>
      <c r="D10" s="20"/>
      <c r="E10" s="20"/>
      <c r="F10" s="20"/>
      <c r="G10" s="20"/>
      <c r="H10" s="20"/>
    </row>
    <row r="11" spans="2:8" x14ac:dyDescent="0.2">
      <c r="B11" s="20"/>
      <c r="C11" s="20"/>
      <c r="D11" s="20"/>
      <c r="E11" s="20"/>
      <c r="F11" s="20"/>
      <c r="G11" s="20"/>
      <c r="H11" s="20"/>
    </row>
    <row r="12" spans="2:8" x14ac:dyDescent="0.2">
      <c r="B12" s="20"/>
      <c r="C12" s="20"/>
      <c r="D12" s="20"/>
      <c r="E12" s="20"/>
      <c r="F12" s="20"/>
      <c r="G12" s="20"/>
      <c r="H12" s="20"/>
    </row>
    <row r="13" spans="2:8" x14ac:dyDescent="0.2">
      <c r="B13" s="20"/>
      <c r="C13" s="20"/>
      <c r="D13" s="20"/>
      <c r="E13" s="20"/>
      <c r="F13" s="20"/>
      <c r="G13" s="20"/>
      <c r="H13" s="20"/>
    </row>
    <row r="14" spans="2:8" x14ac:dyDescent="0.2">
      <c r="B14" s="20"/>
      <c r="C14" s="20"/>
      <c r="D14" s="20"/>
      <c r="E14" s="20"/>
      <c r="F14" s="20"/>
      <c r="G14" s="20"/>
      <c r="H14" s="20"/>
    </row>
    <row r="15" spans="2:8" x14ac:dyDescent="0.2">
      <c r="B15" s="20"/>
      <c r="C15" s="20"/>
      <c r="D15" s="20"/>
      <c r="E15" s="20"/>
      <c r="F15" s="20"/>
      <c r="G15" s="20"/>
      <c r="H15" s="20"/>
    </row>
    <row r="16" spans="2:8" x14ac:dyDescent="0.2">
      <c r="B16" s="20"/>
      <c r="C16" s="20"/>
      <c r="D16" s="20"/>
      <c r="E16" s="20"/>
      <c r="F16" s="20"/>
      <c r="G16" s="20"/>
      <c r="H16" s="20"/>
    </row>
    <row r="18" spans="2:8" x14ac:dyDescent="0.2">
      <c r="B18" s="21" t="s">
        <v>1</v>
      </c>
      <c r="C18" s="21"/>
      <c r="D18" s="21"/>
      <c r="E18" s="21"/>
      <c r="F18" s="21"/>
      <c r="G18" s="21"/>
      <c r="H18" s="21"/>
    </row>
  </sheetData>
  <mergeCells count="2">
    <mergeCell ref="B10:H16"/>
    <mergeCell ref="B18:H18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2"/>
  <sheetViews>
    <sheetView showGridLines="0" zoomScaleNormal="100" workbookViewId="0"/>
  </sheetViews>
  <sheetFormatPr defaultRowHeight="15" x14ac:dyDescent="0.2"/>
  <cols>
    <col min="1" max="1" width="4.03515625" customWidth="1"/>
    <col min="2" max="2" width="45.0625" customWidth="1"/>
    <col min="3" max="6" width="20.04296875" customWidth="1"/>
  </cols>
  <sheetData>
    <row r="2" spans="2:5" ht="18" x14ac:dyDescent="0.2">
      <c r="B2" s="1" t="s">
        <v>2</v>
      </c>
      <c r="C2" s="2" t="s">
        <v>3</v>
      </c>
    </row>
    <row r="4" spans="2:5" x14ac:dyDescent="0.2">
      <c r="B4" s="3" t="s">
        <v>4</v>
      </c>
      <c r="C4" s="3" t="s">
        <v>5</v>
      </c>
      <c r="D4" s="3" t="s">
        <v>3</v>
      </c>
      <c r="E4" s="3" t="s">
        <v>6</v>
      </c>
    </row>
    <row r="5" spans="2:5" x14ac:dyDescent="0.2">
      <c r="B5" s="22" t="s">
        <v>7</v>
      </c>
      <c r="C5" s="22"/>
      <c r="D5" s="22"/>
      <c r="E5" s="22"/>
    </row>
    <row r="6" spans="2:5" x14ac:dyDescent="0.2">
      <c r="B6" s="5" t="s">
        <v>8</v>
      </c>
      <c r="C6" s="6">
        <v>0.25</v>
      </c>
      <c r="D6" s="6">
        <v>0.25</v>
      </c>
      <c r="E6" s="6">
        <v>0.25</v>
      </c>
    </row>
    <row r="7" spans="2:5" x14ac:dyDescent="0.2">
      <c r="B7" s="5" t="s">
        <v>9</v>
      </c>
      <c r="C7" s="7">
        <v>0</v>
      </c>
      <c r="D7" s="7">
        <v>0</v>
      </c>
      <c r="E7" s="7">
        <v>0</v>
      </c>
    </row>
    <row r="8" spans="2:5" x14ac:dyDescent="0.2">
      <c r="B8" s="5" t="s">
        <v>10</v>
      </c>
      <c r="C8" s="6">
        <v>0.16</v>
      </c>
      <c r="D8" s="6">
        <v>0.12</v>
      </c>
      <c r="E8" s="6">
        <v>9.5000000000000001E-2</v>
      </c>
    </row>
    <row r="9" spans="2:5" x14ac:dyDescent="0.2">
      <c r="B9" s="22">
        <v>4.4999999999999998E-2</v>
      </c>
      <c r="C9" s="22"/>
      <c r="D9" s="22"/>
      <c r="E9" s="22"/>
    </row>
    <row r="10" spans="2:5" x14ac:dyDescent="0.2">
      <c r="B10" s="5" t="s">
        <v>11</v>
      </c>
      <c r="C10" s="8">
        <v>500</v>
      </c>
      <c r="D10" s="8">
        <v>1000</v>
      </c>
      <c r="E10" s="8">
        <v>2000</v>
      </c>
    </row>
    <row r="11" spans="2:5" x14ac:dyDescent="0.2">
      <c r="B11" s="5" t="s">
        <v>12</v>
      </c>
      <c r="C11" s="9">
        <v>50000</v>
      </c>
      <c r="D11" s="9">
        <v>50000</v>
      </c>
      <c r="E11" s="9">
        <v>50000</v>
      </c>
    </row>
    <row r="12" spans="2:5" x14ac:dyDescent="0.2">
      <c r="B12" s="5" t="s">
        <v>13</v>
      </c>
      <c r="C12" s="6">
        <v>0.02</v>
      </c>
      <c r="D12" s="6">
        <v>0.1</v>
      </c>
      <c r="E12" s="6">
        <v>0.25</v>
      </c>
    </row>
    <row r="13" spans="2:5" x14ac:dyDescent="0.2">
      <c r="B13" s="5" t="s">
        <v>14</v>
      </c>
      <c r="C13" s="6">
        <v>0.14000000000000001</v>
      </c>
      <c r="D13" s="6">
        <v>0.06</v>
      </c>
      <c r="E13" s="6">
        <v>0.02</v>
      </c>
    </row>
    <row r="14" spans="2:5" x14ac:dyDescent="0.2">
      <c r="B14" s="22" t="s">
        <v>15</v>
      </c>
      <c r="C14" s="22"/>
      <c r="D14" s="22"/>
      <c r="E14" s="22"/>
    </row>
    <row r="15" spans="2:5" x14ac:dyDescent="0.2">
      <c r="B15" s="5" t="s">
        <v>16</v>
      </c>
      <c r="C15" s="6">
        <v>0.3</v>
      </c>
      <c r="D15" s="6">
        <v>0.2</v>
      </c>
      <c r="E15" s="6">
        <v>0.15</v>
      </c>
    </row>
    <row r="16" spans="2:5" x14ac:dyDescent="0.2">
      <c r="B16" s="5" t="s">
        <v>17</v>
      </c>
      <c r="C16" s="6">
        <v>0.12</v>
      </c>
      <c r="D16" s="6">
        <v>0.1</v>
      </c>
      <c r="E16" s="6">
        <v>0.08</v>
      </c>
    </row>
    <row r="17" spans="2:5" x14ac:dyDescent="0.2">
      <c r="B17" s="5" t="s">
        <v>18</v>
      </c>
      <c r="C17" s="6">
        <v>0.15</v>
      </c>
      <c r="D17" s="6">
        <v>0.12</v>
      </c>
      <c r="E17" s="6">
        <v>0.1</v>
      </c>
    </row>
    <row r="18" spans="2:5" x14ac:dyDescent="0.2">
      <c r="B18" s="22">
        <v>0.15</v>
      </c>
      <c r="C18" s="22"/>
      <c r="D18" s="22"/>
      <c r="E18" s="22"/>
    </row>
    <row r="19" spans="2:5" x14ac:dyDescent="0.2">
      <c r="B19" s="5" t="s">
        <v>19</v>
      </c>
      <c r="C19" s="7">
        <v>45</v>
      </c>
      <c r="D19" s="7">
        <v>30</v>
      </c>
      <c r="E19" s="7">
        <v>15</v>
      </c>
    </row>
    <row r="20" spans="2:5" x14ac:dyDescent="0.2">
      <c r="B20" s="5" t="s">
        <v>20</v>
      </c>
      <c r="C20" s="7">
        <v>60</v>
      </c>
      <c r="D20" s="7">
        <v>45</v>
      </c>
      <c r="E20" s="7">
        <v>30</v>
      </c>
    </row>
    <row r="21" spans="2:5" x14ac:dyDescent="0.2">
      <c r="B21" s="5" t="s">
        <v>21</v>
      </c>
      <c r="C21" s="7">
        <v>0</v>
      </c>
      <c r="D21" s="7">
        <v>0</v>
      </c>
      <c r="E21" s="7">
        <v>0</v>
      </c>
    </row>
    <row r="22" spans="2:5" x14ac:dyDescent="0.2">
      <c r="C22">
        <v>30</v>
      </c>
      <c r="D22">
        <v>45</v>
      </c>
      <c r="E22">
        <v>60</v>
      </c>
    </row>
  </sheetData>
  <mergeCells count="4">
    <mergeCell ref="B5:E5"/>
    <mergeCell ref="B9:E9"/>
    <mergeCell ref="B14:E14"/>
    <mergeCell ref="B18:E18"/>
  </mergeCells>
  <dataValidations count="1">
    <dataValidation type="list" sqref="C2" xr:uid="{00000000-0002-0000-0100-000000000000}">
      <formula1>"Worst,Base,Best"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9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3" width="20.04296875" customWidth="1"/>
  </cols>
  <sheetData>
    <row r="2" spans="2:3" ht="18" x14ac:dyDescent="0.2">
      <c r="B2" s="10" t="s">
        <v>22</v>
      </c>
    </row>
    <row r="4" spans="2:3" x14ac:dyDescent="0.2">
      <c r="B4" s="4" t="s">
        <v>23</v>
      </c>
      <c r="C4" s="4" t="s">
        <v>24</v>
      </c>
    </row>
    <row r="5" spans="2:3" x14ac:dyDescent="0.2">
      <c r="B5" s="5" t="s">
        <v>25</v>
      </c>
      <c r="C5" s="9">
        <v>5000000</v>
      </c>
    </row>
    <row r="6" spans="2:3" x14ac:dyDescent="0.2">
      <c r="B6" s="5" t="s">
        <v>26</v>
      </c>
      <c r="C6" s="9">
        <v>3000000</v>
      </c>
    </row>
    <row r="7" spans="2:3" x14ac:dyDescent="0.2">
      <c r="B7" s="5" t="s">
        <v>27</v>
      </c>
      <c r="C7" s="9">
        <v>1500000</v>
      </c>
    </row>
    <row r="8" spans="2:3" x14ac:dyDescent="0.2">
      <c r="B8" s="5" t="s">
        <v>28</v>
      </c>
      <c r="C8" s="9">
        <v>500000</v>
      </c>
    </row>
    <row r="9" spans="2:3" x14ac:dyDescent="0.2">
      <c r="B9" s="11" t="s">
        <v>29</v>
      </c>
      <c r="C9" s="12">
        <f>SUM(C5:C8)</f>
        <v>10000000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J8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30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91</v>
      </c>
      <c r="C5" s="13">
        <v>0</v>
      </c>
      <c r="D5" s="13">
        <f>C8</f>
        <v>0.4</v>
      </c>
      <c r="E5" s="13">
        <f>D8</f>
        <v>0.81600000000000006</v>
      </c>
      <c r="F5" s="13">
        <f>E8</f>
        <v>1.2510400000000002</v>
      </c>
      <c r="G5" s="13">
        <f>F8</f>
        <v>1.7083776000000002</v>
      </c>
      <c r="H5" s="13">
        <f>G8</f>
        <v>2.1915149440000001</v>
      </c>
      <c r="I5" s="13">
        <f>H8</f>
        <v>2.7042280473600004</v>
      </c>
      <c r="J5" s="13">
        <f>I8</f>
        <v>3.2505987645184007</v>
      </c>
      <c r="K5" s="13">
        <f>J8</f>
        <v>3.8350496786472972</v>
      </c>
      <c r="L5" s="13">
        <f>K8</f>
        <v>4.4623822219284595</v>
      </c>
      <c r="M5" s="13">
        <f>L8</f>
        <v>5.1378183650127527</v>
      </c>
      <c r="N5" s="13">
        <f>M8</f>
        <v>5.867046247151988</v>
      </c>
      <c r="O5" s="13">
        <f>N8</f>
        <v>6.6562701547668697</v>
      </c>
      <c r="P5" s="13">
        <f>O8</f>
        <v>7.5122652961692582</v>
      </c>
      <c r="Q5" s="13">
        <f>P8</f>
        <v>8.4424378641563447</v>
      </c>
      <c r="R5" s="13">
        <f>Q8</f>
        <v>9.4548909266399299</v>
      </c>
      <c r="S5" s="13">
        <f>R8</f>
        <v>10.558496738807795</v>
      </c>
      <c r="T5" s="13">
        <f>S8</f>
        <v>11.762976129022217</v>
      </c>
      <c r="U5" s="13">
        <f>T8</f>
        <v>13.07898567527806</v>
      </c>
      <c r="V5" s="13">
        <f>U8</f>
        <v>14.518213460158274</v>
      </c>
      <c r="W5" s="13">
        <f>V8</f>
        <v>16.093484270485362</v>
      </c>
      <c r="X5" s="13">
        <f>W8</f>
        <v>17.818875193986482</v>
      </c>
      <c r="Y5" s="13">
        <f>X8</f>
        <v>19.709842660050562</v>
      </c>
      <c r="Z5" s="13">
        <f>Y8</f>
        <v>21.783362075921122</v>
      </c>
      <c r="AA5" s="13">
        <f>Z8</f>
        <v>24.058081324386809</v>
      </c>
      <c r="AB5" s="13">
        <f>AA8</f>
        <v>26.554489515246651</v>
      </c>
      <c r="AC5" s="13">
        <f>AB8</f>
        <v>29.295102521687209</v>
      </c>
      <c r="AD5" s="13">
        <f>AC8</f>
        <v>32.304666985476864</v>
      </c>
      <c r="AE5" s="13">
        <f>AD8</f>
        <v>35.610384642948233</v>
      </c>
      <c r="AF5" s="13">
        <f>AE8</f>
        <v>39.242159008631319</v>
      </c>
      <c r="AG5" s="13">
        <f>AF8</f>
        <v>43.232866656799416</v>
      </c>
      <c r="AH5" s="13">
        <f>AG8</f>
        <v>47.618655564946032</v>
      </c>
      <c r="AI5" s="13">
        <f>AH8</f>
        <v>52.439273229359308</v>
      </c>
      <c r="AJ5" s="13">
        <f>AI8</f>
        <v>57.738427533738793</v>
      </c>
      <c r="AK5" s="13">
        <f>AJ8</f>
        <v>63.564183649669609</v>
      </c>
      <c r="AL5" s="13">
        <f>AK8</f>
        <v>69.969400575440105</v>
      </c>
      <c r="AM5" s="13">
        <f>AL8</f>
        <v>77.012211280139439</v>
      </c>
      <c r="AN5" s="13">
        <f>AM8</f>
        <v>84.756550816479375</v>
      </c>
      <c r="AO5" s="13">
        <f>AN8</f>
        <v>93.272737201953746</v>
      </c>
      <c r="AP5" s="13">
        <f>AO8</f>
        <v>102.63811034774596</v>
      </c>
      <c r="AQ5" s="13">
        <f>AP8</f>
        <v>112.93773484258161</v>
      </c>
      <c r="AR5" s="13">
        <f>AQ8</f>
        <v>124.26517297929715</v>
      </c>
      <c r="AS5" s="13">
        <f>AR8</f>
        <v>136.7233350505368</v>
      </c>
      <c r="AT5" s="13">
        <f>AS8</f>
        <v>150.42541464250183</v>
      </c>
      <c r="AU5" s="13">
        <f>AT8</f>
        <v>165.49591742844868</v>
      </c>
      <c r="AV5" s="13">
        <f>AU8</f>
        <v>182.0717928136884</v>
      </c>
      <c r="AW5" s="13">
        <f>AV8</f>
        <v>200.30367871890843</v>
      </c>
      <c r="AX5" s="13">
        <f>AW8</f>
        <v>220.35727081721939</v>
      </c>
      <c r="AY5" s="13">
        <f>AX8</f>
        <v>242.41482867177623</v>
      </c>
      <c r="AZ5" s="13">
        <f>AY8</f>
        <v>266.67683246541867</v>
      </c>
      <c r="BA5" s="13">
        <f>AZ8</f>
        <v>293.36380538283748</v>
      </c>
      <c r="BB5" s="13">
        <f>BA8</f>
        <v>322.71831821174555</v>
      </c>
      <c r="BC5" s="13">
        <f>BB8</f>
        <v>355.00719438610696</v>
      </c>
      <c r="BD5" s="13">
        <f>BC8</f>
        <v>390.52393551671332</v>
      </c>
      <c r="BE5" s="13">
        <f>BD8</f>
        <v>429.59138945886059</v>
      </c>
      <c r="BF5" s="13">
        <f>BE8</f>
        <v>472.564685171794</v>
      </c>
      <c r="BG5" s="13">
        <f>BF8</f>
        <v>519.83446104999791</v>
      </c>
      <c r="BH5" s="13">
        <f>BG8</f>
        <v>571.83041607436076</v>
      </c>
      <c r="BI5" s="13">
        <f>BH8</f>
        <v>629.02521606599817</v>
      </c>
      <c r="BJ5" s="13">
        <f>BI8</f>
        <v>691.93879055374725</v>
      </c>
    </row>
    <row r="6" spans="2:62" x14ac:dyDescent="0.2">
      <c r="B6" t="s">
        <v>92</v>
      </c>
      <c r="C6" s="13">
        <f>INDEX(ASSUMPTIONS!$C$10:$E$10, 1, MATCH(ASSUMPTIONS!$C$2, ASSUMPTIONS!$C$4:$E$4, 0)) / 2500</f>
        <v>0.4</v>
      </c>
      <c r="D6" s="13">
        <f>C6 * (1 + INDEX(ASSUMPTIONS!$C$12:$E$12, 1, MATCH(ASSUMPTIONS!$C$2, ASSUMPTIONS!$C$4:$E$4, 0)))</f>
        <v>0.44000000000000006</v>
      </c>
      <c r="E6" s="13">
        <f>D6 * (1 + INDEX(ASSUMPTIONS!$C$12:$E$12, 1, MATCH(ASSUMPTIONS!$C$2, ASSUMPTIONS!$C$4:$E$4, 0)))</f>
        <v>0.4840000000000001</v>
      </c>
      <c r="F6" s="13">
        <f>E6 * (1 + INDEX(ASSUMPTIONS!$C$12:$E$12, 1, MATCH(ASSUMPTIONS!$C$2, ASSUMPTIONS!$C$4:$E$4, 0)))</f>
        <v>0.5324000000000001</v>
      </c>
      <c r="G6" s="13">
        <f>F6 * (1 + INDEX(ASSUMPTIONS!$C$12:$E$12, 1, MATCH(ASSUMPTIONS!$C$2, ASSUMPTIONS!$C$4:$E$4, 0)))</f>
        <v>0.58564000000000016</v>
      </c>
      <c r="H6" s="13">
        <f>G6 * (1 + INDEX(ASSUMPTIONS!$C$12:$E$12, 1, MATCH(ASSUMPTIONS!$C$2, ASSUMPTIONS!$C$4:$E$4, 0)))</f>
        <v>0.64420400000000022</v>
      </c>
      <c r="I6" s="13">
        <f>H6 * (1 + INDEX(ASSUMPTIONS!$C$12:$E$12, 1, MATCH(ASSUMPTIONS!$C$2, ASSUMPTIONS!$C$4:$E$4, 0)))</f>
        <v>0.70862440000000027</v>
      </c>
      <c r="J6" s="13">
        <f>I6 * (1 + INDEX(ASSUMPTIONS!$C$12:$E$12, 1, MATCH(ASSUMPTIONS!$C$2, ASSUMPTIONS!$C$4:$E$4, 0)))</f>
        <v>0.77948684000000035</v>
      </c>
      <c r="K6" s="13">
        <f>J6 * (1 + INDEX(ASSUMPTIONS!$C$12:$E$12, 1, MATCH(ASSUMPTIONS!$C$2, ASSUMPTIONS!$C$4:$E$4, 0)))</f>
        <v>0.85743552400000045</v>
      </c>
      <c r="L6" s="13">
        <f>K6 * (1 + INDEX(ASSUMPTIONS!$C$12:$E$12, 1, MATCH(ASSUMPTIONS!$C$2, ASSUMPTIONS!$C$4:$E$4, 0)))</f>
        <v>0.94317907640000054</v>
      </c>
      <c r="M6" s="13">
        <f>L6 * (1 + INDEX(ASSUMPTIONS!$C$12:$E$12, 1, MATCH(ASSUMPTIONS!$C$2, ASSUMPTIONS!$C$4:$E$4, 0)))</f>
        <v>1.0374969840400006</v>
      </c>
      <c r="N6" s="13">
        <f>M6 * (1 + INDEX(ASSUMPTIONS!$C$12:$E$12, 1, MATCH(ASSUMPTIONS!$C$2, ASSUMPTIONS!$C$4:$E$4, 0)))</f>
        <v>1.1412466824440006</v>
      </c>
      <c r="O6" s="13">
        <f>N6 * (1 + INDEX(ASSUMPTIONS!$C$12:$E$12, 1, MATCH(ASSUMPTIONS!$C$2, ASSUMPTIONS!$C$4:$E$4, 0)))</f>
        <v>1.2553713506884008</v>
      </c>
      <c r="P6" s="13">
        <f>O6 * (1 + INDEX(ASSUMPTIONS!$C$12:$E$12, 1, MATCH(ASSUMPTIONS!$C$2, ASSUMPTIONS!$C$4:$E$4, 0)))</f>
        <v>1.3809084857572409</v>
      </c>
      <c r="Q6" s="13">
        <f>P6 * (1 + INDEX(ASSUMPTIONS!$C$12:$E$12, 1, MATCH(ASSUMPTIONS!$C$2, ASSUMPTIONS!$C$4:$E$4, 0)))</f>
        <v>1.5189993343329651</v>
      </c>
      <c r="R6" s="13">
        <f>Q6 * (1 + INDEX(ASSUMPTIONS!$C$12:$E$12, 1, MATCH(ASSUMPTIONS!$C$2, ASSUMPTIONS!$C$4:$E$4, 0)))</f>
        <v>1.6708992677662617</v>
      </c>
      <c r="S6" s="13">
        <f>R6 * (1 + INDEX(ASSUMPTIONS!$C$12:$E$12, 1, MATCH(ASSUMPTIONS!$C$2, ASSUMPTIONS!$C$4:$E$4, 0)))</f>
        <v>1.8379891945428881</v>
      </c>
      <c r="T6" s="13">
        <f>S6 * (1 + INDEX(ASSUMPTIONS!$C$12:$E$12, 1, MATCH(ASSUMPTIONS!$C$2, ASSUMPTIONS!$C$4:$E$4, 0)))</f>
        <v>2.0217881139971769</v>
      </c>
      <c r="U6" s="13">
        <f>T6 * (1 + INDEX(ASSUMPTIONS!$C$12:$E$12, 1, MATCH(ASSUMPTIONS!$C$2, ASSUMPTIONS!$C$4:$E$4, 0)))</f>
        <v>2.223966925396895</v>
      </c>
      <c r="V6" s="13">
        <f>U6 * (1 + INDEX(ASSUMPTIONS!$C$12:$E$12, 1, MATCH(ASSUMPTIONS!$C$2, ASSUMPTIONS!$C$4:$E$4, 0)))</f>
        <v>2.4463636179365849</v>
      </c>
      <c r="W6" s="13">
        <f>V6 * (1 + INDEX(ASSUMPTIONS!$C$12:$E$12, 1, MATCH(ASSUMPTIONS!$C$2, ASSUMPTIONS!$C$4:$E$4, 0)))</f>
        <v>2.6909999797302437</v>
      </c>
      <c r="X6" s="13">
        <f>W6 * (1 + INDEX(ASSUMPTIONS!$C$12:$E$12, 1, MATCH(ASSUMPTIONS!$C$2, ASSUMPTIONS!$C$4:$E$4, 0)))</f>
        <v>2.9600999777032682</v>
      </c>
      <c r="Y6" s="13">
        <f>X6 * (1 + INDEX(ASSUMPTIONS!$C$12:$E$12, 1, MATCH(ASSUMPTIONS!$C$2, ASSUMPTIONS!$C$4:$E$4, 0)))</f>
        <v>3.2561099754735952</v>
      </c>
      <c r="Z6" s="13">
        <f>Y6 * (1 + INDEX(ASSUMPTIONS!$C$12:$E$12, 1, MATCH(ASSUMPTIONS!$C$2, ASSUMPTIONS!$C$4:$E$4, 0)))</f>
        <v>3.5817209730209552</v>
      </c>
      <c r="AA6" s="13">
        <f>Z6 * (1 + INDEX(ASSUMPTIONS!$C$12:$E$12, 1, MATCH(ASSUMPTIONS!$C$2, ASSUMPTIONS!$C$4:$E$4, 0)))</f>
        <v>3.939893070323051</v>
      </c>
      <c r="AB6" s="13">
        <f>AA6 * (1 + INDEX(ASSUMPTIONS!$C$12:$E$12, 1, MATCH(ASSUMPTIONS!$C$2, ASSUMPTIONS!$C$4:$E$4, 0)))</f>
        <v>4.3338823773553568</v>
      </c>
      <c r="AC6" s="13">
        <f>AB6 * (1 + INDEX(ASSUMPTIONS!$C$12:$E$12, 1, MATCH(ASSUMPTIONS!$C$2, ASSUMPTIONS!$C$4:$E$4, 0)))</f>
        <v>4.7672706150908928</v>
      </c>
      <c r="AD6" s="13">
        <f>AC6 * (1 + INDEX(ASSUMPTIONS!$C$12:$E$12, 1, MATCH(ASSUMPTIONS!$C$2, ASSUMPTIONS!$C$4:$E$4, 0)))</f>
        <v>5.2439976765999825</v>
      </c>
      <c r="AE6" s="13">
        <f>AD6 * (1 + INDEX(ASSUMPTIONS!$C$12:$E$12, 1, MATCH(ASSUMPTIONS!$C$2, ASSUMPTIONS!$C$4:$E$4, 0)))</f>
        <v>5.768397444259981</v>
      </c>
      <c r="AF6" s="13">
        <f>AE6 * (1 + INDEX(ASSUMPTIONS!$C$12:$E$12, 1, MATCH(ASSUMPTIONS!$C$2, ASSUMPTIONS!$C$4:$E$4, 0)))</f>
        <v>6.3452371886859797</v>
      </c>
      <c r="AG6" s="13">
        <f>AF6 * (1 + INDEX(ASSUMPTIONS!$C$12:$E$12, 1, MATCH(ASSUMPTIONS!$C$2, ASSUMPTIONS!$C$4:$E$4, 0)))</f>
        <v>6.9797609075545779</v>
      </c>
      <c r="AH6" s="13">
        <f>AG6 * (1 + INDEX(ASSUMPTIONS!$C$12:$E$12, 1, MATCH(ASSUMPTIONS!$C$2, ASSUMPTIONS!$C$4:$E$4, 0)))</f>
        <v>7.6777369983100359</v>
      </c>
      <c r="AI6" s="13">
        <f>AH6 * (1 + INDEX(ASSUMPTIONS!$C$12:$E$12, 1, MATCH(ASSUMPTIONS!$C$2, ASSUMPTIONS!$C$4:$E$4, 0)))</f>
        <v>8.4455106981410406</v>
      </c>
      <c r="AJ6" s="13">
        <f>AI6 * (1 + INDEX(ASSUMPTIONS!$C$12:$E$12, 1, MATCH(ASSUMPTIONS!$C$2, ASSUMPTIONS!$C$4:$E$4, 0)))</f>
        <v>9.2900617679551463</v>
      </c>
      <c r="AK6" s="13">
        <f>AJ6 * (1 + INDEX(ASSUMPTIONS!$C$12:$E$12, 1, MATCH(ASSUMPTIONS!$C$2, ASSUMPTIONS!$C$4:$E$4, 0)))</f>
        <v>10.219067944750662</v>
      </c>
      <c r="AL6" s="13">
        <f>AK6 * (1 + INDEX(ASSUMPTIONS!$C$12:$E$12, 1, MATCH(ASSUMPTIONS!$C$2, ASSUMPTIONS!$C$4:$E$4, 0)))</f>
        <v>11.240974739225729</v>
      </c>
      <c r="AM6" s="13">
        <f>AL6 * (1 + INDEX(ASSUMPTIONS!$C$12:$E$12, 1, MATCH(ASSUMPTIONS!$C$2, ASSUMPTIONS!$C$4:$E$4, 0)))</f>
        <v>12.365072213148302</v>
      </c>
      <c r="AN6" s="13">
        <f>AM6 * (1 + INDEX(ASSUMPTIONS!$C$12:$E$12, 1, MATCH(ASSUMPTIONS!$C$2, ASSUMPTIONS!$C$4:$E$4, 0)))</f>
        <v>13.601579434463133</v>
      </c>
      <c r="AO6" s="13">
        <f>AN6 * (1 + INDEX(ASSUMPTIONS!$C$12:$E$12, 1, MATCH(ASSUMPTIONS!$C$2, ASSUMPTIONS!$C$4:$E$4, 0)))</f>
        <v>14.961737377909447</v>
      </c>
      <c r="AP6" s="13">
        <f>AO6 * (1 + INDEX(ASSUMPTIONS!$C$12:$E$12, 1, MATCH(ASSUMPTIONS!$C$2, ASSUMPTIONS!$C$4:$E$4, 0)))</f>
        <v>16.457911115700394</v>
      </c>
      <c r="AQ6" s="13">
        <f>AP6 * (1 + INDEX(ASSUMPTIONS!$C$12:$E$12, 1, MATCH(ASSUMPTIONS!$C$2, ASSUMPTIONS!$C$4:$E$4, 0)))</f>
        <v>18.103702227270436</v>
      </c>
      <c r="AR6" s="13">
        <f>AQ6 * (1 + INDEX(ASSUMPTIONS!$C$12:$E$12, 1, MATCH(ASSUMPTIONS!$C$2, ASSUMPTIONS!$C$4:$E$4, 0)))</f>
        <v>19.91407244999748</v>
      </c>
      <c r="AS6" s="13">
        <f>AR6 * (1 + INDEX(ASSUMPTIONS!$C$12:$E$12, 1, MATCH(ASSUMPTIONS!$C$2, ASSUMPTIONS!$C$4:$E$4, 0)))</f>
        <v>21.905479694997229</v>
      </c>
      <c r="AT6" s="13">
        <f>AS6 * (1 + INDEX(ASSUMPTIONS!$C$12:$E$12, 1, MATCH(ASSUMPTIONS!$C$2, ASSUMPTIONS!$C$4:$E$4, 0)))</f>
        <v>24.096027664496955</v>
      </c>
      <c r="AU6" s="13">
        <f>AT6 * (1 + INDEX(ASSUMPTIONS!$C$12:$E$12, 1, MATCH(ASSUMPTIONS!$C$2, ASSUMPTIONS!$C$4:$E$4, 0)))</f>
        <v>26.505630430946653</v>
      </c>
      <c r="AV6" s="13">
        <f>AU6 * (1 + INDEX(ASSUMPTIONS!$C$12:$E$12, 1, MATCH(ASSUMPTIONS!$C$2, ASSUMPTIONS!$C$4:$E$4, 0)))</f>
        <v>29.15619347404132</v>
      </c>
      <c r="AW6" s="13">
        <f>AV6 * (1 + INDEX(ASSUMPTIONS!$C$12:$E$12, 1, MATCH(ASSUMPTIONS!$C$2, ASSUMPTIONS!$C$4:$E$4, 0)))</f>
        <v>32.071812821445455</v>
      </c>
      <c r="AX6" s="13">
        <f>AW6 * (1 + INDEX(ASSUMPTIONS!$C$12:$E$12, 1, MATCH(ASSUMPTIONS!$C$2, ASSUMPTIONS!$C$4:$E$4, 0)))</f>
        <v>35.278994103590001</v>
      </c>
      <c r="AY6" s="13">
        <f>AX6 * (1 + INDEX(ASSUMPTIONS!$C$12:$E$12, 1, MATCH(ASSUMPTIONS!$C$2, ASSUMPTIONS!$C$4:$E$4, 0)))</f>
        <v>38.806893513949007</v>
      </c>
      <c r="AZ6" s="13">
        <f>AY6 * (1 + INDEX(ASSUMPTIONS!$C$12:$E$12, 1, MATCH(ASSUMPTIONS!$C$2, ASSUMPTIONS!$C$4:$E$4, 0)))</f>
        <v>42.687582865343913</v>
      </c>
      <c r="BA6" s="13">
        <f>AZ6 * (1 + INDEX(ASSUMPTIONS!$C$12:$E$12, 1, MATCH(ASSUMPTIONS!$C$2, ASSUMPTIONS!$C$4:$E$4, 0)))</f>
        <v>46.956341151878306</v>
      </c>
      <c r="BB6" s="13">
        <f>BA6 * (1 + INDEX(ASSUMPTIONS!$C$12:$E$12, 1, MATCH(ASSUMPTIONS!$C$2, ASSUMPTIONS!$C$4:$E$4, 0)))</f>
        <v>51.651975267066142</v>
      </c>
      <c r="BC6" s="13">
        <f>BB6 * (1 + INDEX(ASSUMPTIONS!$C$12:$E$12, 1, MATCH(ASSUMPTIONS!$C$2, ASSUMPTIONS!$C$4:$E$4, 0)))</f>
        <v>56.817172793772762</v>
      </c>
      <c r="BD6" s="13">
        <f>BC6 * (1 + INDEX(ASSUMPTIONS!$C$12:$E$12, 1, MATCH(ASSUMPTIONS!$C$2, ASSUMPTIONS!$C$4:$E$4, 0)))</f>
        <v>62.498890073150044</v>
      </c>
      <c r="BE6" s="13">
        <f>BD6 * (1 + INDEX(ASSUMPTIONS!$C$12:$E$12, 1, MATCH(ASSUMPTIONS!$C$2, ASSUMPTIONS!$C$4:$E$4, 0)))</f>
        <v>68.748779080465056</v>
      </c>
      <c r="BF6" s="13">
        <f>BE6 * (1 + INDEX(ASSUMPTIONS!$C$12:$E$12, 1, MATCH(ASSUMPTIONS!$C$2, ASSUMPTIONS!$C$4:$E$4, 0)))</f>
        <v>75.62365698851157</v>
      </c>
      <c r="BG6" s="13">
        <f>BF6 * (1 + INDEX(ASSUMPTIONS!$C$12:$E$12, 1, MATCH(ASSUMPTIONS!$C$2, ASSUMPTIONS!$C$4:$E$4, 0)))</f>
        <v>83.186022687362737</v>
      </c>
      <c r="BH6" s="13">
        <f>BG6 * (1 + INDEX(ASSUMPTIONS!$C$12:$E$12, 1, MATCH(ASSUMPTIONS!$C$2, ASSUMPTIONS!$C$4:$E$4, 0)))</f>
        <v>91.504624956099022</v>
      </c>
      <c r="BI6" s="13">
        <f>BH6 * (1 + INDEX(ASSUMPTIONS!$C$12:$E$12, 1, MATCH(ASSUMPTIONS!$C$2, ASSUMPTIONS!$C$4:$E$4, 0)))</f>
        <v>100.65508745170894</v>
      </c>
      <c r="BJ6" s="13">
        <f>BI6 * (1 + INDEX(ASSUMPTIONS!$C$12:$E$12, 1, MATCH(ASSUMPTIONS!$C$2, ASSUMPTIONS!$C$4:$E$4, 0)))</f>
        <v>110.72059619687984</v>
      </c>
    </row>
    <row r="7" spans="2:62" x14ac:dyDescent="0.2">
      <c r="B7" t="s">
        <v>93</v>
      </c>
      <c r="C7" s="13">
        <f>C5 * INDEX(ASSUMPTIONS!$C$13:$E$13, 1, MATCH(ASSUMPTIONS!$C$2, ASSUMPTIONS!$C$4:$E$4, 0))</f>
        <v>0</v>
      </c>
      <c r="D7" s="13">
        <f>D5 * INDEX(ASSUMPTIONS!$C$13:$E$13, 1, MATCH(ASSUMPTIONS!$C$2, ASSUMPTIONS!$C$4:$E$4, 0))</f>
        <v>2.4E-2</v>
      </c>
      <c r="E7" s="13">
        <f>E5 * INDEX(ASSUMPTIONS!$C$13:$E$13, 1, MATCH(ASSUMPTIONS!$C$2, ASSUMPTIONS!$C$4:$E$4, 0))</f>
        <v>4.8960000000000004E-2</v>
      </c>
      <c r="F7" s="13">
        <f>F5 * INDEX(ASSUMPTIONS!$C$13:$E$13, 1, MATCH(ASSUMPTIONS!$C$2, ASSUMPTIONS!$C$4:$E$4, 0))</f>
        <v>7.5062400000000001E-2</v>
      </c>
      <c r="G7" s="13">
        <f>G5 * INDEX(ASSUMPTIONS!$C$13:$E$13, 1, MATCH(ASSUMPTIONS!$C$2, ASSUMPTIONS!$C$4:$E$4, 0))</f>
        <v>0.10250265600000001</v>
      </c>
      <c r="H7" s="13">
        <f>H5 * INDEX(ASSUMPTIONS!$C$13:$E$13, 1, MATCH(ASSUMPTIONS!$C$2, ASSUMPTIONS!$C$4:$E$4, 0))</f>
        <v>0.13149089663999999</v>
      </c>
      <c r="I7" s="13">
        <f>I5 * INDEX(ASSUMPTIONS!$C$13:$E$13, 1, MATCH(ASSUMPTIONS!$C$2, ASSUMPTIONS!$C$4:$E$4, 0))</f>
        <v>0.16225368284160002</v>
      </c>
      <c r="J7" s="13">
        <f>J5 * INDEX(ASSUMPTIONS!$C$13:$E$13, 1, MATCH(ASSUMPTIONS!$C$2, ASSUMPTIONS!$C$4:$E$4, 0))</f>
        <v>0.19503592587110402</v>
      </c>
      <c r="K7" s="13">
        <f>K5 * INDEX(ASSUMPTIONS!$C$13:$E$13, 1, MATCH(ASSUMPTIONS!$C$2, ASSUMPTIONS!$C$4:$E$4, 0))</f>
        <v>0.23010298071883784</v>
      </c>
      <c r="L7" s="13">
        <f>L5 * INDEX(ASSUMPTIONS!$C$13:$E$13, 1, MATCH(ASSUMPTIONS!$C$2, ASSUMPTIONS!$C$4:$E$4, 0))</f>
        <v>0.26774293331570753</v>
      </c>
      <c r="M7" s="13">
        <f>M5 * INDEX(ASSUMPTIONS!$C$13:$E$13, 1, MATCH(ASSUMPTIONS!$C$2, ASSUMPTIONS!$C$4:$E$4, 0))</f>
        <v>0.30826910190076517</v>
      </c>
      <c r="N7" s="13">
        <f>N5 * INDEX(ASSUMPTIONS!$C$13:$E$13, 1, MATCH(ASSUMPTIONS!$C$2, ASSUMPTIONS!$C$4:$E$4, 0))</f>
        <v>0.35202277482911926</v>
      </c>
      <c r="O7" s="13">
        <f>O5 * INDEX(ASSUMPTIONS!$C$13:$E$13, 1, MATCH(ASSUMPTIONS!$C$2, ASSUMPTIONS!$C$4:$E$4, 0))</f>
        <v>0.39937620928601214</v>
      </c>
      <c r="P7" s="13">
        <f>P5 * INDEX(ASSUMPTIONS!$C$13:$E$13, 1, MATCH(ASSUMPTIONS!$C$2, ASSUMPTIONS!$C$4:$E$4, 0))</f>
        <v>0.45073591777015548</v>
      </c>
      <c r="Q7" s="13">
        <f>Q5 * INDEX(ASSUMPTIONS!$C$13:$E$13, 1, MATCH(ASSUMPTIONS!$C$2, ASSUMPTIONS!$C$4:$E$4, 0))</f>
        <v>0.50654627184938061</v>
      </c>
      <c r="R7" s="13">
        <f>R5 * INDEX(ASSUMPTIONS!$C$13:$E$13, 1, MATCH(ASSUMPTIONS!$C$2, ASSUMPTIONS!$C$4:$E$4, 0))</f>
        <v>0.56729345559839572</v>
      </c>
      <c r="S7" s="13">
        <f>S5 * INDEX(ASSUMPTIONS!$C$13:$E$13, 1, MATCH(ASSUMPTIONS!$C$2, ASSUMPTIONS!$C$4:$E$4, 0))</f>
        <v>0.63350980432846771</v>
      </c>
      <c r="T7" s="13">
        <f>T5 * INDEX(ASSUMPTIONS!$C$13:$E$13, 1, MATCH(ASSUMPTIONS!$C$2, ASSUMPTIONS!$C$4:$E$4, 0))</f>
        <v>0.70577856774133296</v>
      </c>
      <c r="U7" s="13">
        <f>U5 * INDEX(ASSUMPTIONS!$C$13:$E$13, 1, MATCH(ASSUMPTIONS!$C$2, ASSUMPTIONS!$C$4:$E$4, 0))</f>
        <v>0.78473914051668359</v>
      </c>
      <c r="V7" s="13">
        <f>V5 * INDEX(ASSUMPTIONS!$C$13:$E$13, 1, MATCH(ASSUMPTIONS!$C$2, ASSUMPTIONS!$C$4:$E$4, 0))</f>
        <v>0.87109280760949637</v>
      </c>
      <c r="W7" s="13">
        <f>W5 * INDEX(ASSUMPTIONS!$C$13:$E$13, 1, MATCH(ASSUMPTIONS!$C$2, ASSUMPTIONS!$C$4:$E$4, 0))</f>
        <v>0.96560905622912174</v>
      </c>
      <c r="X7" s="13">
        <f>X5 * INDEX(ASSUMPTIONS!$C$13:$E$13, 1, MATCH(ASSUMPTIONS!$C$2, ASSUMPTIONS!$C$4:$E$4, 0))</f>
        <v>1.069132511639189</v>
      </c>
      <c r="Y7" s="13">
        <f>Y5 * INDEX(ASSUMPTIONS!$C$13:$E$13, 1, MATCH(ASSUMPTIONS!$C$2, ASSUMPTIONS!$C$4:$E$4, 0))</f>
        <v>1.1825905596030337</v>
      </c>
      <c r="Z7" s="13">
        <f>Z5 * INDEX(ASSUMPTIONS!$C$13:$E$13, 1, MATCH(ASSUMPTIONS!$C$2, ASSUMPTIONS!$C$4:$E$4, 0))</f>
        <v>1.3070017245552672</v>
      </c>
      <c r="AA7" s="13">
        <f>AA5 * INDEX(ASSUMPTIONS!$C$13:$E$13, 1, MATCH(ASSUMPTIONS!$C$2, ASSUMPTIONS!$C$4:$E$4, 0))</f>
        <v>1.4434848794632085</v>
      </c>
      <c r="AB7" s="13">
        <f>AB5 * INDEX(ASSUMPTIONS!$C$13:$E$13, 1, MATCH(ASSUMPTIONS!$C$2, ASSUMPTIONS!$C$4:$E$4, 0))</f>
        <v>1.5932693709147989</v>
      </c>
      <c r="AC7" s="13">
        <f>AC5 * INDEX(ASSUMPTIONS!$C$13:$E$13, 1, MATCH(ASSUMPTIONS!$C$2, ASSUMPTIONS!$C$4:$E$4, 0))</f>
        <v>1.7577061513012324</v>
      </c>
      <c r="AD7" s="13">
        <f>AD5 * INDEX(ASSUMPTIONS!$C$13:$E$13, 1, MATCH(ASSUMPTIONS!$C$2, ASSUMPTIONS!$C$4:$E$4, 0))</f>
        <v>1.9382800191286118</v>
      </c>
      <c r="AE7" s="13">
        <f>AE5 * INDEX(ASSUMPTIONS!$C$13:$E$13, 1, MATCH(ASSUMPTIONS!$C$2, ASSUMPTIONS!$C$4:$E$4, 0))</f>
        <v>2.136623078576894</v>
      </c>
      <c r="AF7" s="13">
        <f>AF5 * INDEX(ASSUMPTIONS!$C$13:$E$13, 1, MATCH(ASSUMPTIONS!$C$2, ASSUMPTIONS!$C$4:$E$4, 0))</f>
        <v>2.3545295405178792</v>
      </c>
      <c r="AG7" s="13">
        <f>AG5 * INDEX(ASSUMPTIONS!$C$13:$E$13, 1, MATCH(ASSUMPTIONS!$C$2, ASSUMPTIONS!$C$4:$E$4, 0))</f>
        <v>2.5939719994079651</v>
      </c>
      <c r="AH7" s="13">
        <f>AH5 * INDEX(ASSUMPTIONS!$C$13:$E$13, 1, MATCH(ASSUMPTIONS!$C$2, ASSUMPTIONS!$C$4:$E$4, 0))</f>
        <v>2.8571193338967618</v>
      </c>
      <c r="AI7" s="13">
        <f>AI5 * INDEX(ASSUMPTIONS!$C$13:$E$13, 1, MATCH(ASSUMPTIONS!$C$2, ASSUMPTIONS!$C$4:$E$4, 0))</f>
        <v>3.1463563937615584</v>
      </c>
      <c r="AJ7" s="13">
        <f>AJ5 * INDEX(ASSUMPTIONS!$C$13:$E$13, 1, MATCH(ASSUMPTIONS!$C$2, ASSUMPTIONS!$C$4:$E$4, 0))</f>
        <v>3.4643056520243274</v>
      </c>
      <c r="AK7" s="13">
        <f>AK5 * INDEX(ASSUMPTIONS!$C$13:$E$13, 1, MATCH(ASSUMPTIONS!$C$2, ASSUMPTIONS!$C$4:$E$4, 0))</f>
        <v>3.8138510189801762</v>
      </c>
      <c r="AL7" s="13">
        <f>AL5 * INDEX(ASSUMPTIONS!$C$13:$E$13, 1, MATCH(ASSUMPTIONS!$C$2, ASSUMPTIONS!$C$4:$E$4, 0))</f>
        <v>4.198164034526406</v>
      </c>
      <c r="AM7" s="13">
        <f>AM5 * INDEX(ASSUMPTIONS!$C$13:$E$13, 1, MATCH(ASSUMPTIONS!$C$2, ASSUMPTIONS!$C$4:$E$4, 0))</f>
        <v>4.6207326768083661</v>
      </c>
      <c r="AN7" s="13">
        <f>AN5 * INDEX(ASSUMPTIONS!$C$13:$E$13, 1, MATCH(ASSUMPTIONS!$C$2, ASSUMPTIONS!$C$4:$E$4, 0))</f>
        <v>5.0853930489887622</v>
      </c>
      <c r="AO7" s="13">
        <f>AO5 * INDEX(ASSUMPTIONS!$C$13:$E$13, 1, MATCH(ASSUMPTIONS!$C$2, ASSUMPTIONS!$C$4:$E$4, 0))</f>
        <v>5.5963642321172244</v>
      </c>
      <c r="AP7" s="13">
        <f>AP5 * INDEX(ASSUMPTIONS!$C$13:$E$13, 1, MATCH(ASSUMPTIONS!$C$2, ASSUMPTIONS!$C$4:$E$4, 0))</f>
        <v>6.1582866208647573</v>
      </c>
      <c r="AQ7" s="13">
        <f>AQ5 * INDEX(ASSUMPTIONS!$C$13:$E$13, 1, MATCH(ASSUMPTIONS!$C$2, ASSUMPTIONS!$C$4:$E$4, 0))</f>
        <v>6.7762640905548963</v>
      </c>
      <c r="AR7" s="13">
        <f>AR5 * INDEX(ASSUMPTIONS!$C$13:$E$13, 1, MATCH(ASSUMPTIONS!$C$2, ASSUMPTIONS!$C$4:$E$4, 0))</f>
        <v>7.4559103787578289</v>
      </c>
      <c r="AS7" s="13">
        <f>AS5 * INDEX(ASSUMPTIONS!$C$13:$E$13, 1, MATCH(ASSUMPTIONS!$C$2, ASSUMPTIONS!$C$4:$E$4, 0))</f>
        <v>8.2034001030322088</v>
      </c>
      <c r="AT7" s="13">
        <f>AT5 * INDEX(ASSUMPTIONS!$C$13:$E$13, 1, MATCH(ASSUMPTIONS!$C$2, ASSUMPTIONS!$C$4:$E$4, 0))</f>
        <v>9.0255248785501099</v>
      </c>
      <c r="AU7" s="13">
        <f>AU5 * INDEX(ASSUMPTIONS!$C$13:$E$13, 1, MATCH(ASSUMPTIONS!$C$2, ASSUMPTIONS!$C$4:$E$4, 0))</f>
        <v>9.929755045706921</v>
      </c>
      <c r="AV7" s="13">
        <f>AV5 * INDEX(ASSUMPTIONS!$C$13:$E$13, 1, MATCH(ASSUMPTIONS!$C$2, ASSUMPTIONS!$C$4:$E$4, 0))</f>
        <v>10.924307568821304</v>
      </c>
      <c r="AW7" s="13">
        <f>AW5 * INDEX(ASSUMPTIONS!$C$13:$E$13, 1, MATCH(ASSUMPTIONS!$C$2, ASSUMPTIONS!$C$4:$E$4, 0))</f>
        <v>12.018220723134505</v>
      </c>
      <c r="AX7" s="13">
        <f>AX5 * INDEX(ASSUMPTIONS!$C$13:$E$13, 1, MATCH(ASSUMPTIONS!$C$2, ASSUMPTIONS!$C$4:$E$4, 0))</f>
        <v>13.221436249033163</v>
      </c>
      <c r="AY7" s="13">
        <f>AY5 * INDEX(ASSUMPTIONS!$C$13:$E$13, 1, MATCH(ASSUMPTIONS!$C$2, ASSUMPTIONS!$C$4:$E$4, 0))</f>
        <v>14.544889720306573</v>
      </c>
      <c r="AZ7" s="13">
        <f>AZ5 * INDEX(ASSUMPTIONS!$C$13:$E$13, 1, MATCH(ASSUMPTIONS!$C$2, ASSUMPTIONS!$C$4:$E$4, 0))</f>
        <v>16.00060994792512</v>
      </c>
      <c r="BA7" s="13">
        <f>BA5 * INDEX(ASSUMPTIONS!$C$13:$E$13, 1, MATCH(ASSUMPTIONS!$C$2, ASSUMPTIONS!$C$4:$E$4, 0))</f>
        <v>17.601828322970249</v>
      </c>
      <c r="BB7" s="13">
        <f>BB5 * INDEX(ASSUMPTIONS!$C$13:$E$13, 1, MATCH(ASSUMPTIONS!$C$2, ASSUMPTIONS!$C$4:$E$4, 0))</f>
        <v>19.363099092704733</v>
      </c>
      <c r="BC7" s="13">
        <f>BC5 * INDEX(ASSUMPTIONS!$C$13:$E$13, 1, MATCH(ASSUMPTIONS!$C$2, ASSUMPTIONS!$C$4:$E$4, 0))</f>
        <v>21.300431663166417</v>
      </c>
      <c r="BD7" s="13">
        <f>BD5 * INDEX(ASSUMPTIONS!$C$13:$E$13, 1, MATCH(ASSUMPTIONS!$C$2, ASSUMPTIONS!$C$4:$E$4, 0))</f>
        <v>23.431436131002798</v>
      </c>
      <c r="BE7" s="13">
        <f>BE5 * INDEX(ASSUMPTIONS!$C$13:$E$13, 1, MATCH(ASSUMPTIONS!$C$2, ASSUMPTIONS!$C$4:$E$4, 0))</f>
        <v>25.775483367531635</v>
      </c>
      <c r="BF7" s="13">
        <f>BF5 * INDEX(ASSUMPTIONS!$C$13:$E$13, 1, MATCH(ASSUMPTIONS!$C$2, ASSUMPTIONS!$C$4:$E$4, 0))</f>
        <v>28.35388111030764</v>
      </c>
      <c r="BG7" s="13">
        <f>BG5 * INDEX(ASSUMPTIONS!$C$13:$E$13, 1, MATCH(ASSUMPTIONS!$C$2, ASSUMPTIONS!$C$4:$E$4, 0))</f>
        <v>31.190067662999873</v>
      </c>
      <c r="BH7" s="13">
        <f>BH5 * INDEX(ASSUMPTIONS!$C$13:$E$13, 1, MATCH(ASSUMPTIONS!$C$2, ASSUMPTIONS!$C$4:$E$4, 0))</f>
        <v>34.309824964461647</v>
      </c>
      <c r="BI7" s="13">
        <f>BI5 * INDEX(ASSUMPTIONS!$C$13:$E$13, 1, MATCH(ASSUMPTIONS!$C$2, ASSUMPTIONS!$C$4:$E$4, 0))</f>
        <v>37.741512963959892</v>
      </c>
      <c r="BJ7" s="13">
        <f>BJ5 * INDEX(ASSUMPTIONS!$C$13:$E$13, 1, MATCH(ASSUMPTIONS!$C$2, ASSUMPTIONS!$C$4:$E$4, 0))</f>
        <v>41.516327433224831</v>
      </c>
    </row>
    <row r="8" spans="2:62" x14ac:dyDescent="0.2">
      <c r="B8" s="14" t="s">
        <v>94</v>
      </c>
      <c r="C8" s="13">
        <f>C5 + C6 - C7</f>
        <v>0.4</v>
      </c>
      <c r="D8" s="13">
        <f>D5 + D6 - D7</f>
        <v>0.81600000000000006</v>
      </c>
      <c r="E8" s="13">
        <f>E5 + E6 - E7</f>
        <v>1.2510400000000002</v>
      </c>
      <c r="F8" s="13">
        <f>F5 + F6 - F7</f>
        <v>1.7083776000000002</v>
      </c>
      <c r="G8" s="13">
        <f>G5 + G6 - G7</f>
        <v>2.1915149440000001</v>
      </c>
      <c r="H8" s="13">
        <f>H5 + H6 - H7</f>
        <v>2.7042280473600004</v>
      </c>
      <c r="I8" s="13">
        <f>I5 + I6 - I7</f>
        <v>3.2505987645184007</v>
      </c>
      <c r="J8" s="13">
        <f>J5 + J6 - J7</f>
        <v>3.8350496786472972</v>
      </c>
      <c r="K8" s="13">
        <f>K5 + K6 - K7</f>
        <v>4.4623822219284595</v>
      </c>
      <c r="L8" s="13">
        <f>L5 + L6 - L7</f>
        <v>5.1378183650127527</v>
      </c>
      <c r="M8" s="13">
        <f>M5 + M6 - M7</f>
        <v>5.867046247151988</v>
      </c>
      <c r="N8" s="13">
        <f>N5 + N6 - N7</f>
        <v>6.6562701547668697</v>
      </c>
      <c r="O8" s="13">
        <f>O5 + O6 - O7</f>
        <v>7.5122652961692582</v>
      </c>
      <c r="P8" s="13">
        <f>P5 + P6 - P7</f>
        <v>8.4424378641563447</v>
      </c>
      <c r="Q8" s="13">
        <f>Q5 + Q6 - Q7</f>
        <v>9.4548909266399299</v>
      </c>
      <c r="R8" s="13">
        <f>R5 + R6 - R7</f>
        <v>10.558496738807795</v>
      </c>
      <c r="S8" s="13">
        <f>S5 + S6 - S7</f>
        <v>11.762976129022217</v>
      </c>
      <c r="T8" s="13">
        <f>T5 + T6 - T7</f>
        <v>13.07898567527806</v>
      </c>
      <c r="U8" s="13">
        <f>U5 + U6 - U7</f>
        <v>14.518213460158274</v>
      </c>
      <c r="V8" s="13">
        <f>V5 + V6 - V7</f>
        <v>16.093484270485362</v>
      </c>
      <c r="W8" s="13">
        <f>W5 + W6 - W7</f>
        <v>17.818875193986482</v>
      </c>
      <c r="X8" s="13">
        <f>X5 + X6 - X7</f>
        <v>19.709842660050562</v>
      </c>
      <c r="Y8" s="13">
        <f>Y5 + Y6 - Y7</f>
        <v>21.783362075921122</v>
      </c>
      <c r="Z8" s="13">
        <f>Z5 + Z6 - Z7</f>
        <v>24.058081324386809</v>
      </c>
      <c r="AA8" s="13">
        <f>AA5 + AA6 - AA7</f>
        <v>26.554489515246651</v>
      </c>
      <c r="AB8" s="13">
        <f>AB5 + AB6 - AB7</f>
        <v>29.295102521687209</v>
      </c>
      <c r="AC8" s="13">
        <f>AC5 + AC6 - AC7</f>
        <v>32.304666985476864</v>
      </c>
      <c r="AD8" s="13">
        <f>AD5 + AD6 - AD7</f>
        <v>35.610384642948233</v>
      </c>
      <c r="AE8" s="13">
        <f>AE5 + AE6 - AE7</f>
        <v>39.242159008631319</v>
      </c>
      <c r="AF8" s="13">
        <f>AF5 + AF6 - AF7</f>
        <v>43.232866656799416</v>
      </c>
      <c r="AG8" s="13">
        <f>AG5 + AG6 - AG7</f>
        <v>47.618655564946032</v>
      </c>
      <c r="AH8" s="13">
        <f>AH5 + AH6 - AH7</f>
        <v>52.439273229359308</v>
      </c>
      <c r="AI8" s="13">
        <f>AI5 + AI6 - AI7</f>
        <v>57.738427533738793</v>
      </c>
      <c r="AJ8" s="13">
        <f>AJ5 + AJ6 - AJ7</f>
        <v>63.564183649669609</v>
      </c>
      <c r="AK8" s="13">
        <f>AK5 + AK6 - AK7</f>
        <v>69.969400575440105</v>
      </c>
      <c r="AL8" s="13">
        <f>AL5 + AL6 - AL7</f>
        <v>77.012211280139439</v>
      </c>
      <c r="AM8" s="13">
        <f>AM5 + AM6 - AM7</f>
        <v>84.756550816479375</v>
      </c>
      <c r="AN8" s="13">
        <f>AN5 + AN6 - AN7</f>
        <v>93.272737201953746</v>
      </c>
      <c r="AO8" s="13">
        <f>AO5 + AO6 - AO7</f>
        <v>102.63811034774596</v>
      </c>
      <c r="AP8" s="13">
        <f>AP5 + AP6 - AP7</f>
        <v>112.93773484258161</v>
      </c>
      <c r="AQ8" s="13">
        <f>AQ5 + AQ6 - AQ7</f>
        <v>124.26517297929715</v>
      </c>
      <c r="AR8" s="13">
        <f>AR5 + AR6 - AR7</f>
        <v>136.7233350505368</v>
      </c>
      <c r="AS8" s="13">
        <f>AS5 + AS6 - AS7</f>
        <v>150.42541464250183</v>
      </c>
      <c r="AT8" s="13">
        <f>AT5 + AT6 - AT7</f>
        <v>165.49591742844868</v>
      </c>
      <c r="AU8" s="13">
        <f>AU5 + AU6 - AU7</f>
        <v>182.0717928136884</v>
      </c>
      <c r="AV8" s="13">
        <f>AV5 + AV6 - AV7</f>
        <v>200.30367871890843</v>
      </c>
      <c r="AW8" s="13">
        <f>AW5 + AW6 - AW7</f>
        <v>220.35727081721939</v>
      </c>
      <c r="AX8" s="13">
        <f>AX5 + AX6 - AX7</f>
        <v>242.41482867177623</v>
      </c>
      <c r="AY8" s="13">
        <f>AY5 + AY6 - AY7</f>
        <v>266.67683246541867</v>
      </c>
      <c r="AZ8" s="13">
        <f>AZ5 + AZ6 - AZ7</f>
        <v>293.36380538283748</v>
      </c>
      <c r="BA8" s="13">
        <f>BA5 + BA6 - BA7</f>
        <v>322.71831821174555</v>
      </c>
      <c r="BB8" s="13">
        <f>BB5 + BB6 - BB7</f>
        <v>355.00719438610696</v>
      </c>
      <c r="BC8" s="13">
        <f>BC5 + BC6 - BC7</f>
        <v>390.52393551671332</v>
      </c>
      <c r="BD8" s="13">
        <f>BD5 + BD6 - BD7</f>
        <v>429.59138945886059</v>
      </c>
      <c r="BE8" s="13">
        <f>BE5 + BE6 - BE7</f>
        <v>472.564685171794</v>
      </c>
      <c r="BF8" s="13">
        <f>BF5 + BF6 - BF7</f>
        <v>519.83446104999791</v>
      </c>
      <c r="BG8" s="13">
        <f>BG5 + BG6 - BG7</f>
        <v>571.83041607436076</v>
      </c>
      <c r="BH8" s="13">
        <f>BH5 + BH6 - BH7</f>
        <v>629.02521606599817</v>
      </c>
      <c r="BI8" s="13">
        <f>BI5 + BI6 - BI7</f>
        <v>691.93879055374725</v>
      </c>
      <c r="BJ8" s="13">
        <f>BJ5 + BJ6 - BJ7</f>
        <v>761.14305931740228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J6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95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96</v>
      </c>
      <c r="C5" s="15">
        <v>2500</v>
      </c>
      <c r="D5" s="15">
        <v>2500</v>
      </c>
      <c r="E5" s="15">
        <v>2500</v>
      </c>
      <c r="F5" s="15">
        <v>2500</v>
      </c>
      <c r="G5" s="15">
        <v>2500</v>
      </c>
      <c r="H5" s="15">
        <v>2500</v>
      </c>
      <c r="I5" s="15">
        <v>2500</v>
      </c>
      <c r="J5" s="15">
        <v>2500</v>
      </c>
      <c r="K5" s="15">
        <v>2500</v>
      </c>
      <c r="L5" s="15">
        <v>2500</v>
      </c>
      <c r="M5" s="15">
        <v>2500</v>
      </c>
      <c r="N5" s="15">
        <v>2500</v>
      </c>
      <c r="O5" s="15">
        <v>2500</v>
      </c>
      <c r="P5" s="15">
        <v>2500</v>
      </c>
      <c r="Q5" s="15">
        <v>2500</v>
      </c>
      <c r="R5" s="15">
        <v>2500</v>
      </c>
      <c r="S5" s="15">
        <v>2500</v>
      </c>
      <c r="T5" s="15">
        <v>2500</v>
      </c>
      <c r="U5" s="15">
        <v>2500</v>
      </c>
      <c r="V5" s="15">
        <v>2500</v>
      </c>
      <c r="W5" s="15">
        <v>2500</v>
      </c>
      <c r="X5" s="15">
        <v>2500</v>
      </c>
      <c r="Y5" s="15">
        <v>2500</v>
      </c>
      <c r="Z5" s="15">
        <v>2500</v>
      </c>
      <c r="AA5" s="15">
        <v>2500</v>
      </c>
      <c r="AB5" s="15">
        <v>2500</v>
      </c>
      <c r="AC5" s="15">
        <v>2500</v>
      </c>
      <c r="AD5" s="15">
        <v>2500</v>
      </c>
      <c r="AE5" s="15">
        <v>2500</v>
      </c>
      <c r="AF5" s="15">
        <v>2500</v>
      </c>
      <c r="AG5" s="15">
        <v>2500</v>
      </c>
      <c r="AH5" s="15">
        <v>2500</v>
      </c>
      <c r="AI5" s="15">
        <v>2500</v>
      </c>
      <c r="AJ5" s="15">
        <v>2500</v>
      </c>
      <c r="AK5" s="15">
        <v>2500</v>
      </c>
      <c r="AL5" s="15">
        <v>2500</v>
      </c>
      <c r="AM5" s="15">
        <v>2500</v>
      </c>
      <c r="AN5" s="15">
        <v>2500</v>
      </c>
      <c r="AO5" s="15">
        <v>2500</v>
      </c>
      <c r="AP5" s="15">
        <v>2500</v>
      </c>
      <c r="AQ5" s="15">
        <v>2500</v>
      </c>
      <c r="AR5" s="15">
        <v>2500</v>
      </c>
      <c r="AS5" s="15">
        <v>2500</v>
      </c>
      <c r="AT5" s="15">
        <v>2500</v>
      </c>
      <c r="AU5" s="15">
        <v>2500</v>
      </c>
      <c r="AV5" s="15">
        <v>2500</v>
      </c>
      <c r="AW5" s="15">
        <v>2500</v>
      </c>
      <c r="AX5" s="15">
        <v>2500</v>
      </c>
      <c r="AY5" s="15">
        <v>2500</v>
      </c>
      <c r="AZ5" s="15">
        <v>2500</v>
      </c>
      <c r="BA5" s="15">
        <v>2500</v>
      </c>
      <c r="BB5" s="15">
        <v>2500</v>
      </c>
      <c r="BC5" s="15">
        <v>2500</v>
      </c>
      <c r="BD5" s="15">
        <v>2500</v>
      </c>
      <c r="BE5" s="15">
        <v>2500</v>
      </c>
      <c r="BF5" s="15">
        <v>2500</v>
      </c>
      <c r="BG5" s="15">
        <v>2500</v>
      </c>
      <c r="BH5" s="15">
        <v>2500</v>
      </c>
      <c r="BI5" s="15">
        <v>2500</v>
      </c>
      <c r="BJ5" s="15">
        <v>2500</v>
      </c>
    </row>
    <row r="6" spans="2:62" x14ac:dyDescent="0.2">
      <c r="B6" s="14" t="s">
        <v>97</v>
      </c>
      <c r="C6" s="15">
        <f>SUBSCRIBER_FUNNEL!C8 * C5</f>
        <v>1000</v>
      </c>
      <c r="D6" s="15">
        <f>SUBSCRIBER_FUNNEL!D8 * D5</f>
        <v>2040.0000000000002</v>
      </c>
      <c r="E6" s="15">
        <f>SUBSCRIBER_FUNNEL!E8 * E5</f>
        <v>3127.6000000000004</v>
      </c>
      <c r="F6" s="15">
        <f>SUBSCRIBER_FUNNEL!F8 * F5</f>
        <v>4270.9440000000004</v>
      </c>
      <c r="G6" s="15">
        <f>SUBSCRIBER_FUNNEL!G8 * G5</f>
        <v>5478.7873600000003</v>
      </c>
      <c r="H6" s="15">
        <f>SUBSCRIBER_FUNNEL!H8 * H5</f>
        <v>6760.5701184000009</v>
      </c>
      <c r="I6" s="15">
        <f>SUBSCRIBER_FUNNEL!I8 * I5</f>
        <v>8126.4969112960016</v>
      </c>
      <c r="J6" s="15">
        <f>SUBSCRIBER_FUNNEL!J8 * J5</f>
        <v>9587.6241966182424</v>
      </c>
      <c r="K6" s="15">
        <f>SUBSCRIBER_FUNNEL!K8 * K5</f>
        <v>11155.955554821148</v>
      </c>
      <c r="L6" s="15">
        <f>SUBSCRIBER_FUNNEL!L8 * L5</f>
        <v>12844.545912531881</v>
      </c>
      <c r="M6" s="15">
        <f>SUBSCRIBER_FUNNEL!M8 * M5</f>
        <v>14667.61561787997</v>
      </c>
      <c r="N6" s="15">
        <f>SUBSCRIBER_FUNNEL!N8 * N5</f>
        <v>16640.675386917173</v>
      </c>
      <c r="O6" s="15">
        <f>SUBSCRIBER_FUNNEL!O8 * O5</f>
        <v>18780.663240423146</v>
      </c>
      <c r="P6" s="15">
        <f>SUBSCRIBER_FUNNEL!P8 * P5</f>
        <v>21106.094660390863</v>
      </c>
      <c r="Q6" s="15">
        <f>SUBSCRIBER_FUNNEL!Q8 * Q5</f>
        <v>23637.227316599823</v>
      </c>
      <c r="R6" s="15">
        <f>SUBSCRIBER_FUNNEL!R8 * R5</f>
        <v>26396.24184701949</v>
      </c>
      <c r="S6" s="15">
        <f>SUBSCRIBER_FUNNEL!S8 * S5</f>
        <v>29407.440322555543</v>
      </c>
      <c r="T6" s="15">
        <f>SUBSCRIBER_FUNNEL!T8 * T5</f>
        <v>32697.46418819515</v>
      </c>
      <c r="U6" s="15">
        <f>SUBSCRIBER_FUNNEL!U8 * U5</f>
        <v>36295.533650395686</v>
      </c>
      <c r="V6" s="15">
        <f>SUBSCRIBER_FUNNEL!V8 * V5</f>
        <v>40233.710676213406</v>
      </c>
      <c r="W6" s="15">
        <f>SUBSCRIBER_FUNNEL!W8 * W5</f>
        <v>44547.187984966207</v>
      </c>
      <c r="X6" s="15">
        <f>SUBSCRIBER_FUNNEL!X8 * X5</f>
        <v>49274.606650126407</v>
      </c>
      <c r="Y6" s="15">
        <f>SUBSCRIBER_FUNNEL!Y8 * Y5</f>
        <v>54458.405189802805</v>
      </c>
      <c r="Z6" s="15">
        <f>SUBSCRIBER_FUNNEL!Z8 * Z5</f>
        <v>60145.203310967023</v>
      </c>
      <c r="AA6" s="15">
        <f>SUBSCRIBER_FUNNEL!AA8 * AA5</f>
        <v>66386.223788116622</v>
      </c>
      <c r="AB6" s="15">
        <f>SUBSCRIBER_FUNNEL!AB8 * AB5</f>
        <v>73237.756304218026</v>
      </c>
      <c r="AC6" s="15">
        <f>SUBSCRIBER_FUNNEL!AC8 * AC5</f>
        <v>80761.667463692153</v>
      </c>
      <c r="AD6" s="15">
        <f>SUBSCRIBER_FUNNEL!AD8 * AD5</f>
        <v>89025.961607370584</v>
      </c>
      <c r="AE6" s="15">
        <f>SUBSCRIBER_FUNNEL!AE8 * AE5</f>
        <v>98105.397521578299</v>
      </c>
      <c r="AF6" s="15">
        <f>SUBSCRIBER_FUNNEL!AF8 * AF5</f>
        <v>108082.16664199854</v>
      </c>
      <c r="AG6" s="15">
        <f>SUBSCRIBER_FUNNEL!AG8 * AG5</f>
        <v>119046.63891236507</v>
      </c>
      <c r="AH6" s="15">
        <f>SUBSCRIBER_FUNNEL!AH8 * AH5</f>
        <v>131098.18307339828</v>
      </c>
      <c r="AI6" s="15">
        <f>SUBSCRIBER_FUNNEL!AI8 * AI5</f>
        <v>144346.06883434698</v>
      </c>
      <c r="AJ6" s="15">
        <f>SUBSCRIBER_FUNNEL!AJ8 * AJ5</f>
        <v>158910.45912417403</v>
      </c>
      <c r="AK6" s="15">
        <f>SUBSCRIBER_FUNNEL!AK8 * AK5</f>
        <v>174923.50143860027</v>
      </c>
      <c r="AL6" s="15">
        <f>SUBSCRIBER_FUNNEL!AL8 * AL5</f>
        <v>192530.52820034861</v>
      </c>
      <c r="AM6" s="15">
        <f>SUBSCRIBER_FUNNEL!AM8 * AM5</f>
        <v>211891.37704119843</v>
      </c>
      <c r="AN6" s="15">
        <f>SUBSCRIBER_FUNNEL!AN8 * AN5</f>
        <v>233181.84300488437</v>
      </c>
      <c r="AO6" s="15">
        <f>SUBSCRIBER_FUNNEL!AO8 * AO5</f>
        <v>256595.27586936491</v>
      </c>
      <c r="AP6" s="15">
        <f>SUBSCRIBER_FUNNEL!AP8 * AP5</f>
        <v>282344.33710645401</v>
      </c>
      <c r="AQ6" s="15">
        <f>SUBSCRIBER_FUNNEL!AQ8 * AQ5</f>
        <v>310662.93244824285</v>
      </c>
      <c r="AR6" s="15">
        <f>SUBSCRIBER_FUNNEL!AR8 * AR5</f>
        <v>341808.33762634202</v>
      </c>
      <c r="AS6" s="15">
        <f>SUBSCRIBER_FUNNEL!AS8 * AS5</f>
        <v>376063.53660625458</v>
      </c>
      <c r="AT6" s="15">
        <f>SUBSCRIBER_FUNNEL!AT8 * AT5</f>
        <v>413739.7935711217</v>
      </c>
      <c r="AU6" s="15">
        <f>SUBSCRIBER_FUNNEL!AU8 * AU5</f>
        <v>455179.482034221</v>
      </c>
      <c r="AV6" s="15">
        <f>SUBSCRIBER_FUNNEL!AV8 * AV5</f>
        <v>500759.19679727108</v>
      </c>
      <c r="AW6" s="15">
        <f>SUBSCRIBER_FUNNEL!AW8 * AW5</f>
        <v>550893.17704304843</v>
      </c>
      <c r="AX6" s="15">
        <f>SUBSCRIBER_FUNNEL!AX8 * AX5</f>
        <v>606037.07167944056</v>
      </c>
      <c r="AY6" s="15">
        <f>SUBSCRIBER_FUNNEL!AY8 * AY5</f>
        <v>666692.08116354665</v>
      </c>
      <c r="AZ6" s="15">
        <f>SUBSCRIBER_FUNNEL!AZ8 * AZ5</f>
        <v>733409.51345709374</v>
      </c>
      <c r="BA6" s="15">
        <f>SUBSCRIBER_FUNNEL!BA8 * BA5</f>
        <v>806795.79552936391</v>
      </c>
      <c r="BB6" s="15">
        <f>SUBSCRIBER_FUNNEL!BB8 * BB5</f>
        <v>887517.98596526741</v>
      </c>
      <c r="BC6" s="15">
        <f>SUBSCRIBER_FUNNEL!BC8 * BC5</f>
        <v>976309.83879178332</v>
      </c>
      <c r="BD6" s="15">
        <f>SUBSCRIBER_FUNNEL!BD8 * BD5</f>
        <v>1073978.4736471514</v>
      </c>
      <c r="BE6" s="15">
        <f>SUBSCRIBER_FUNNEL!BE8 * BE5</f>
        <v>1181411.7129294849</v>
      </c>
      <c r="BF6" s="15">
        <f>SUBSCRIBER_FUNNEL!BF8 * BF5</f>
        <v>1299586.1526249947</v>
      </c>
      <c r="BG6" s="15">
        <f>SUBSCRIBER_FUNNEL!BG8 * BG5</f>
        <v>1429576.0401859018</v>
      </c>
      <c r="BH6" s="15">
        <f>SUBSCRIBER_FUNNEL!BH8 * BH5</f>
        <v>1572563.0401649955</v>
      </c>
      <c r="BI6" s="15">
        <f>SUBSCRIBER_FUNNEL!BI8 * BI5</f>
        <v>1729846.976384368</v>
      </c>
      <c r="BJ6" s="15">
        <f>SUBSCRIBER_FUNNEL!BJ8 * BJ5</f>
        <v>1902857.6482935057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J7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98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99</v>
      </c>
      <c r="C5" s="15">
        <f>10000 + (50 * SUBSCRIBER_FUNNEL!C8)</f>
        <v>10020</v>
      </c>
      <c r="D5" s="15">
        <f>10000 + (50 * SUBSCRIBER_FUNNEL!D8)</f>
        <v>10040.799999999999</v>
      </c>
      <c r="E5" s="15">
        <f>10000 + (50 * SUBSCRIBER_FUNNEL!E8)</f>
        <v>10062.552</v>
      </c>
      <c r="F5" s="15">
        <f>10000 + (50 * SUBSCRIBER_FUNNEL!F8)</f>
        <v>10085.418879999999</v>
      </c>
      <c r="G5" s="15">
        <f>10000 + (50 * SUBSCRIBER_FUNNEL!G8)</f>
        <v>10109.5757472</v>
      </c>
      <c r="H5" s="15">
        <f>10000 + (50 * SUBSCRIBER_FUNNEL!H8)</f>
        <v>10135.211402368001</v>
      </c>
      <c r="I5" s="15">
        <f>10000 + (50 * SUBSCRIBER_FUNNEL!I8)</f>
        <v>10162.52993822592</v>
      </c>
      <c r="J5" s="15">
        <f>10000 + (50 * SUBSCRIBER_FUNNEL!J8)</f>
        <v>10191.752483932365</v>
      </c>
      <c r="K5" s="15">
        <f>10000 + (50 * SUBSCRIBER_FUNNEL!K8)</f>
        <v>10223.119111096423</v>
      </c>
      <c r="L5" s="15">
        <f>10000 + (50 * SUBSCRIBER_FUNNEL!L8)</f>
        <v>10256.890918250638</v>
      </c>
      <c r="M5" s="15">
        <f>10000 + (50 * SUBSCRIBER_FUNNEL!M8)</f>
        <v>10293.3523123576</v>
      </c>
      <c r="N5" s="15">
        <f>10000 + (50 * SUBSCRIBER_FUNNEL!N8)</f>
        <v>10332.813507738343</v>
      </c>
      <c r="O5" s="15">
        <f>10000 + (50 * SUBSCRIBER_FUNNEL!O8)</f>
        <v>10375.613264808462</v>
      </c>
      <c r="P5" s="15">
        <f>10000 + (50 * SUBSCRIBER_FUNNEL!P8)</f>
        <v>10422.121893207817</v>
      </c>
      <c r="Q5" s="15">
        <f>10000 + (50 * SUBSCRIBER_FUNNEL!Q8)</f>
        <v>10472.744546331996</v>
      </c>
      <c r="R5" s="15">
        <f>10000 + (50 * SUBSCRIBER_FUNNEL!R8)</f>
        <v>10527.92483694039</v>
      </c>
      <c r="S5" s="15">
        <f>10000 + (50 * SUBSCRIBER_FUNNEL!S8)</f>
        <v>10588.14880645111</v>
      </c>
      <c r="T5" s="15">
        <f>10000 + (50 * SUBSCRIBER_FUNNEL!T8)</f>
        <v>10653.949283763903</v>
      </c>
      <c r="U5" s="15">
        <f>10000 + (50 * SUBSCRIBER_FUNNEL!U8)</f>
        <v>10725.910673007913</v>
      </c>
      <c r="V5" s="15">
        <f>10000 + (50 * SUBSCRIBER_FUNNEL!V8)</f>
        <v>10804.674213524268</v>
      </c>
      <c r="W5" s="15">
        <f>10000 + (50 * SUBSCRIBER_FUNNEL!W8)</f>
        <v>10890.943759699325</v>
      </c>
      <c r="X5" s="15">
        <f>10000 + (50 * SUBSCRIBER_FUNNEL!X8)</f>
        <v>10985.492133002528</v>
      </c>
      <c r="Y5" s="15">
        <f>10000 + (50 * SUBSCRIBER_FUNNEL!Y8)</f>
        <v>11089.168103796055</v>
      </c>
      <c r="Z5" s="15">
        <f>10000 + (50 * SUBSCRIBER_FUNNEL!Z8)</f>
        <v>11202.90406621934</v>
      </c>
      <c r="AA5" s="15">
        <f>10000 + (50 * SUBSCRIBER_FUNNEL!AA8)</f>
        <v>11327.724475762332</v>
      </c>
      <c r="AB5" s="15">
        <f>10000 + (50 * SUBSCRIBER_FUNNEL!AB8)</f>
        <v>11464.755126084361</v>
      </c>
      <c r="AC5" s="15">
        <f>10000 + (50 * SUBSCRIBER_FUNNEL!AC8)</f>
        <v>11615.233349273843</v>
      </c>
      <c r="AD5" s="15">
        <f>10000 + (50 * SUBSCRIBER_FUNNEL!AD8)</f>
        <v>11780.519232147411</v>
      </c>
      <c r="AE5" s="15">
        <f>10000 + (50 * SUBSCRIBER_FUNNEL!AE8)</f>
        <v>11962.107950431566</v>
      </c>
      <c r="AF5" s="15">
        <f>10000 + (50 * SUBSCRIBER_FUNNEL!AF8)</f>
        <v>12161.643332839971</v>
      </c>
      <c r="AG5" s="15">
        <f>10000 + (50 * SUBSCRIBER_FUNNEL!AG8)</f>
        <v>12380.932778247301</v>
      </c>
      <c r="AH5" s="15">
        <f>10000 + (50 * SUBSCRIBER_FUNNEL!AH8)</f>
        <v>12621.963661467966</v>
      </c>
      <c r="AI5" s="15">
        <f>10000 + (50 * SUBSCRIBER_FUNNEL!AI8)</f>
        <v>12886.92137668694</v>
      </c>
      <c r="AJ5" s="15">
        <f>10000 + (50 * SUBSCRIBER_FUNNEL!AJ8)</f>
        <v>13178.209182483481</v>
      </c>
      <c r="AK5" s="15">
        <f>10000 + (50 * SUBSCRIBER_FUNNEL!AK8)</f>
        <v>13498.470028772004</v>
      </c>
      <c r="AL5" s="15">
        <f>10000 + (50 * SUBSCRIBER_FUNNEL!AL8)</f>
        <v>13850.610564006973</v>
      </c>
      <c r="AM5" s="15">
        <f>10000 + (50 * SUBSCRIBER_FUNNEL!AM8)</f>
        <v>14237.827540823968</v>
      </c>
      <c r="AN5" s="15">
        <f>10000 + (50 * SUBSCRIBER_FUNNEL!AN8)</f>
        <v>14663.636860097688</v>
      </c>
      <c r="AO5" s="15">
        <f>10000 + (50 * SUBSCRIBER_FUNNEL!AO8)</f>
        <v>15131.905517387298</v>
      </c>
      <c r="AP5" s="15">
        <f>10000 + (50 * SUBSCRIBER_FUNNEL!AP8)</f>
        <v>15646.886742129082</v>
      </c>
      <c r="AQ5" s="15">
        <f>10000 + (50 * SUBSCRIBER_FUNNEL!AQ8)</f>
        <v>16213.258648964857</v>
      </c>
      <c r="AR5" s="15">
        <f>10000 + (50 * SUBSCRIBER_FUNNEL!AR8)</f>
        <v>16836.166752526842</v>
      </c>
      <c r="AS5" s="15">
        <f>10000 + (50 * SUBSCRIBER_FUNNEL!AS8)</f>
        <v>17521.270732125093</v>
      </c>
      <c r="AT5" s="15">
        <f>10000 + (50 * SUBSCRIBER_FUNNEL!AT8)</f>
        <v>18274.795871422433</v>
      </c>
      <c r="AU5" s="15">
        <f>10000 + (50 * SUBSCRIBER_FUNNEL!AU8)</f>
        <v>19103.589640684419</v>
      </c>
      <c r="AV5" s="15">
        <f>10000 + (50 * SUBSCRIBER_FUNNEL!AV8)</f>
        <v>20015.183935945421</v>
      </c>
      <c r="AW5" s="15">
        <f>10000 + (50 * SUBSCRIBER_FUNNEL!AW8)</f>
        <v>21017.86354086097</v>
      </c>
      <c r="AX5" s="15">
        <f>10000 + (50 * SUBSCRIBER_FUNNEL!AX8)</f>
        <v>22120.74143358881</v>
      </c>
      <c r="AY5" s="15">
        <f>10000 + (50 * SUBSCRIBER_FUNNEL!AY8)</f>
        <v>23333.841623270935</v>
      </c>
      <c r="AZ5" s="15">
        <f>10000 + (50 * SUBSCRIBER_FUNNEL!AZ8)</f>
        <v>24668.190269141873</v>
      </c>
      <c r="BA5" s="15">
        <f>10000 + (50 * SUBSCRIBER_FUNNEL!BA8)</f>
        <v>26135.915910587279</v>
      </c>
      <c r="BB5" s="15">
        <f>10000 + (50 * SUBSCRIBER_FUNNEL!BB8)</f>
        <v>27750.359719305347</v>
      </c>
      <c r="BC5" s="15">
        <f>10000 + (50 * SUBSCRIBER_FUNNEL!BC8)</f>
        <v>29526.196775835666</v>
      </c>
      <c r="BD5" s="15">
        <f>10000 + (50 * SUBSCRIBER_FUNNEL!BD8)</f>
        <v>31479.569472943029</v>
      </c>
      <c r="BE5" s="15">
        <f>10000 + (50 * SUBSCRIBER_FUNNEL!BE8)</f>
        <v>33628.234258589699</v>
      </c>
      <c r="BF5" s="15">
        <f>10000 + (50 * SUBSCRIBER_FUNNEL!BF8)</f>
        <v>35991.723052499896</v>
      </c>
      <c r="BG5" s="15">
        <f>10000 + (50 * SUBSCRIBER_FUNNEL!BG8)</f>
        <v>38591.520803718042</v>
      </c>
      <c r="BH5" s="15">
        <f>10000 + (50 * SUBSCRIBER_FUNNEL!BH8)</f>
        <v>41451.260803299912</v>
      </c>
      <c r="BI5" s="15">
        <f>10000 + (50 * SUBSCRIBER_FUNNEL!BI8)</f>
        <v>44596.939527687362</v>
      </c>
      <c r="BJ5" s="15">
        <f>10000 + (50 * SUBSCRIBER_FUNNEL!BJ8)</f>
        <v>48057.152965870111</v>
      </c>
    </row>
    <row r="6" spans="2:62" x14ac:dyDescent="0.2">
      <c r="B6" t="s">
        <v>100</v>
      </c>
      <c r="C6" s="15">
        <f>0.02 * REVENUE_ENGINE!C6</f>
        <v>20</v>
      </c>
      <c r="D6" s="15">
        <f>0.02 * REVENUE_ENGINE!D6</f>
        <v>40.800000000000004</v>
      </c>
      <c r="E6" s="15">
        <f>0.02 * REVENUE_ENGINE!E6</f>
        <v>62.552000000000007</v>
      </c>
      <c r="F6" s="15">
        <f>0.02 * REVENUE_ENGINE!F6</f>
        <v>85.418880000000016</v>
      </c>
      <c r="G6" s="15">
        <f>0.02 * REVENUE_ENGINE!G6</f>
        <v>109.57574720000001</v>
      </c>
      <c r="H6" s="15">
        <f>0.02 * REVENUE_ENGINE!H6</f>
        <v>135.21140236800002</v>
      </c>
      <c r="I6" s="15">
        <f>0.02 * REVENUE_ENGINE!I6</f>
        <v>162.52993822592003</v>
      </c>
      <c r="J6" s="15">
        <f>0.02 * REVENUE_ENGINE!J6</f>
        <v>191.75248393236484</v>
      </c>
      <c r="K6" s="15">
        <f>0.02 * REVENUE_ENGINE!K6</f>
        <v>223.11911109642298</v>
      </c>
      <c r="L6" s="15">
        <f>0.02 * REVENUE_ENGINE!L6</f>
        <v>256.89091825063764</v>
      </c>
      <c r="M6" s="15">
        <f>0.02 * REVENUE_ENGINE!M6</f>
        <v>293.35231235759943</v>
      </c>
      <c r="N6" s="15">
        <f>0.02 * REVENUE_ENGINE!N6</f>
        <v>332.8135077383435</v>
      </c>
      <c r="O6" s="15">
        <f>0.02 * REVENUE_ENGINE!O6</f>
        <v>375.61326480846293</v>
      </c>
      <c r="P6" s="15">
        <f>0.02 * REVENUE_ENGINE!P6</f>
        <v>422.12189320781727</v>
      </c>
      <c r="Q6" s="15">
        <f>0.02 * REVENUE_ENGINE!Q6</f>
        <v>472.74454633199645</v>
      </c>
      <c r="R6" s="15">
        <f>0.02 * REVENUE_ENGINE!R6</f>
        <v>527.92483694038981</v>
      </c>
      <c r="S6" s="15">
        <f>0.02 * REVENUE_ENGINE!S6</f>
        <v>588.14880645111089</v>
      </c>
      <c r="T6" s="15">
        <f>0.02 * REVENUE_ENGINE!T6</f>
        <v>653.94928376390305</v>
      </c>
      <c r="U6" s="15">
        <f>0.02 * REVENUE_ENGINE!U6</f>
        <v>725.91067300791372</v>
      </c>
      <c r="V6" s="15">
        <f>0.02 * REVENUE_ENGINE!V6</f>
        <v>804.67421352426811</v>
      </c>
      <c r="W6" s="15">
        <f>0.02 * REVENUE_ENGINE!W6</f>
        <v>890.94375969932412</v>
      </c>
      <c r="X6" s="15">
        <f>0.02 * REVENUE_ENGINE!X6</f>
        <v>985.49213300252813</v>
      </c>
      <c r="Y6" s="15">
        <f>0.02 * REVENUE_ENGINE!Y6</f>
        <v>1089.1681037960561</v>
      </c>
      <c r="Z6" s="15">
        <f>0.02 * REVENUE_ENGINE!Z6</f>
        <v>1202.9040662193404</v>
      </c>
      <c r="AA6" s="15">
        <f>0.02 * REVENUE_ENGINE!AA6</f>
        <v>1327.7244757623325</v>
      </c>
      <c r="AB6" s="15">
        <f>0.02 * REVENUE_ENGINE!AB6</f>
        <v>1464.7551260843607</v>
      </c>
      <c r="AC6" s="15">
        <f>0.02 * REVENUE_ENGINE!AC6</f>
        <v>1615.233349273843</v>
      </c>
      <c r="AD6" s="15">
        <f>0.02 * REVENUE_ENGINE!AD6</f>
        <v>1780.5192321474117</v>
      </c>
      <c r="AE6" s="15">
        <f>0.02 * REVENUE_ENGINE!AE6</f>
        <v>1962.107950431566</v>
      </c>
      <c r="AF6" s="15">
        <f>0.02 * REVENUE_ENGINE!AF6</f>
        <v>2161.6433328399708</v>
      </c>
      <c r="AG6" s="15">
        <f>0.02 * REVENUE_ENGINE!AG6</f>
        <v>2380.9327782473015</v>
      </c>
      <c r="AH6" s="15">
        <f>0.02 * REVENUE_ENGINE!AH6</f>
        <v>2621.9636614679657</v>
      </c>
      <c r="AI6" s="15">
        <f>0.02 * REVENUE_ENGINE!AI6</f>
        <v>2886.9213766869398</v>
      </c>
      <c r="AJ6" s="15">
        <f>0.02 * REVENUE_ENGINE!AJ6</f>
        <v>3178.2091824834806</v>
      </c>
      <c r="AK6" s="15">
        <f>0.02 * REVENUE_ENGINE!AK6</f>
        <v>3498.4700287720057</v>
      </c>
      <c r="AL6" s="15">
        <f>0.02 * REVENUE_ENGINE!AL6</f>
        <v>3850.6105640069723</v>
      </c>
      <c r="AM6" s="15">
        <f>0.02 * REVENUE_ENGINE!AM6</f>
        <v>4237.8275408239688</v>
      </c>
      <c r="AN6" s="15">
        <f>0.02 * REVENUE_ENGINE!AN6</f>
        <v>4663.6368600976875</v>
      </c>
      <c r="AO6" s="15">
        <f>0.02 * REVENUE_ENGINE!AO6</f>
        <v>5131.9055173872985</v>
      </c>
      <c r="AP6" s="15">
        <f>0.02 * REVENUE_ENGINE!AP6</f>
        <v>5646.8867421290806</v>
      </c>
      <c r="AQ6" s="15">
        <f>0.02 * REVENUE_ENGINE!AQ6</f>
        <v>6213.2586489648575</v>
      </c>
      <c r="AR6" s="15">
        <f>0.02 * REVENUE_ENGINE!AR6</f>
        <v>6836.1667525268404</v>
      </c>
      <c r="AS6" s="15">
        <f>0.02 * REVENUE_ENGINE!AS6</f>
        <v>7521.2707321250919</v>
      </c>
      <c r="AT6" s="15">
        <f>0.02 * REVENUE_ENGINE!AT6</f>
        <v>8274.7958714224333</v>
      </c>
      <c r="AU6" s="15">
        <f>0.02 * REVENUE_ENGINE!AU6</f>
        <v>9103.5896406844204</v>
      </c>
      <c r="AV6" s="15">
        <f>0.02 * REVENUE_ENGINE!AV6</f>
        <v>10015.183935945422</v>
      </c>
      <c r="AW6" s="15">
        <f>0.02 * REVENUE_ENGINE!AW6</f>
        <v>11017.863540860968</v>
      </c>
      <c r="AX6" s="15">
        <f>0.02 * REVENUE_ENGINE!AX6</f>
        <v>12120.741433588812</v>
      </c>
      <c r="AY6" s="15">
        <f>0.02 * REVENUE_ENGINE!AY6</f>
        <v>13333.841623270933</v>
      </c>
      <c r="AZ6" s="15">
        <f>0.02 * REVENUE_ENGINE!AZ6</f>
        <v>14668.190269141875</v>
      </c>
      <c r="BA6" s="15">
        <f>0.02 * REVENUE_ENGINE!BA6</f>
        <v>16135.915910587279</v>
      </c>
      <c r="BB6" s="15">
        <f>0.02 * REVENUE_ENGINE!BB6</f>
        <v>17750.35971930535</v>
      </c>
      <c r="BC6" s="15">
        <f>0.02 * REVENUE_ENGINE!BC6</f>
        <v>19526.196775835666</v>
      </c>
      <c r="BD6" s="15">
        <f>0.02 * REVENUE_ENGINE!BD6</f>
        <v>21479.569472943029</v>
      </c>
      <c r="BE6" s="15">
        <f>0.02 * REVENUE_ENGINE!BE6</f>
        <v>23628.234258589699</v>
      </c>
      <c r="BF6" s="15">
        <f>0.02 * REVENUE_ENGINE!BF6</f>
        <v>25991.723052499896</v>
      </c>
      <c r="BG6" s="15">
        <f>0.02 * REVENUE_ENGINE!BG6</f>
        <v>28591.520803718038</v>
      </c>
      <c r="BH6" s="15">
        <f>0.02 * REVENUE_ENGINE!BH6</f>
        <v>31451.260803299909</v>
      </c>
      <c r="BI6" s="15">
        <f>0.02 * REVENUE_ENGINE!BI6</f>
        <v>34596.939527687362</v>
      </c>
      <c r="BJ6" s="15">
        <f>0.02 * REVENUE_ENGINE!BJ6</f>
        <v>38057.152965870111</v>
      </c>
    </row>
    <row r="7" spans="2:62" x14ac:dyDescent="0.2">
      <c r="B7" s="14" t="s">
        <v>101</v>
      </c>
      <c r="C7" s="15">
        <f>C5 + C6</f>
        <v>10040</v>
      </c>
      <c r="D7" s="15">
        <f>D5 + D6</f>
        <v>10081.599999999999</v>
      </c>
      <c r="E7" s="15">
        <f>E5 + E6</f>
        <v>10125.103999999999</v>
      </c>
      <c r="F7" s="15">
        <f>F5 + F6</f>
        <v>10170.837759999999</v>
      </c>
      <c r="G7" s="15">
        <f>G5 + G6</f>
        <v>10219.151494400001</v>
      </c>
      <c r="H7" s="15">
        <f>H5 + H6</f>
        <v>10270.422804736001</v>
      </c>
      <c r="I7" s="15">
        <f>I5 + I6</f>
        <v>10325.05987645184</v>
      </c>
      <c r="J7" s="15">
        <f>J5 + J6</f>
        <v>10383.50496786473</v>
      </c>
      <c r="K7" s="15">
        <f>K5 + K6</f>
        <v>10446.238222192846</v>
      </c>
      <c r="L7" s="15">
        <f>L5 + L6</f>
        <v>10513.781836501275</v>
      </c>
      <c r="M7" s="15">
        <f>M5 + M6</f>
        <v>10586.704624715199</v>
      </c>
      <c r="N7" s="15">
        <f>N5 + N6</f>
        <v>10665.627015476686</v>
      </c>
      <c r="O7" s="15">
        <f>O5 + O6</f>
        <v>10751.226529616924</v>
      </c>
      <c r="P7" s="15">
        <f>P5 + P6</f>
        <v>10844.243786415635</v>
      </c>
      <c r="Q7" s="15">
        <f>Q5 + Q6</f>
        <v>10945.489092663993</v>
      </c>
      <c r="R7" s="15">
        <f>R5 + R6</f>
        <v>11055.849673880781</v>
      </c>
      <c r="S7" s="15">
        <f>S5 + S6</f>
        <v>11176.297612902221</v>
      </c>
      <c r="T7" s="15">
        <f>T5 + T6</f>
        <v>11307.898567527805</v>
      </c>
      <c r="U7" s="15">
        <f>U5 + U6</f>
        <v>11451.821346015826</v>
      </c>
      <c r="V7" s="15">
        <f>V5 + V6</f>
        <v>11609.348427048535</v>
      </c>
      <c r="W7" s="15">
        <f>W5 + W6</f>
        <v>11781.88751939865</v>
      </c>
      <c r="X7" s="15">
        <f>X5 + X6</f>
        <v>11970.984266005056</v>
      </c>
      <c r="Y7" s="15">
        <f>Y5 + Y6</f>
        <v>12178.33620759211</v>
      </c>
      <c r="Z7" s="15">
        <f>Z5 + Z6</f>
        <v>12405.80813243868</v>
      </c>
      <c r="AA7" s="15">
        <f>AA5 + AA6</f>
        <v>12655.448951524664</v>
      </c>
      <c r="AB7" s="15">
        <f>AB5 + AB6</f>
        <v>12929.510252168722</v>
      </c>
      <c r="AC7" s="15">
        <f>AC5 + AC6</f>
        <v>13230.466698547687</v>
      </c>
      <c r="AD7" s="15">
        <f>AD5 + AD6</f>
        <v>13561.038464294823</v>
      </c>
      <c r="AE7" s="15">
        <f>AE5 + AE6</f>
        <v>13924.215900863132</v>
      </c>
      <c r="AF7" s="15">
        <f>AF5 + AF6</f>
        <v>14323.286665679942</v>
      </c>
      <c r="AG7" s="15">
        <f>AG5 + AG6</f>
        <v>14761.865556494602</v>
      </c>
      <c r="AH7" s="15">
        <f>AH5 + AH6</f>
        <v>15243.927322935931</v>
      </c>
      <c r="AI7" s="15">
        <f>AI5 + AI6</f>
        <v>15773.84275337388</v>
      </c>
      <c r="AJ7" s="15">
        <f>AJ5 + AJ6</f>
        <v>16356.418364966961</v>
      </c>
      <c r="AK7" s="15">
        <f>AK5 + AK6</f>
        <v>16996.940057544009</v>
      </c>
      <c r="AL7" s="15">
        <f>AL5 + AL6</f>
        <v>17701.221128013945</v>
      </c>
      <c r="AM7" s="15">
        <f>AM5 + AM6</f>
        <v>18475.655081647936</v>
      </c>
      <c r="AN7" s="15">
        <f>AN5 + AN6</f>
        <v>19327.273720195375</v>
      </c>
      <c r="AO7" s="15">
        <f>AO5 + AO6</f>
        <v>20263.811034774597</v>
      </c>
      <c r="AP7" s="15">
        <f>AP5 + AP6</f>
        <v>21293.773484258163</v>
      </c>
      <c r="AQ7" s="15">
        <f>AQ5 + AQ6</f>
        <v>22426.517297929713</v>
      </c>
      <c r="AR7" s="15">
        <f>AR5 + AR6</f>
        <v>23672.333505053684</v>
      </c>
      <c r="AS7" s="15">
        <f>AS5 + AS6</f>
        <v>25042.541464250186</v>
      </c>
      <c r="AT7" s="15">
        <f>AT5 + AT6</f>
        <v>26549.591742844867</v>
      </c>
      <c r="AU7" s="15">
        <f>AU5 + AU6</f>
        <v>28207.179281368837</v>
      </c>
      <c r="AV7" s="15">
        <f>AV5 + AV6</f>
        <v>30030.367871890841</v>
      </c>
      <c r="AW7" s="15">
        <f>AW5 + AW6</f>
        <v>32035.72708172194</v>
      </c>
      <c r="AX7" s="15">
        <f>AX5 + AX6</f>
        <v>34241.482867177619</v>
      </c>
      <c r="AY7" s="15">
        <f>AY5 + AY6</f>
        <v>36667.68324654187</v>
      </c>
      <c r="AZ7" s="15">
        <f>AZ5 + AZ6</f>
        <v>39336.380538283745</v>
      </c>
      <c r="BA7" s="15">
        <f>BA5 + BA6</f>
        <v>42271.831821174557</v>
      </c>
      <c r="BB7" s="15">
        <f>BB5 + BB6</f>
        <v>45500.7194386107</v>
      </c>
      <c r="BC7" s="15">
        <f>BC5 + BC6</f>
        <v>49052.393551671332</v>
      </c>
      <c r="BD7" s="15">
        <f>BD5 + BD6</f>
        <v>52959.138945886058</v>
      </c>
      <c r="BE7" s="15">
        <f>BE5 + BE6</f>
        <v>57256.468517179397</v>
      </c>
      <c r="BF7" s="15">
        <f>BF5 + BF6</f>
        <v>61983.446104999792</v>
      </c>
      <c r="BG7" s="15">
        <f>BG5 + BG6</f>
        <v>67183.041607436084</v>
      </c>
      <c r="BH7" s="15">
        <f>BH5 + BH6</f>
        <v>72902.521606599825</v>
      </c>
      <c r="BI7" s="15">
        <f>BI5 + BI6</f>
        <v>79193.879055374724</v>
      </c>
      <c r="BJ7" s="15">
        <f>BJ5 + BJ6</f>
        <v>86114.305931740222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J10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102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103</v>
      </c>
      <c r="C5" s="15">
        <f>300000 * ((1 + INDEX(ASSUMPTIONS!$C$16:$E$16, 1, MATCH(ASSUMPTIONS!$C$2, ASSUMPTIONS!$C$4:$E$4, 0))) ^ 0)</f>
        <v>300000</v>
      </c>
      <c r="D5" s="15">
        <f>300000 * ((1 + INDEX(ASSUMPTIONS!$C$16:$E$16, 1, MATCH(ASSUMPTIONS!$C$2, ASSUMPTIONS!$C$4:$E$4, 0))) ^ 0)</f>
        <v>300000</v>
      </c>
      <c r="E5" s="15">
        <f>300000 * ((1 + INDEX(ASSUMPTIONS!$C$16:$E$16, 1, MATCH(ASSUMPTIONS!$C$2, ASSUMPTIONS!$C$4:$E$4, 0))) ^ 0)</f>
        <v>300000</v>
      </c>
      <c r="F5" s="15">
        <f>300000 * ((1 + INDEX(ASSUMPTIONS!$C$16:$E$16, 1, MATCH(ASSUMPTIONS!$C$2, ASSUMPTIONS!$C$4:$E$4, 0))) ^ 0)</f>
        <v>300000</v>
      </c>
      <c r="G5" s="15">
        <f>300000 * ((1 + INDEX(ASSUMPTIONS!$C$16:$E$16, 1, MATCH(ASSUMPTIONS!$C$2, ASSUMPTIONS!$C$4:$E$4, 0))) ^ 0)</f>
        <v>300000</v>
      </c>
      <c r="H5" s="15">
        <f>300000 * ((1 + INDEX(ASSUMPTIONS!$C$16:$E$16, 1, MATCH(ASSUMPTIONS!$C$2, ASSUMPTIONS!$C$4:$E$4, 0))) ^ 0)</f>
        <v>300000</v>
      </c>
      <c r="I5" s="15">
        <f>300000 * ((1 + INDEX(ASSUMPTIONS!$C$16:$E$16, 1, MATCH(ASSUMPTIONS!$C$2, ASSUMPTIONS!$C$4:$E$4, 0))) ^ 0)</f>
        <v>300000</v>
      </c>
      <c r="J5" s="15">
        <f>300000 * ((1 + INDEX(ASSUMPTIONS!$C$16:$E$16, 1, MATCH(ASSUMPTIONS!$C$2, ASSUMPTIONS!$C$4:$E$4, 0))) ^ 0)</f>
        <v>300000</v>
      </c>
      <c r="K5" s="15">
        <f>300000 * ((1 + INDEX(ASSUMPTIONS!$C$16:$E$16, 1, MATCH(ASSUMPTIONS!$C$2, ASSUMPTIONS!$C$4:$E$4, 0))) ^ 0)</f>
        <v>300000</v>
      </c>
      <c r="L5" s="15">
        <f>300000 * ((1 + INDEX(ASSUMPTIONS!$C$16:$E$16, 1, MATCH(ASSUMPTIONS!$C$2, ASSUMPTIONS!$C$4:$E$4, 0))) ^ 0)</f>
        <v>300000</v>
      </c>
      <c r="M5" s="15">
        <f>300000 * ((1 + INDEX(ASSUMPTIONS!$C$16:$E$16, 1, MATCH(ASSUMPTIONS!$C$2, ASSUMPTIONS!$C$4:$E$4, 0))) ^ 0)</f>
        <v>300000</v>
      </c>
      <c r="N5" s="15">
        <f>300000 * ((1 + INDEX(ASSUMPTIONS!$C$16:$E$16, 1, MATCH(ASSUMPTIONS!$C$2, ASSUMPTIONS!$C$4:$E$4, 0))) ^ 0)</f>
        <v>300000</v>
      </c>
      <c r="O5" s="15">
        <f>300000 * ((1 + INDEX(ASSUMPTIONS!$C$16:$E$16, 1, MATCH(ASSUMPTIONS!$C$2, ASSUMPTIONS!$C$4:$E$4, 0))) ^ 1)</f>
        <v>330000</v>
      </c>
      <c r="P5" s="15">
        <f>300000 * ((1 + INDEX(ASSUMPTIONS!$C$16:$E$16, 1, MATCH(ASSUMPTIONS!$C$2, ASSUMPTIONS!$C$4:$E$4, 0))) ^ 1)</f>
        <v>330000</v>
      </c>
      <c r="Q5" s="15">
        <f>300000 * ((1 + INDEX(ASSUMPTIONS!$C$16:$E$16, 1, MATCH(ASSUMPTIONS!$C$2, ASSUMPTIONS!$C$4:$E$4, 0))) ^ 1)</f>
        <v>330000</v>
      </c>
      <c r="R5" s="15">
        <f>300000 * ((1 + INDEX(ASSUMPTIONS!$C$16:$E$16, 1, MATCH(ASSUMPTIONS!$C$2, ASSUMPTIONS!$C$4:$E$4, 0))) ^ 1)</f>
        <v>330000</v>
      </c>
      <c r="S5" s="15">
        <f>300000 * ((1 + INDEX(ASSUMPTIONS!$C$16:$E$16, 1, MATCH(ASSUMPTIONS!$C$2, ASSUMPTIONS!$C$4:$E$4, 0))) ^ 1)</f>
        <v>330000</v>
      </c>
      <c r="T5" s="15">
        <f>300000 * ((1 + INDEX(ASSUMPTIONS!$C$16:$E$16, 1, MATCH(ASSUMPTIONS!$C$2, ASSUMPTIONS!$C$4:$E$4, 0))) ^ 1)</f>
        <v>330000</v>
      </c>
      <c r="U5" s="15">
        <f>300000 * ((1 + INDEX(ASSUMPTIONS!$C$16:$E$16, 1, MATCH(ASSUMPTIONS!$C$2, ASSUMPTIONS!$C$4:$E$4, 0))) ^ 1)</f>
        <v>330000</v>
      </c>
      <c r="V5" s="15">
        <f>300000 * ((1 + INDEX(ASSUMPTIONS!$C$16:$E$16, 1, MATCH(ASSUMPTIONS!$C$2, ASSUMPTIONS!$C$4:$E$4, 0))) ^ 1)</f>
        <v>330000</v>
      </c>
      <c r="W5" s="15">
        <f>300000 * ((1 + INDEX(ASSUMPTIONS!$C$16:$E$16, 1, MATCH(ASSUMPTIONS!$C$2, ASSUMPTIONS!$C$4:$E$4, 0))) ^ 1)</f>
        <v>330000</v>
      </c>
      <c r="X5" s="15">
        <f>300000 * ((1 + INDEX(ASSUMPTIONS!$C$16:$E$16, 1, MATCH(ASSUMPTIONS!$C$2, ASSUMPTIONS!$C$4:$E$4, 0))) ^ 1)</f>
        <v>330000</v>
      </c>
      <c r="Y5" s="15">
        <f>300000 * ((1 + INDEX(ASSUMPTIONS!$C$16:$E$16, 1, MATCH(ASSUMPTIONS!$C$2, ASSUMPTIONS!$C$4:$E$4, 0))) ^ 1)</f>
        <v>330000</v>
      </c>
      <c r="Z5" s="15">
        <f>300000 * ((1 + INDEX(ASSUMPTIONS!$C$16:$E$16, 1, MATCH(ASSUMPTIONS!$C$2, ASSUMPTIONS!$C$4:$E$4, 0))) ^ 1)</f>
        <v>330000</v>
      </c>
      <c r="AA5" s="15">
        <f>300000 * ((1 + INDEX(ASSUMPTIONS!$C$16:$E$16, 1, MATCH(ASSUMPTIONS!$C$2, ASSUMPTIONS!$C$4:$E$4, 0))) ^ 2)</f>
        <v>363000.00000000006</v>
      </c>
      <c r="AB5" s="15">
        <f>300000 * ((1 + INDEX(ASSUMPTIONS!$C$16:$E$16, 1, MATCH(ASSUMPTIONS!$C$2, ASSUMPTIONS!$C$4:$E$4, 0))) ^ 2)</f>
        <v>363000.00000000006</v>
      </c>
      <c r="AC5" s="15">
        <f>300000 * ((1 + INDEX(ASSUMPTIONS!$C$16:$E$16, 1, MATCH(ASSUMPTIONS!$C$2, ASSUMPTIONS!$C$4:$E$4, 0))) ^ 2)</f>
        <v>363000.00000000006</v>
      </c>
      <c r="AD5" s="15">
        <f>300000 * ((1 + INDEX(ASSUMPTIONS!$C$16:$E$16, 1, MATCH(ASSUMPTIONS!$C$2, ASSUMPTIONS!$C$4:$E$4, 0))) ^ 2)</f>
        <v>363000.00000000006</v>
      </c>
      <c r="AE5" s="15">
        <f>300000 * ((1 + INDEX(ASSUMPTIONS!$C$16:$E$16, 1, MATCH(ASSUMPTIONS!$C$2, ASSUMPTIONS!$C$4:$E$4, 0))) ^ 2)</f>
        <v>363000.00000000006</v>
      </c>
      <c r="AF5" s="15">
        <f>300000 * ((1 + INDEX(ASSUMPTIONS!$C$16:$E$16, 1, MATCH(ASSUMPTIONS!$C$2, ASSUMPTIONS!$C$4:$E$4, 0))) ^ 2)</f>
        <v>363000.00000000006</v>
      </c>
      <c r="AG5" s="15">
        <f>300000 * ((1 + INDEX(ASSUMPTIONS!$C$16:$E$16, 1, MATCH(ASSUMPTIONS!$C$2, ASSUMPTIONS!$C$4:$E$4, 0))) ^ 2)</f>
        <v>363000.00000000006</v>
      </c>
      <c r="AH5" s="15">
        <f>300000 * ((1 + INDEX(ASSUMPTIONS!$C$16:$E$16, 1, MATCH(ASSUMPTIONS!$C$2, ASSUMPTIONS!$C$4:$E$4, 0))) ^ 2)</f>
        <v>363000.00000000006</v>
      </c>
      <c r="AI5" s="15">
        <f>300000 * ((1 + INDEX(ASSUMPTIONS!$C$16:$E$16, 1, MATCH(ASSUMPTIONS!$C$2, ASSUMPTIONS!$C$4:$E$4, 0))) ^ 2)</f>
        <v>363000.00000000006</v>
      </c>
      <c r="AJ5" s="15">
        <f>300000 * ((1 + INDEX(ASSUMPTIONS!$C$16:$E$16, 1, MATCH(ASSUMPTIONS!$C$2, ASSUMPTIONS!$C$4:$E$4, 0))) ^ 2)</f>
        <v>363000.00000000006</v>
      </c>
      <c r="AK5" s="15">
        <f>300000 * ((1 + INDEX(ASSUMPTIONS!$C$16:$E$16, 1, MATCH(ASSUMPTIONS!$C$2, ASSUMPTIONS!$C$4:$E$4, 0))) ^ 2)</f>
        <v>363000.00000000006</v>
      </c>
      <c r="AL5" s="15">
        <f>300000 * ((1 + INDEX(ASSUMPTIONS!$C$16:$E$16, 1, MATCH(ASSUMPTIONS!$C$2, ASSUMPTIONS!$C$4:$E$4, 0))) ^ 2)</f>
        <v>363000.00000000006</v>
      </c>
      <c r="AM5" s="15">
        <f>300000 * ((1 + INDEX(ASSUMPTIONS!$C$16:$E$16, 1, MATCH(ASSUMPTIONS!$C$2, ASSUMPTIONS!$C$4:$E$4, 0))) ^ 3)</f>
        <v>399300.00000000012</v>
      </c>
      <c r="AN5" s="15">
        <f>300000 * ((1 + INDEX(ASSUMPTIONS!$C$16:$E$16, 1, MATCH(ASSUMPTIONS!$C$2, ASSUMPTIONS!$C$4:$E$4, 0))) ^ 3)</f>
        <v>399300.00000000012</v>
      </c>
      <c r="AO5" s="15">
        <f>300000 * ((1 + INDEX(ASSUMPTIONS!$C$16:$E$16, 1, MATCH(ASSUMPTIONS!$C$2, ASSUMPTIONS!$C$4:$E$4, 0))) ^ 3)</f>
        <v>399300.00000000012</v>
      </c>
      <c r="AP5" s="15">
        <f>300000 * ((1 + INDEX(ASSUMPTIONS!$C$16:$E$16, 1, MATCH(ASSUMPTIONS!$C$2, ASSUMPTIONS!$C$4:$E$4, 0))) ^ 3)</f>
        <v>399300.00000000012</v>
      </c>
      <c r="AQ5" s="15">
        <f>300000 * ((1 + INDEX(ASSUMPTIONS!$C$16:$E$16, 1, MATCH(ASSUMPTIONS!$C$2, ASSUMPTIONS!$C$4:$E$4, 0))) ^ 3)</f>
        <v>399300.00000000012</v>
      </c>
      <c r="AR5" s="15">
        <f>300000 * ((1 + INDEX(ASSUMPTIONS!$C$16:$E$16, 1, MATCH(ASSUMPTIONS!$C$2, ASSUMPTIONS!$C$4:$E$4, 0))) ^ 3)</f>
        <v>399300.00000000012</v>
      </c>
      <c r="AS5" s="15">
        <f>300000 * ((1 + INDEX(ASSUMPTIONS!$C$16:$E$16, 1, MATCH(ASSUMPTIONS!$C$2, ASSUMPTIONS!$C$4:$E$4, 0))) ^ 3)</f>
        <v>399300.00000000012</v>
      </c>
      <c r="AT5" s="15">
        <f>300000 * ((1 + INDEX(ASSUMPTIONS!$C$16:$E$16, 1, MATCH(ASSUMPTIONS!$C$2, ASSUMPTIONS!$C$4:$E$4, 0))) ^ 3)</f>
        <v>399300.00000000012</v>
      </c>
      <c r="AU5" s="15">
        <f>300000 * ((1 + INDEX(ASSUMPTIONS!$C$16:$E$16, 1, MATCH(ASSUMPTIONS!$C$2, ASSUMPTIONS!$C$4:$E$4, 0))) ^ 3)</f>
        <v>399300.00000000012</v>
      </c>
      <c r="AV5" s="15">
        <f>300000 * ((1 + INDEX(ASSUMPTIONS!$C$16:$E$16, 1, MATCH(ASSUMPTIONS!$C$2, ASSUMPTIONS!$C$4:$E$4, 0))) ^ 3)</f>
        <v>399300.00000000012</v>
      </c>
      <c r="AW5" s="15">
        <f>300000 * ((1 + INDEX(ASSUMPTIONS!$C$16:$E$16, 1, MATCH(ASSUMPTIONS!$C$2, ASSUMPTIONS!$C$4:$E$4, 0))) ^ 3)</f>
        <v>399300.00000000012</v>
      </c>
      <c r="AX5" s="15">
        <f>300000 * ((1 + INDEX(ASSUMPTIONS!$C$16:$E$16, 1, MATCH(ASSUMPTIONS!$C$2, ASSUMPTIONS!$C$4:$E$4, 0))) ^ 3)</f>
        <v>399300.00000000012</v>
      </c>
      <c r="AY5" s="15">
        <f>300000 * ((1 + INDEX(ASSUMPTIONS!$C$16:$E$16, 1, MATCH(ASSUMPTIONS!$C$2, ASSUMPTIONS!$C$4:$E$4, 0))) ^ 4)</f>
        <v>439230.00000000012</v>
      </c>
      <c r="AZ5" s="15">
        <f>300000 * ((1 + INDEX(ASSUMPTIONS!$C$16:$E$16, 1, MATCH(ASSUMPTIONS!$C$2, ASSUMPTIONS!$C$4:$E$4, 0))) ^ 4)</f>
        <v>439230.00000000012</v>
      </c>
      <c r="BA5" s="15">
        <f>300000 * ((1 + INDEX(ASSUMPTIONS!$C$16:$E$16, 1, MATCH(ASSUMPTIONS!$C$2, ASSUMPTIONS!$C$4:$E$4, 0))) ^ 4)</f>
        <v>439230.00000000012</v>
      </c>
      <c r="BB5" s="15">
        <f>300000 * ((1 + INDEX(ASSUMPTIONS!$C$16:$E$16, 1, MATCH(ASSUMPTIONS!$C$2, ASSUMPTIONS!$C$4:$E$4, 0))) ^ 4)</f>
        <v>439230.00000000012</v>
      </c>
      <c r="BC5" s="15">
        <f>300000 * ((1 + INDEX(ASSUMPTIONS!$C$16:$E$16, 1, MATCH(ASSUMPTIONS!$C$2, ASSUMPTIONS!$C$4:$E$4, 0))) ^ 4)</f>
        <v>439230.00000000012</v>
      </c>
      <c r="BD5" s="15">
        <f>300000 * ((1 + INDEX(ASSUMPTIONS!$C$16:$E$16, 1, MATCH(ASSUMPTIONS!$C$2, ASSUMPTIONS!$C$4:$E$4, 0))) ^ 4)</f>
        <v>439230.00000000012</v>
      </c>
      <c r="BE5" s="15">
        <f>300000 * ((1 + INDEX(ASSUMPTIONS!$C$16:$E$16, 1, MATCH(ASSUMPTIONS!$C$2, ASSUMPTIONS!$C$4:$E$4, 0))) ^ 4)</f>
        <v>439230.00000000012</v>
      </c>
      <c r="BF5" s="15">
        <f>300000 * ((1 + INDEX(ASSUMPTIONS!$C$16:$E$16, 1, MATCH(ASSUMPTIONS!$C$2, ASSUMPTIONS!$C$4:$E$4, 0))) ^ 4)</f>
        <v>439230.00000000012</v>
      </c>
      <c r="BG5" s="15">
        <f>300000 * ((1 + INDEX(ASSUMPTIONS!$C$16:$E$16, 1, MATCH(ASSUMPTIONS!$C$2, ASSUMPTIONS!$C$4:$E$4, 0))) ^ 4)</f>
        <v>439230.00000000012</v>
      </c>
      <c r="BH5" s="15">
        <f>300000 * ((1 + INDEX(ASSUMPTIONS!$C$16:$E$16, 1, MATCH(ASSUMPTIONS!$C$2, ASSUMPTIONS!$C$4:$E$4, 0))) ^ 4)</f>
        <v>439230.00000000012</v>
      </c>
      <c r="BI5" s="15">
        <f>300000 * ((1 + INDEX(ASSUMPTIONS!$C$16:$E$16, 1, MATCH(ASSUMPTIONS!$C$2, ASSUMPTIONS!$C$4:$E$4, 0))) ^ 4)</f>
        <v>439230.00000000012</v>
      </c>
      <c r="BJ5" s="15">
        <f>300000 * ((1 + INDEX(ASSUMPTIONS!$C$16:$E$16, 1, MATCH(ASSUMPTIONS!$C$2, ASSUMPTIONS!$C$4:$E$4, 0))) ^ 4)</f>
        <v>439230.00000000012</v>
      </c>
    </row>
    <row r="6" spans="2:62" x14ac:dyDescent="0.2">
      <c r="B6" t="s">
        <v>104</v>
      </c>
      <c r="C6" s="15">
        <f>REVENUE_ENGINE!C6 * INDEX(ASSUMPTIONS!$C$17:$E$17, 1, MATCH(ASSUMPTIONS!$C$2, ASSUMPTIONS!$C$4:$E$4, 0))</f>
        <v>120</v>
      </c>
      <c r="D6" s="15">
        <f>REVENUE_ENGINE!D6 * INDEX(ASSUMPTIONS!$C$17:$E$17, 1, MATCH(ASSUMPTIONS!$C$2, ASSUMPTIONS!$C$4:$E$4, 0))</f>
        <v>244.8</v>
      </c>
      <c r="E6" s="15">
        <f>REVENUE_ENGINE!E6 * INDEX(ASSUMPTIONS!$C$17:$E$17, 1, MATCH(ASSUMPTIONS!$C$2, ASSUMPTIONS!$C$4:$E$4, 0))</f>
        <v>375.31200000000001</v>
      </c>
      <c r="F6" s="15">
        <f>REVENUE_ENGINE!F6 * INDEX(ASSUMPTIONS!$C$17:$E$17, 1, MATCH(ASSUMPTIONS!$C$2, ASSUMPTIONS!$C$4:$E$4, 0))</f>
        <v>512.51328000000001</v>
      </c>
      <c r="G6" s="15">
        <f>REVENUE_ENGINE!G6 * INDEX(ASSUMPTIONS!$C$17:$E$17, 1, MATCH(ASSUMPTIONS!$C$2, ASSUMPTIONS!$C$4:$E$4, 0))</f>
        <v>657.45448320000003</v>
      </c>
      <c r="H6" s="15">
        <f>REVENUE_ENGINE!H6 * INDEX(ASSUMPTIONS!$C$17:$E$17, 1, MATCH(ASSUMPTIONS!$C$2, ASSUMPTIONS!$C$4:$E$4, 0))</f>
        <v>811.26841420800008</v>
      </c>
      <c r="I6" s="15">
        <f>REVENUE_ENGINE!I6 * INDEX(ASSUMPTIONS!$C$17:$E$17, 1, MATCH(ASSUMPTIONS!$C$2, ASSUMPTIONS!$C$4:$E$4, 0))</f>
        <v>975.17962935552021</v>
      </c>
      <c r="J6" s="15">
        <f>REVENUE_ENGINE!J6 * INDEX(ASSUMPTIONS!$C$17:$E$17, 1, MATCH(ASSUMPTIONS!$C$2, ASSUMPTIONS!$C$4:$E$4, 0))</f>
        <v>1150.514903594189</v>
      </c>
      <c r="K6" s="15">
        <f>REVENUE_ENGINE!K6 * INDEX(ASSUMPTIONS!$C$17:$E$17, 1, MATCH(ASSUMPTIONS!$C$2, ASSUMPTIONS!$C$4:$E$4, 0))</f>
        <v>1338.7146665785378</v>
      </c>
      <c r="L6" s="15">
        <f>REVENUE_ENGINE!L6 * INDEX(ASSUMPTIONS!$C$17:$E$17, 1, MATCH(ASSUMPTIONS!$C$2, ASSUMPTIONS!$C$4:$E$4, 0))</f>
        <v>1541.3455095038257</v>
      </c>
      <c r="M6" s="15">
        <f>REVENUE_ENGINE!M6 * INDEX(ASSUMPTIONS!$C$17:$E$17, 1, MATCH(ASSUMPTIONS!$C$2, ASSUMPTIONS!$C$4:$E$4, 0))</f>
        <v>1760.1138741455964</v>
      </c>
      <c r="N6" s="15">
        <f>REVENUE_ENGINE!N6 * INDEX(ASSUMPTIONS!$C$17:$E$17, 1, MATCH(ASSUMPTIONS!$C$2, ASSUMPTIONS!$C$4:$E$4, 0))</f>
        <v>1996.8810464300607</v>
      </c>
      <c r="O6" s="15">
        <f>REVENUE_ENGINE!O6 * INDEX(ASSUMPTIONS!$C$17:$E$17, 1, MATCH(ASSUMPTIONS!$C$2, ASSUMPTIONS!$C$4:$E$4, 0))</f>
        <v>2253.6795888507772</v>
      </c>
      <c r="P6" s="15">
        <f>REVENUE_ENGINE!P6 * INDEX(ASSUMPTIONS!$C$17:$E$17, 1, MATCH(ASSUMPTIONS!$C$2, ASSUMPTIONS!$C$4:$E$4, 0))</f>
        <v>2532.7313592469036</v>
      </c>
      <c r="Q6" s="15">
        <f>REVENUE_ENGINE!Q6 * INDEX(ASSUMPTIONS!$C$17:$E$17, 1, MATCH(ASSUMPTIONS!$C$2, ASSUMPTIONS!$C$4:$E$4, 0))</f>
        <v>2836.4672779919788</v>
      </c>
      <c r="R6" s="15">
        <f>REVENUE_ENGINE!R6 * INDEX(ASSUMPTIONS!$C$17:$E$17, 1, MATCH(ASSUMPTIONS!$C$2, ASSUMPTIONS!$C$4:$E$4, 0))</f>
        <v>3167.5490216423386</v>
      </c>
      <c r="S6" s="15">
        <f>REVENUE_ENGINE!S6 * INDEX(ASSUMPTIONS!$C$17:$E$17, 1, MATCH(ASSUMPTIONS!$C$2, ASSUMPTIONS!$C$4:$E$4, 0))</f>
        <v>3528.8928387066649</v>
      </c>
      <c r="T6" s="15">
        <f>REVENUE_ENGINE!T6 * INDEX(ASSUMPTIONS!$C$17:$E$17, 1, MATCH(ASSUMPTIONS!$C$2, ASSUMPTIONS!$C$4:$E$4, 0))</f>
        <v>3923.6957025834181</v>
      </c>
      <c r="U6" s="15">
        <f>REVENUE_ENGINE!U6 * INDEX(ASSUMPTIONS!$C$17:$E$17, 1, MATCH(ASSUMPTIONS!$C$2, ASSUMPTIONS!$C$4:$E$4, 0))</f>
        <v>4355.4640380474821</v>
      </c>
      <c r="V6" s="15">
        <f>REVENUE_ENGINE!V6 * INDEX(ASSUMPTIONS!$C$17:$E$17, 1, MATCH(ASSUMPTIONS!$C$2, ASSUMPTIONS!$C$4:$E$4, 0))</f>
        <v>4828.0452811456089</v>
      </c>
      <c r="W6" s="15">
        <f>REVENUE_ENGINE!W6 * INDEX(ASSUMPTIONS!$C$17:$E$17, 1, MATCH(ASSUMPTIONS!$C$2, ASSUMPTIONS!$C$4:$E$4, 0))</f>
        <v>5345.6625581959443</v>
      </c>
      <c r="X6" s="15">
        <f>REVENUE_ENGINE!X6 * INDEX(ASSUMPTIONS!$C$17:$E$17, 1, MATCH(ASSUMPTIONS!$C$2, ASSUMPTIONS!$C$4:$E$4, 0))</f>
        <v>5912.9527980151688</v>
      </c>
      <c r="Y6" s="15">
        <f>REVENUE_ENGINE!Y6 * INDEX(ASSUMPTIONS!$C$17:$E$17, 1, MATCH(ASSUMPTIONS!$C$2, ASSUMPTIONS!$C$4:$E$4, 0))</f>
        <v>6535.0086227763359</v>
      </c>
      <c r="Z6" s="15">
        <f>REVENUE_ENGINE!Z6 * INDEX(ASSUMPTIONS!$C$17:$E$17, 1, MATCH(ASSUMPTIONS!$C$2, ASSUMPTIONS!$C$4:$E$4, 0))</f>
        <v>7217.4243973160428</v>
      </c>
      <c r="AA6" s="15">
        <f>REVENUE_ENGINE!AA6 * INDEX(ASSUMPTIONS!$C$17:$E$17, 1, MATCH(ASSUMPTIONS!$C$2, ASSUMPTIONS!$C$4:$E$4, 0))</f>
        <v>7966.3468545739943</v>
      </c>
      <c r="AB6" s="15">
        <f>REVENUE_ENGINE!AB6 * INDEX(ASSUMPTIONS!$C$17:$E$17, 1, MATCH(ASSUMPTIONS!$C$2, ASSUMPTIONS!$C$4:$E$4, 0))</f>
        <v>8788.530756506163</v>
      </c>
      <c r="AC6" s="15">
        <f>REVENUE_ENGINE!AC6 * INDEX(ASSUMPTIONS!$C$17:$E$17, 1, MATCH(ASSUMPTIONS!$C$2, ASSUMPTIONS!$C$4:$E$4, 0))</f>
        <v>9691.4000956430573</v>
      </c>
      <c r="AD6" s="15">
        <f>REVENUE_ENGINE!AD6 * INDEX(ASSUMPTIONS!$C$17:$E$17, 1, MATCH(ASSUMPTIONS!$C$2, ASSUMPTIONS!$C$4:$E$4, 0))</f>
        <v>10683.115392884471</v>
      </c>
      <c r="AE6" s="15">
        <f>REVENUE_ENGINE!AE6 * INDEX(ASSUMPTIONS!$C$17:$E$17, 1, MATCH(ASSUMPTIONS!$C$2, ASSUMPTIONS!$C$4:$E$4, 0))</f>
        <v>11772.647702589395</v>
      </c>
      <c r="AF6" s="15">
        <f>REVENUE_ENGINE!AF6 * INDEX(ASSUMPTIONS!$C$17:$E$17, 1, MATCH(ASSUMPTIONS!$C$2, ASSUMPTIONS!$C$4:$E$4, 0))</f>
        <v>12969.859997039825</v>
      </c>
      <c r="AG6" s="15">
        <f>REVENUE_ENGINE!AG6 * INDEX(ASSUMPTIONS!$C$17:$E$17, 1, MATCH(ASSUMPTIONS!$C$2, ASSUMPTIONS!$C$4:$E$4, 0))</f>
        <v>14285.596669483808</v>
      </c>
      <c r="AH6" s="15">
        <f>REVENUE_ENGINE!AH6 * INDEX(ASSUMPTIONS!$C$17:$E$17, 1, MATCH(ASSUMPTIONS!$C$2, ASSUMPTIONS!$C$4:$E$4, 0))</f>
        <v>15731.781968807793</v>
      </c>
      <c r="AI6" s="15">
        <f>REVENUE_ENGINE!AI6 * INDEX(ASSUMPTIONS!$C$17:$E$17, 1, MATCH(ASSUMPTIONS!$C$2, ASSUMPTIONS!$C$4:$E$4, 0))</f>
        <v>17321.528260121639</v>
      </c>
      <c r="AJ6" s="15">
        <f>REVENUE_ENGINE!AJ6 * INDEX(ASSUMPTIONS!$C$17:$E$17, 1, MATCH(ASSUMPTIONS!$C$2, ASSUMPTIONS!$C$4:$E$4, 0))</f>
        <v>19069.255094900884</v>
      </c>
      <c r="AK6" s="15">
        <f>REVENUE_ENGINE!AK6 * INDEX(ASSUMPTIONS!$C$17:$E$17, 1, MATCH(ASSUMPTIONS!$C$2, ASSUMPTIONS!$C$4:$E$4, 0))</f>
        <v>20990.820172632033</v>
      </c>
      <c r="AL6" s="15">
        <f>REVENUE_ENGINE!AL6 * INDEX(ASSUMPTIONS!$C$17:$E$17, 1, MATCH(ASSUMPTIONS!$C$2, ASSUMPTIONS!$C$4:$E$4, 0))</f>
        <v>23103.663384041833</v>
      </c>
      <c r="AM6" s="15">
        <f>REVENUE_ENGINE!AM6 * INDEX(ASSUMPTIONS!$C$17:$E$17, 1, MATCH(ASSUMPTIONS!$C$2, ASSUMPTIONS!$C$4:$E$4, 0))</f>
        <v>25426.965244943811</v>
      </c>
      <c r="AN6" s="15">
        <f>REVENUE_ENGINE!AN6 * INDEX(ASSUMPTIONS!$C$17:$E$17, 1, MATCH(ASSUMPTIONS!$C$2, ASSUMPTIONS!$C$4:$E$4, 0))</f>
        <v>27981.821160586125</v>
      </c>
      <c r="AO6" s="15">
        <f>REVENUE_ENGINE!AO6 * INDEX(ASSUMPTIONS!$C$17:$E$17, 1, MATCH(ASSUMPTIONS!$C$2, ASSUMPTIONS!$C$4:$E$4, 0))</f>
        <v>30791.433104323787</v>
      </c>
      <c r="AP6" s="15">
        <f>REVENUE_ENGINE!AP6 * INDEX(ASSUMPTIONS!$C$17:$E$17, 1, MATCH(ASSUMPTIONS!$C$2, ASSUMPTIONS!$C$4:$E$4, 0))</f>
        <v>33881.320452774482</v>
      </c>
      <c r="AQ6" s="15">
        <f>REVENUE_ENGINE!AQ6 * INDEX(ASSUMPTIONS!$C$17:$E$17, 1, MATCH(ASSUMPTIONS!$C$2, ASSUMPTIONS!$C$4:$E$4, 0))</f>
        <v>37279.551893789139</v>
      </c>
      <c r="AR6" s="15">
        <f>REVENUE_ENGINE!AR6 * INDEX(ASSUMPTIONS!$C$17:$E$17, 1, MATCH(ASSUMPTIONS!$C$2, ASSUMPTIONS!$C$4:$E$4, 0))</f>
        <v>41017.000515161038</v>
      </c>
      <c r="AS6" s="15">
        <f>REVENUE_ENGINE!AS6 * INDEX(ASSUMPTIONS!$C$17:$E$17, 1, MATCH(ASSUMPTIONS!$C$2, ASSUMPTIONS!$C$4:$E$4, 0))</f>
        <v>45127.624392750549</v>
      </c>
      <c r="AT6" s="15">
        <f>REVENUE_ENGINE!AT6 * INDEX(ASSUMPTIONS!$C$17:$E$17, 1, MATCH(ASSUMPTIONS!$C$2, ASSUMPTIONS!$C$4:$E$4, 0))</f>
        <v>49648.7752285346</v>
      </c>
      <c r="AU6" s="15">
        <f>REVENUE_ENGINE!AU6 * INDEX(ASSUMPTIONS!$C$17:$E$17, 1, MATCH(ASSUMPTIONS!$C$2, ASSUMPTIONS!$C$4:$E$4, 0))</f>
        <v>54621.537844106519</v>
      </c>
      <c r="AV6" s="15">
        <f>REVENUE_ENGINE!AV6 * INDEX(ASSUMPTIONS!$C$17:$E$17, 1, MATCH(ASSUMPTIONS!$C$2, ASSUMPTIONS!$C$4:$E$4, 0))</f>
        <v>60091.103615672531</v>
      </c>
      <c r="AW6" s="15">
        <f>REVENUE_ENGINE!AW6 * INDEX(ASSUMPTIONS!$C$17:$E$17, 1, MATCH(ASSUMPTIONS!$C$2, ASSUMPTIONS!$C$4:$E$4, 0))</f>
        <v>66107.181245165804</v>
      </c>
      <c r="AX6" s="15">
        <f>REVENUE_ENGINE!AX6 * INDEX(ASSUMPTIONS!$C$17:$E$17, 1, MATCH(ASSUMPTIONS!$C$2, ASSUMPTIONS!$C$4:$E$4, 0))</f>
        <v>72724.448601532858</v>
      </c>
      <c r="AY6" s="15">
        <f>REVENUE_ENGINE!AY6 * INDEX(ASSUMPTIONS!$C$17:$E$17, 1, MATCH(ASSUMPTIONS!$C$2, ASSUMPTIONS!$C$4:$E$4, 0))</f>
        <v>80003.049739625596</v>
      </c>
      <c r="AZ6" s="15">
        <f>REVENUE_ENGINE!AZ6 * INDEX(ASSUMPTIONS!$C$17:$E$17, 1, MATCH(ASSUMPTIONS!$C$2, ASSUMPTIONS!$C$4:$E$4, 0))</f>
        <v>88009.141614851251</v>
      </c>
      <c r="BA6" s="15">
        <f>REVENUE_ENGINE!BA6 * INDEX(ASSUMPTIONS!$C$17:$E$17, 1, MATCH(ASSUMPTIONS!$C$2, ASSUMPTIONS!$C$4:$E$4, 0))</f>
        <v>96815.495463523665</v>
      </c>
      <c r="BB6" s="15">
        <f>REVENUE_ENGINE!BB6 * INDEX(ASSUMPTIONS!$C$17:$E$17, 1, MATCH(ASSUMPTIONS!$C$2, ASSUMPTIONS!$C$4:$E$4, 0))</f>
        <v>106502.15831583209</v>
      </c>
      <c r="BC6" s="15">
        <f>REVENUE_ENGINE!BC6 * INDEX(ASSUMPTIONS!$C$17:$E$17, 1, MATCH(ASSUMPTIONS!$C$2, ASSUMPTIONS!$C$4:$E$4, 0))</f>
        <v>117157.18065501399</v>
      </c>
      <c r="BD6" s="15">
        <f>REVENUE_ENGINE!BD6 * INDEX(ASSUMPTIONS!$C$17:$E$17, 1, MATCH(ASSUMPTIONS!$C$2, ASSUMPTIONS!$C$4:$E$4, 0))</f>
        <v>128877.41683765817</v>
      </c>
      <c r="BE6" s="15">
        <f>REVENUE_ENGINE!BE6 * INDEX(ASSUMPTIONS!$C$17:$E$17, 1, MATCH(ASSUMPTIONS!$C$2, ASSUMPTIONS!$C$4:$E$4, 0))</f>
        <v>141769.40555153819</v>
      </c>
      <c r="BF6" s="15">
        <f>REVENUE_ENGINE!BF6 * INDEX(ASSUMPTIONS!$C$17:$E$17, 1, MATCH(ASSUMPTIONS!$C$2, ASSUMPTIONS!$C$4:$E$4, 0))</f>
        <v>155950.33831499936</v>
      </c>
      <c r="BG6" s="15">
        <f>REVENUE_ENGINE!BG6 * INDEX(ASSUMPTIONS!$C$17:$E$17, 1, MATCH(ASSUMPTIONS!$C$2, ASSUMPTIONS!$C$4:$E$4, 0))</f>
        <v>171549.12482230822</v>
      </c>
      <c r="BH6" s="15">
        <f>REVENUE_ENGINE!BH6 * INDEX(ASSUMPTIONS!$C$17:$E$17, 1, MATCH(ASSUMPTIONS!$C$2, ASSUMPTIONS!$C$4:$E$4, 0))</f>
        <v>188707.56481979945</v>
      </c>
      <c r="BI6" s="15">
        <f>REVENUE_ENGINE!BI6 * INDEX(ASSUMPTIONS!$C$17:$E$17, 1, MATCH(ASSUMPTIONS!$C$2, ASSUMPTIONS!$C$4:$E$4, 0))</f>
        <v>207581.63716612416</v>
      </c>
      <c r="BJ6" s="15">
        <f>REVENUE_ENGINE!BJ6 * INDEX(ASSUMPTIONS!$C$17:$E$17, 1, MATCH(ASSUMPTIONS!$C$2, ASSUMPTIONS!$C$4:$E$4, 0))</f>
        <v>228342.91779522068</v>
      </c>
    </row>
    <row r="7" spans="2:62" x14ac:dyDescent="0.2">
      <c r="B7" t="s">
        <v>105</v>
      </c>
      <c r="C7" s="15">
        <f>100000 * ((1 + INDEX(ASSUMPTIONS!$C$16:$E$16, 1, MATCH(ASSUMPTIONS!$C$2, ASSUMPTIONS!$C$4:$E$4, 0))) ^ 0)</f>
        <v>100000</v>
      </c>
      <c r="D7" s="15">
        <f>100000 * ((1 + INDEX(ASSUMPTIONS!$C$16:$E$16, 1, MATCH(ASSUMPTIONS!$C$2, ASSUMPTIONS!$C$4:$E$4, 0))) ^ 0)</f>
        <v>100000</v>
      </c>
      <c r="E7" s="15">
        <f>100000 * ((1 + INDEX(ASSUMPTIONS!$C$16:$E$16, 1, MATCH(ASSUMPTIONS!$C$2, ASSUMPTIONS!$C$4:$E$4, 0))) ^ 0)</f>
        <v>100000</v>
      </c>
      <c r="F7" s="15">
        <f>100000 * ((1 + INDEX(ASSUMPTIONS!$C$16:$E$16, 1, MATCH(ASSUMPTIONS!$C$2, ASSUMPTIONS!$C$4:$E$4, 0))) ^ 0)</f>
        <v>100000</v>
      </c>
      <c r="G7" s="15">
        <f>100000 * ((1 + INDEX(ASSUMPTIONS!$C$16:$E$16, 1, MATCH(ASSUMPTIONS!$C$2, ASSUMPTIONS!$C$4:$E$4, 0))) ^ 0)</f>
        <v>100000</v>
      </c>
      <c r="H7" s="15">
        <f>100000 * ((1 + INDEX(ASSUMPTIONS!$C$16:$E$16, 1, MATCH(ASSUMPTIONS!$C$2, ASSUMPTIONS!$C$4:$E$4, 0))) ^ 0)</f>
        <v>100000</v>
      </c>
      <c r="I7" s="15">
        <f>100000 * ((1 + INDEX(ASSUMPTIONS!$C$16:$E$16, 1, MATCH(ASSUMPTIONS!$C$2, ASSUMPTIONS!$C$4:$E$4, 0))) ^ 0)</f>
        <v>100000</v>
      </c>
      <c r="J7" s="15">
        <f>100000 * ((1 + INDEX(ASSUMPTIONS!$C$16:$E$16, 1, MATCH(ASSUMPTIONS!$C$2, ASSUMPTIONS!$C$4:$E$4, 0))) ^ 0)</f>
        <v>100000</v>
      </c>
      <c r="K7" s="15">
        <f>100000 * ((1 + INDEX(ASSUMPTIONS!$C$16:$E$16, 1, MATCH(ASSUMPTIONS!$C$2, ASSUMPTIONS!$C$4:$E$4, 0))) ^ 0)</f>
        <v>100000</v>
      </c>
      <c r="L7" s="15">
        <f>100000 * ((1 + INDEX(ASSUMPTIONS!$C$16:$E$16, 1, MATCH(ASSUMPTIONS!$C$2, ASSUMPTIONS!$C$4:$E$4, 0))) ^ 0)</f>
        <v>100000</v>
      </c>
      <c r="M7" s="15">
        <f>100000 * ((1 + INDEX(ASSUMPTIONS!$C$16:$E$16, 1, MATCH(ASSUMPTIONS!$C$2, ASSUMPTIONS!$C$4:$E$4, 0))) ^ 0)</f>
        <v>100000</v>
      </c>
      <c r="N7" s="15">
        <f>100000 * ((1 + INDEX(ASSUMPTIONS!$C$16:$E$16, 1, MATCH(ASSUMPTIONS!$C$2, ASSUMPTIONS!$C$4:$E$4, 0))) ^ 0)</f>
        <v>100000</v>
      </c>
      <c r="O7" s="15">
        <f>100000 * ((1 + INDEX(ASSUMPTIONS!$C$16:$E$16, 1, MATCH(ASSUMPTIONS!$C$2, ASSUMPTIONS!$C$4:$E$4, 0))) ^ 1)</f>
        <v>110000.00000000001</v>
      </c>
      <c r="P7" s="15">
        <f>100000 * ((1 + INDEX(ASSUMPTIONS!$C$16:$E$16, 1, MATCH(ASSUMPTIONS!$C$2, ASSUMPTIONS!$C$4:$E$4, 0))) ^ 1)</f>
        <v>110000.00000000001</v>
      </c>
      <c r="Q7" s="15">
        <f>100000 * ((1 + INDEX(ASSUMPTIONS!$C$16:$E$16, 1, MATCH(ASSUMPTIONS!$C$2, ASSUMPTIONS!$C$4:$E$4, 0))) ^ 1)</f>
        <v>110000.00000000001</v>
      </c>
      <c r="R7" s="15">
        <f>100000 * ((1 + INDEX(ASSUMPTIONS!$C$16:$E$16, 1, MATCH(ASSUMPTIONS!$C$2, ASSUMPTIONS!$C$4:$E$4, 0))) ^ 1)</f>
        <v>110000.00000000001</v>
      </c>
      <c r="S7" s="15">
        <f>100000 * ((1 + INDEX(ASSUMPTIONS!$C$16:$E$16, 1, MATCH(ASSUMPTIONS!$C$2, ASSUMPTIONS!$C$4:$E$4, 0))) ^ 1)</f>
        <v>110000.00000000001</v>
      </c>
      <c r="T7" s="15">
        <f>100000 * ((1 + INDEX(ASSUMPTIONS!$C$16:$E$16, 1, MATCH(ASSUMPTIONS!$C$2, ASSUMPTIONS!$C$4:$E$4, 0))) ^ 1)</f>
        <v>110000.00000000001</v>
      </c>
      <c r="U7" s="15">
        <f>100000 * ((1 + INDEX(ASSUMPTIONS!$C$16:$E$16, 1, MATCH(ASSUMPTIONS!$C$2, ASSUMPTIONS!$C$4:$E$4, 0))) ^ 1)</f>
        <v>110000.00000000001</v>
      </c>
      <c r="V7" s="15">
        <f>100000 * ((1 + INDEX(ASSUMPTIONS!$C$16:$E$16, 1, MATCH(ASSUMPTIONS!$C$2, ASSUMPTIONS!$C$4:$E$4, 0))) ^ 1)</f>
        <v>110000.00000000001</v>
      </c>
      <c r="W7" s="15">
        <f>100000 * ((1 + INDEX(ASSUMPTIONS!$C$16:$E$16, 1, MATCH(ASSUMPTIONS!$C$2, ASSUMPTIONS!$C$4:$E$4, 0))) ^ 1)</f>
        <v>110000.00000000001</v>
      </c>
      <c r="X7" s="15">
        <f>100000 * ((1 + INDEX(ASSUMPTIONS!$C$16:$E$16, 1, MATCH(ASSUMPTIONS!$C$2, ASSUMPTIONS!$C$4:$E$4, 0))) ^ 1)</f>
        <v>110000.00000000001</v>
      </c>
      <c r="Y7" s="15">
        <f>100000 * ((1 + INDEX(ASSUMPTIONS!$C$16:$E$16, 1, MATCH(ASSUMPTIONS!$C$2, ASSUMPTIONS!$C$4:$E$4, 0))) ^ 1)</f>
        <v>110000.00000000001</v>
      </c>
      <c r="Z7" s="15">
        <f>100000 * ((1 + INDEX(ASSUMPTIONS!$C$16:$E$16, 1, MATCH(ASSUMPTIONS!$C$2, ASSUMPTIONS!$C$4:$E$4, 0))) ^ 1)</f>
        <v>110000.00000000001</v>
      </c>
      <c r="AA7" s="15">
        <f>100000 * ((1 + INDEX(ASSUMPTIONS!$C$16:$E$16, 1, MATCH(ASSUMPTIONS!$C$2, ASSUMPTIONS!$C$4:$E$4, 0))) ^ 2)</f>
        <v>121000.00000000001</v>
      </c>
      <c r="AB7" s="15">
        <f>100000 * ((1 + INDEX(ASSUMPTIONS!$C$16:$E$16, 1, MATCH(ASSUMPTIONS!$C$2, ASSUMPTIONS!$C$4:$E$4, 0))) ^ 2)</f>
        <v>121000.00000000001</v>
      </c>
      <c r="AC7" s="15">
        <f>100000 * ((1 + INDEX(ASSUMPTIONS!$C$16:$E$16, 1, MATCH(ASSUMPTIONS!$C$2, ASSUMPTIONS!$C$4:$E$4, 0))) ^ 2)</f>
        <v>121000.00000000001</v>
      </c>
      <c r="AD7" s="15">
        <f>100000 * ((1 + INDEX(ASSUMPTIONS!$C$16:$E$16, 1, MATCH(ASSUMPTIONS!$C$2, ASSUMPTIONS!$C$4:$E$4, 0))) ^ 2)</f>
        <v>121000.00000000001</v>
      </c>
      <c r="AE7" s="15">
        <f>100000 * ((1 + INDEX(ASSUMPTIONS!$C$16:$E$16, 1, MATCH(ASSUMPTIONS!$C$2, ASSUMPTIONS!$C$4:$E$4, 0))) ^ 2)</f>
        <v>121000.00000000001</v>
      </c>
      <c r="AF7" s="15">
        <f>100000 * ((1 + INDEX(ASSUMPTIONS!$C$16:$E$16, 1, MATCH(ASSUMPTIONS!$C$2, ASSUMPTIONS!$C$4:$E$4, 0))) ^ 2)</f>
        <v>121000.00000000001</v>
      </c>
      <c r="AG7" s="15">
        <f>100000 * ((1 + INDEX(ASSUMPTIONS!$C$16:$E$16, 1, MATCH(ASSUMPTIONS!$C$2, ASSUMPTIONS!$C$4:$E$4, 0))) ^ 2)</f>
        <v>121000.00000000001</v>
      </c>
      <c r="AH7" s="15">
        <f>100000 * ((1 + INDEX(ASSUMPTIONS!$C$16:$E$16, 1, MATCH(ASSUMPTIONS!$C$2, ASSUMPTIONS!$C$4:$E$4, 0))) ^ 2)</f>
        <v>121000.00000000001</v>
      </c>
      <c r="AI7" s="15">
        <f>100000 * ((1 + INDEX(ASSUMPTIONS!$C$16:$E$16, 1, MATCH(ASSUMPTIONS!$C$2, ASSUMPTIONS!$C$4:$E$4, 0))) ^ 2)</f>
        <v>121000.00000000001</v>
      </c>
      <c r="AJ7" s="15">
        <f>100000 * ((1 + INDEX(ASSUMPTIONS!$C$16:$E$16, 1, MATCH(ASSUMPTIONS!$C$2, ASSUMPTIONS!$C$4:$E$4, 0))) ^ 2)</f>
        <v>121000.00000000001</v>
      </c>
      <c r="AK7" s="15">
        <f>100000 * ((1 + INDEX(ASSUMPTIONS!$C$16:$E$16, 1, MATCH(ASSUMPTIONS!$C$2, ASSUMPTIONS!$C$4:$E$4, 0))) ^ 2)</f>
        <v>121000.00000000001</v>
      </c>
      <c r="AL7" s="15">
        <f>100000 * ((1 + INDEX(ASSUMPTIONS!$C$16:$E$16, 1, MATCH(ASSUMPTIONS!$C$2, ASSUMPTIONS!$C$4:$E$4, 0))) ^ 2)</f>
        <v>121000.00000000001</v>
      </c>
      <c r="AM7" s="15">
        <f>100000 * ((1 + INDEX(ASSUMPTIONS!$C$16:$E$16, 1, MATCH(ASSUMPTIONS!$C$2, ASSUMPTIONS!$C$4:$E$4, 0))) ^ 3)</f>
        <v>133100.00000000003</v>
      </c>
      <c r="AN7" s="15">
        <f>100000 * ((1 + INDEX(ASSUMPTIONS!$C$16:$E$16, 1, MATCH(ASSUMPTIONS!$C$2, ASSUMPTIONS!$C$4:$E$4, 0))) ^ 3)</f>
        <v>133100.00000000003</v>
      </c>
      <c r="AO7" s="15">
        <f>100000 * ((1 + INDEX(ASSUMPTIONS!$C$16:$E$16, 1, MATCH(ASSUMPTIONS!$C$2, ASSUMPTIONS!$C$4:$E$4, 0))) ^ 3)</f>
        <v>133100.00000000003</v>
      </c>
      <c r="AP7" s="15">
        <f>100000 * ((1 + INDEX(ASSUMPTIONS!$C$16:$E$16, 1, MATCH(ASSUMPTIONS!$C$2, ASSUMPTIONS!$C$4:$E$4, 0))) ^ 3)</f>
        <v>133100.00000000003</v>
      </c>
      <c r="AQ7" s="15">
        <f>100000 * ((1 + INDEX(ASSUMPTIONS!$C$16:$E$16, 1, MATCH(ASSUMPTIONS!$C$2, ASSUMPTIONS!$C$4:$E$4, 0))) ^ 3)</f>
        <v>133100.00000000003</v>
      </c>
      <c r="AR7" s="15">
        <f>100000 * ((1 + INDEX(ASSUMPTIONS!$C$16:$E$16, 1, MATCH(ASSUMPTIONS!$C$2, ASSUMPTIONS!$C$4:$E$4, 0))) ^ 3)</f>
        <v>133100.00000000003</v>
      </c>
      <c r="AS7" s="15">
        <f>100000 * ((1 + INDEX(ASSUMPTIONS!$C$16:$E$16, 1, MATCH(ASSUMPTIONS!$C$2, ASSUMPTIONS!$C$4:$E$4, 0))) ^ 3)</f>
        <v>133100.00000000003</v>
      </c>
      <c r="AT7" s="15">
        <f>100000 * ((1 + INDEX(ASSUMPTIONS!$C$16:$E$16, 1, MATCH(ASSUMPTIONS!$C$2, ASSUMPTIONS!$C$4:$E$4, 0))) ^ 3)</f>
        <v>133100.00000000003</v>
      </c>
      <c r="AU7" s="15">
        <f>100000 * ((1 + INDEX(ASSUMPTIONS!$C$16:$E$16, 1, MATCH(ASSUMPTIONS!$C$2, ASSUMPTIONS!$C$4:$E$4, 0))) ^ 3)</f>
        <v>133100.00000000003</v>
      </c>
      <c r="AV7" s="15">
        <f>100000 * ((1 + INDEX(ASSUMPTIONS!$C$16:$E$16, 1, MATCH(ASSUMPTIONS!$C$2, ASSUMPTIONS!$C$4:$E$4, 0))) ^ 3)</f>
        <v>133100.00000000003</v>
      </c>
      <c r="AW7" s="15">
        <f>100000 * ((1 + INDEX(ASSUMPTIONS!$C$16:$E$16, 1, MATCH(ASSUMPTIONS!$C$2, ASSUMPTIONS!$C$4:$E$4, 0))) ^ 3)</f>
        <v>133100.00000000003</v>
      </c>
      <c r="AX7" s="15">
        <f>100000 * ((1 + INDEX(ASSUMPTIONS!$C$16:$E$16, 1, MATCH(ASSUMPTIONS!$C$2, ASSUMPTIONS!$C$4:$E$4, 0))) ^ 3)</f>
        <v>133100.00000000003</v>
      </c>
      <c r="AY7" s="15">
        <f>100000 * ((1 + INDEX(ASSUMPTIONS!$C$16:$E$16, 1, MATCH(ASSUMPTIONS!$C$2, ASSUMPTIONS!$C$4:$E$4, 0))) ^ 4)</f>
        <v>146410.00000000003</v>
      </c>
      <c r="AZ7" s="15">
        <f>100000 * ((1 + INDEX(ASSUMPTIONS!$C$16:$E$16, 1, MATCH(ASSUMPTIONS!$C$2, ASSUMPTIONS!$C$4:$E$4, 0))) ^ 4)</f>
        <v>146410.00000000003</v>
      </c>
      <c r="BA7" s="15">
        <f>100000 * ((1 + INDEX(ASSUMPTIONS!$C$16:$E$16, 1, MATCH(ASSUMPTIONS!$C$2, ASSUMPTIONS!$C$4:$E$4, 0))) ^ 4)</f>
        <v>146410.00000000003</v>
      </c>
      <c r="BB7" s="15">
        <f>100000 * ((1 + INDEX(ASSUMPTIONS!$C$16:$E$16, 1, MATCH(ASSUMPTIONS!$C$2, ASSUMPTIONS!$C$4:$E$4, 0))) ^ 4)</f>
        <v>146410.00000000003</v>
      </c>
      <c r="BC7" s="15">
        <f>100000 * ((1 + INDEX(ASSUMPTIONS!$C$16:$E$16, 1, MATCH(ASSUMPTIONS!$C$2, ASSUMPTIONS!$C$4:$E$4, 0))) ^ 4)</f>
        <v>146410.00000000003</v>
      </c>
      <c r="BD7" s="15">
        <f>100000 * ((1 + INDEX(ASSUMPTIONS!$C$16:$E$16, 1, MATCH(ASSUMPTIONS!$C$2, ASSUMPTIONS!$C$4:$E$4, 0))) ^ 4)</f>
        <v>146410.00000000003</v>
      </c>
      <c r="BE7" s="15">
        <f>100000 * ((1 + INDEX(ASSUMPTIONS!$C$16:$E$16, 1, MATCH(ASSUMPTIONS!$C$2, ASSUMPTIONS!$C$4:$E$4, 0))) ^ 4)</f>
        <v>146410.00000000003</v>
      </c>
      <c r="BF7" s="15">
        <f>100000 * ((1 + INDEX(ASSUMPTIONS!$C$16:$E$16, 1, MATCH(ASSUMPTIONS!$C$2, ASSUMPTIONS!$C$4:$E$4, 0))) ^ 4)</f>
        <v>146410.00000000003</v>
      </c>
      <c r="BG7" s="15">
        <f>100000 * ((1 + INDEX(ASSUMPTIONS!$C$16:$E$16, 1, MATCH(ASSUMPTIONS!$C$2, ASSUMPTIONS!$C$4:$E$4, 0))) ^ 4)</f>
        <v>146410.00000000003</v>
      </c>
      <c r="BH7" s="15">
        <f>100000 * ((1 + INDEX(ASSUMPTIONS!$C$16:$E$16, 1, MATCH(ASSUMPTIONS!$C$2, ASSUMPTIONS!$C$4:$E$4, 0))) ^ 4)</f>
        <v>146410.00000000003</v>
      </c>
      <c r="BI7" s="15">
        <f>100000 * ((1 + INDEX(ASSUMPTIONS!$C$16:$E$16, 1, MATCH(ASSUMPTIONS!$C$2, ASSUMPTIONS!$C$4:$E$4, 0))) ^ 4)</f>
        <v>146410.00000000003</v>
      </c>
      <c r="BJ7" s="15">
        <f>100000 * ((1 + INDEX(ASSUMPTIONS!$C$16:$E$16, 1, MATCH(ASSUMPTIONS!$C$2, ASSUMPTIONS!$C$4:$E$4, 0))) ^ 4)</f>
        <v>146410.00000000003</v>
      </c>
    </row>
    <row r="8" spans="2:62" x14ac:dyDescent="0.2">
      <c r="B8" t="s">
        <v>106</v>
      </c>
      <c r="C8" s="15">
        <f>150000 * ((1 + INDEX(ASSUMPTIONS!$C$16:$E$16, 1, MATCH(ASSUMPTIONS!$C$2, ASSUMPTIONS!$C$4:$E$4, 0))) ^ 0)</f>
        <v>150000</v>
      </c>
      <c r="D8" s="15">
        <f>150000 * ((1 + INDEX(ASSUMPTIONS!$C$16:$E$16, 1, MATCH(ASSUMPTIONS!$C$2, ASSUMPTIONS!$C$4:$E$4, 0))) ^ 0)</f>
        <v>150000</v>
      </c>
      <c r="E8" s="15">
        <f>150000 * ((1 + INDEX(ASSUMPTIONS!$C$16:$E$16, 1, MATCH(ASSUMPTIONS!$C$2, ASSUMPTIONS!$C$4:$E$4, 0))) ^ 0)</f>
        <v>150000</v>
      </c>
      <c r="F8" s="15">
        <f>150000 * ((1 + INDEX(ASSUMPTIONS!$C$16:$E$16, 1, MATCH(ASSUMPTIONS!$C$2, ASSUMPTIONS!$C$4:$E$4, 0))) ^ 0)</f>
        <v>150000</v>
      </c>
      <c r="G8" s="15">
        <f>150000 * ((1 + INDEX(ASSUMPTIONS!$C$16:$E$16, 1, MATCH(ASSUMPTIONS!$C$2, ASSUMPTIONS!$C$4:$E$4, 0))) ^ 0)</f>
        <v>150000</v>
      </c>
      <c r="H8" s="15">
        <f>150000 * ((1 + INDEX(ASSUMPTIONS!$C$16:$E$16, 1, MATCH(ASSUMPTIONS!$C$2, ASSUMPTIONS!$C$4:$E$4, 0))) ^ 0)</f>
        <v>150000</v>
      </c>
      <c r="I8" s="15">
        <f>150000 * ((1 + INDEX(ASSUMPTIONS!$C$16:$E$16, 1, MATCH(ASSUMPTIONS!$C$2, ASSUMPTIONS!$C$4:$E$4, 0))) ^ 0)</f>
        <v>150000</v>
      </c>
      <c r="J8" s="15">
        <f>150000 * ((1 + INDEX(ASSUMPTIONS!$C$16:$E$16, 1, MATCH(ASSUMPTIONS!$C$2, ASSUMPTIONS!$C$4:$E$4, 0))) ^ 0)</f>
        <v>150000</v>
      </c>
      <c r="K8" s="15">
        <f>150000 * ((1 + INDEX(ASSUMPTIONS!$C$16:$E$16, 1, MATCH(ASSUMPTIONS!$C$2, ASSUMPTIONS!$C$4:$E$4, 0))) ^ 0)</f>
        <v>150000</v>
      </c>
      <c r="L8" s="15">
        <f>150000 * ((1 + INDEX(ASSUMPTIONS!$C$16:$E$16, 1, MATCH(ASSUMPTIONS!$C$2, ASSUMPTIONS!$C$4:$E$4, 0))) ^ 0)</f>
        <v>150000</v>
      </c>
      <c r="M8" s="15">
        <f>150000 * ((1 + INDEX(ASSUMPTIONS!$C$16:$E$16, 1, MATCH(ASSUMPTIONS!$C$2, ASSUMPTIONS!$C$4:$E$4, 0))) ^ 0)</f>
        <v>150000</v>
      </c>
      <c r="N8" s="15">
        <f>150000 * ((1 + INDEX(ASSUMPTIONS!$C$16:$E$16, 1, MATCH(ASSUMPTIONS!$C$2, ASSUMPTIONS!$C$4:$E$4, 0))) ^ 0)</f>
        <v>150000</v>
      </c>
      <c r="O8" s="15">
        <f>150000 * ((1 + INDEX(ASSUMPTIONS!$C$16:$E$16, 1, MATCH(ASSUMPTIONS!$C$2, ASSUMPTIONS!$C$4:$E$4, 0))) ^ 1)</f>
        <v>165000</v>
      </c>
      <c r="P8" s="15">
        <f>150000 * ((1 + INDEX(ASSUMPTIONS!$C$16:$E$16, 1, MATCH(ASSUMPTIONS!$C$2, ASSUMPTIONS!$C$4:$E$4, 0))) ^ 1)</f>
        <v>165000</v>
      </c>
      <c r="Q8" s="15">
        <f>150000 * ((1 + INDEX(ASSUMPTIONS!$C$16:$E$16, 1, MATCH(ASSUMPTIONS!$C$2, ASSUMPTIONS!$C$4:$E$4, 0))) ^ 1)</f>
        <v>165000</v>
      </c>
      <c r="R8" s="15">
        <f>150000 * ((1 + INDEX(ASSUMPTIONS!$C$16:$E$16, 1, MATCH(ASSUMPTIONS!$C$2, ASSUMPTIONS!$C$4:$E$4, 0))) ^ 1)</f>
        <v>165000</v>
      </c>
      <c r="S8" s="15">
        <f>150000 * ((1 + INDEX(ASSUMPTIONS!$C$16:$E$16, 1, MATCH(ASSUMPTIONS!$C$2, ASSUMPTIONS!$C$4:$E$4, 0))) ^ 1)</f>
        <v>165000</v>
      </c>
      <c r="T8" s="15">
        <f>150000 * ((1 + INDEX(ASSUMPTIONS!$C$16:$E$16, 1, MATCH(ASSUMPTIONS!$C$2, ASSUMPTIONS!$C$4:$E$4, 0))) ^ 1)</f>
        <v>165000</v>
      </c>
      <c r="U8" s="15">
        <f>150000 * ((1 + INDEX(ASSUMPTIONS!$C$16:$E$16, 1, MATCH(ASSUMPTIONS!$C$2, ASSUMPTIONS!$C$4:$E$4, 0))) ^ 1)</f>
        <v>165000</v>
      </c>
      <c r="V8" s="15">
        <f>150000 * ((1 + INDEX(ASSUMPTIONS!$C$16:$E$16, 1, MATCH(ASSUMPTIONS!$C$2, ASSUMPTIONS!$C$4:$E$4, 0))) ^ 1)</f>
        <v>165000</v>
      </c>
      <c r="W8" s="15">
        <f>150000 * ((1 + INDEX(ASSUMPTIONS!$C$16:$E$16, 1, MATCH(ASSUMPTIONS!$C$2, ASSUMPTIONS!$C$4:$E$4, 0))) ^ 1)</f>
        <v>165000</v>
      </c>
      <c r="X8" s="15">
        <f>150000 * ((1 + INDEX(ASSUMPTIONS!$C$16:$E$16, 1, MATCH(ASSUMPTIONS!$C$2, ASSUMPTIONS!$C$4:$E$4, 0))) ^ 1)</f>
        <v>165000</v>
      </c>
      <c r="Y8" s="15">
        <f>150000 * ((1 + INDEX(ASSUMPTIONS!$C$16:$E$16, 1, MATCH(ASSUMPTIONS!$C$2, ASSUMPTIONS!$C$4:$E$4, 0))) ^ 1)</f>
        <v>165000</v>
      </c>
      <c r="Z8" s="15">
        <f>150000 * ((1 + INDEX(ASSUMPTIONS!$C$16:$E$16, 1, MATCH(ASSUMPTIONS!$C$2, ASSUMPTIONS!$C$4:$E$4, 0))) ^ 1)</f>
        <v>165000</v>
      </c>
      <c r="AA8" s="15">
        <f>150000 * ((1 + INDEX(ASSUMPTIONS!$C$16:$E$16, 1, MATCH(ASSUMPTIONS!$C$2, ASSUMPTIONS!$C$4:$E$4, 0))) ^ 2)</f>
        <v>181500.00000000003</v>
      </c>
      <c r="AB8" s="15">
        <f>150000 * ((1 + INDEX(ASSUMPTIONS!$C$16:$E$16, 1, MATCH(ASSUMPTIONS!$C$2, ASSUMPTIONS!$C$4:$E$4, 0))) ^ 2)</f>
        <v>181500.00000000003</v>
      </c>
      <c r="AC8" s="15">
        <f>150000 * ((1 + INDEX(ASSUMPTIONS!$C$16:$E$16, 1, MATCH(ASSUMPTIONS!$C$2, ASSUMPTIONS!$C$4:$E$4, 0))) ^ 2)</f>
        <v>181500.00000000003</v>
      </c>
      <c r="AD8" s="15">
        <f>150000 * ((1 + INDEX(ASSUMPTIONS!$C$16:$E$16, 1, MATCH(ASSUMPTIONS!$C$2, ASSUMPTIONS!$C$4:$E$4, 0))) ^ 2)</f>
        <v>181500.00000000003</v>
      </c>
      <c r="AE8" s="15">
        <f>150000 * ((1 + INDEX(ASSUMPTIONS!$C$16:$E$16, 1, MATCH(ASSUMPTIONS!$C$2, ASSUMPTIONS!$C$4:$E$4, 0))) ^ 2)</f>
        <v>181500.00000000003</v>
      </c>
      <c r="AF8" s="15">
        <f>150000 * ((1 + INDEX(ASSUMPTIONS!$C$16:$E$16, 1, MATCH(ASSUMPTIONS!$C$2, ASSUMPTIONS!$C$4:$E$4, 0))) ^ 2)</f>
        <v>181500.00000000003</v>
      </c>
      <c r="AG8" s="15">
        <f>150000 * ((1 + INDEX(ASSUMPTIONS!$C$16:$E$16, 1, MATCH(ASSUMPTIONS!$C$2, ASSUMPTIONS!$C$4:$E$4, 0))) ^ 2)</f>
        <v>181500.00000000003</v>
      </c>
      <c r="AH8" s="15">
        <f>150000 * ((1 + INDEX(ASSUMPTIONS!$C$16:$E$16, 1, MATCH(ASSUMPTIONS!$C$2, ASSUMPTIONS!$C$4:$E$4, 0))) ^ 2)</f>
        <v>181500.00000000003</v>
      </c>
      <c r="AI8" s="15">
        <f>150000 * ((1 + INDEX(ASSUMPTIONS!$C$16:$E$16, 1, MATCH(ASSUMPTIONS!$C$2, ASSUMPTIONS!$C$4:$E$4, 0))) ^ 2)</f>
        <v>181500.00000000003</v>
      </c>
      <c r="AJ8" s="15">
        <f>150000 * ((1 + INDEX(ASSUMPTIONS!$C$16:$E$16, 1, MATCH(ASSUMPTIONS!$C$2, ASSUMPTIONS!$C$4:$E$4, 0))) ^ 2)</f>
        <v>181500.00000000003</v>
      </c>
      <c r="AK8" s="15">
        <f>150000 * ((1 + INDEX(ASSUMPTIONS!$C$16:$E$16, 1, MATCH(ASSUMPTIONS!$C$2, ASSUMPTIONS!$C$4:$E$4, 0))) ^ 2)</f>
        <v>181500.00000000003</v>
      </c>
      <c r="AL8" s="15">
        <f>150000 * ((1 + INDEX(ASSUMPTIONS!$C$16:$E$16, 1, MATCH(ASSUMPTIONS!$C$2, ASSUMPTIONS!$C$4:$E$4, 0))) ^ 2)</f>
        <v>181500.00000000003</v>
      </c>
      <c r="AM8" s="15">
        <f>150000 * ((1 + INDEX(ASSUMPTIONS!$C$16:$E$16, 1, MATCH(ASSUMPTIONS!$C$2, ASSUMPTIONS!$C$4:$E$4, 0))) ^ 3)</f>
        <v>199650.00000000006</v>
      </c>
      <c r="AN8" s="15">
        <f>150000 * ((1 + INDEX(ASSUMPTIONS!$C$16:$E$16, 1, MATCH(ASSUMPTIONS!$C$2, ASSUMPTIONS!$C$4:$E$4, 0))) ^ 3)</f>
        <v>199650.00000000006</v>
      </c>
      <c r="AO8" s="15">
        <f>150000 * ((1 + INDEX(ASSUMPTIONS!$C$16:$E$16, 1, MATCH(ASSUMPTIONS!$C$2, ASSUMPTIONS!$C$4:$E$4, 0))) ^ 3)</f>
        <v>199650.00000000006</v>
      </c>
      <c r="AP8" s="15">
        <f>150000 * ((1 + INDEX(ASSUMPTIONS!$C$16:$E$16, 1, MATCH(ASSUMPTIONS!$C$2, ASSUMPTIONS!$C$4:$E$4, 0))) ^ 3)</f>
        <v>199650.00000000006</v>
      </c>
      <c r="AQ8" s="15">
        <f>150000 * ((1 + INDEX(ASSUMPTIONS!$C$16:$E$16, 1, MATCH(ASSUMPTIONS!$C$2, ASSUMPTIONS!$C$4:$E$4, 0))) ^ 3)</f>
        <v>199650.00000000006</v>
      </c>
      <c r="AR8" s="15">
        <f>150000 * ((1 + INDEX(ASSUMPTIONS!$C$16:$E$16, 1, MATCH(ASSUMPTIONS!$C$2, ASSUMPTIONS!$C$4:$E$4, 0))) ^ 3)</f>
        <v>199650.00000000006</v>
      </c>
      <c r="AS8" s="15">
        <f>150000 * ((1 + INDEX(ASSUMPTIONS!$C$16:$E$16, 1, MATCH(ASSUMPTIONS!$C$2, ASSUMPTIONS!$C$4:$E$4, 0))) ^ 3)</f>
        <v>199650.00000000006</v>
      </c>
      <c r="AT8" s="15">
        <f>150000 * ((1 + INDEX(ASSUMPTIONS!$C$16:$E$16, 1, MATCH(ASSUMPTIONS!$C$2, ASSUMPTIONS!$C$4:$E$4, 0))) ^ 3)</f>
        <v>199650.00000000006</v>
      </c>
      <c r="AU8" s="15">
        <f>150000 * ((1 + INDEX(ASSUMPTIONS!$C$16:$E$16, 1, MATCH(ASSUMPTIONS!$C$2, ASSUMPTIONS!$C$4:$E$4, 0))) ^ 3)</f>
        <v>199650.00000000006</v>
      </c>
      <c r="AV8" s="15">
        <f>150000 * ((1 + INDEX(ASSUMPTIONS!$C$16:$E$16, 1, MATCH(ASSUMPTIONS!$C$2, ASSUMPTIONS!$C$4:$E$4, 0))) ^ 3)</f>
        <v>199650.00000000006</v>
      </c>
      <c r="AW8" s="15">
        <f>150000 * ((1 + INDEX(ASSUMPTIONS!$C$16:$E$16, 1, MATCH(ASSUMPTIONS!$C$2, ASSUMPTIONS!$C$4:$E$4, 0))) ^ 3)</f>
        <v>199650.00000000006</v>
      </c>
      <c r="AX8" s="15">
        <f>150000 * ((1 + INDEX(ASSUMPTIONS!$C$16:$E$16, 1, MATCH(ASSUMPTIONS!$C$2, ASSUMPTIONS!$C$4:$E$4, 0))) ^ 3)</f>
        <v>199650.00000000006</v>
      </c>
      <c r="AY8" s="15">
        <f>150000 * ((1 + INDEX(ASSUMPTIONS!$C$16:$E$16, 1, MATCH(ASSUMPTIONS!$C$2, ASSUMPTIONS!$C$4:$E$4, 0))) ^ 4)</f>
        <v>219615.00000000006</v>
      </c>
      <c r="AZ8" s="15">
        <f>150000 * ((1 + INDEX(ASSUMPTIONS!$C$16:$E$16, 1, MATCH(ASSUMPTIONS!$C$2, ASSUMPTIONS!$C$4:$E$4, 0))) ^ 4)</f>
        <v>219615.00000000006</v>
      </c>
      <c r="BA8" s="15">
        <f>150000 * ((1 + INDEX(ASSUMPTIONS!$C$16:$E$16, 1, MATCH(ASSUMPTIONS!$C$2, ASSUMPTIONS!$C$4:$E$4, 0))) ^ 4)</f>
        <v>219615.00000000006</v>
      </c>
      <c r="BB8" s="15">
        <f>150000 * ((1 + INDEX(ASSUMPTIONS!$C$16:$E$16, 1, MATCH(ASSUMPTIONS!$C$2, ASSUMPTIONS!$C$4:$E$4, 0))) ^ 4)</f>
        <v>219615.00000000006</v>
      </c>
      <c r="BC8" s="15">
        <f>150000 * ((1 + INDEX(ASSUMPTIONS!$C$16:$E$16, 1, MATCH(ASSUMPTIONS!$C$2, ASSUMPTIONS!$C$4:$E$4, 0))) ^ 4)</f>
        <v>219615.00000000006</v>
      </c>
      <c r="BD8" s="15">
        <f>150000 * ((1 + INDEX(ASSUMPTIONS!$C$16:$E$16, 1, MATCH(ASSUMPTIONS!$C$2, ASSUMPTIONS!$C$4:$E$4, 0))) ^ 4)</f>
        <v>219615.00000000006</v>
      </c>
      <c r="BE8" s="15">
        <f>150000 * ((1 + INDEX(ASSUMPTIONS!$C$16:$E$16, 1, MATCH(ASSUMPTIONS!$C$2, ASSUMPTIONS!$C$4:$E$4, 0))) ^ 4)</f>
        <v>219615.00000000006</v>
      </c>
      <c r="BF8" s="15">
        <f>150000 * ((1 + INDEX(ASSUMPTIONS!$C$16:$E$16, 1, MATCH(ASSUMPTIONS!$C$2, ASSUMPTIONS!$C$4:$E$4, 0))) ^ 4)</f>
        <v>219615.00000000006</v>
      </c>
      <c r="BG8" s="15">
        <f>150000 * ((1 + INDEX(ASSUMPTIONS!$C$16:$E$16, 1, MATCH(ASSUMPTIONS!$C$2, ASSUMPTIONS!$C$4:$E$4, 0))) ^ 4)</f>
        <v>219615.00000000006</v>
      </c>
      <c r="BH8" s="15">
        <f>150000 * ((1 + INDEX(ASSUMPTIONS!$C$16:$E$16, 1, MATCH(ASSUMPTIONS!$C$2, ASSUMPTIONS!$C$4:$E$4, 0))) ^ 4)</f>
        <v>219615.00000000006</v>
      </c>
      <c r="BI8" s="15">
        <f>150000 * ((1 + INDEX(ASSUMPTIONS!$C$16:$E$16, 1, MATCH(ASSUMPTIONS!$C$2, ASSUMPTIONS!$C$4:$E$4, 0))) ^ 4)</f>
        <v>219615.00000000006</v>
      </c>
      <c r="BJ8" s="15">
        <f>150000 * ((1 + INDEX(ASSUMPTIONS!$C$16:$E$16, 1, MATCH(ASSUMPTIONS!$C$2, ASSUMPTIONS!$C$4:$E$4, 0))) ^ 4)</f>
        <v>219615.00000000006</v>
      </c>
    </row>
    <row r="9" spans="2:62" x14ac:dyDescent="0.2">
      <c r="B9" t="s">
        <v>107</v>
      </c>
      <c r="C9" s="15">
        <f>50000 * ((1 + INDEX(ASSUMPTIONS!$C$16:$E$16, 1, MATCH(ASSUMPTIONS!$C$2, ASSUMPTIONS!$C$4:$E$4, 0))) ^ 0)</f>
        <v>50000</v>
      </c>
      <c r="D9" s="15">
        <f>50000 * ((1 + INDEX(ASSUMPTIONS!$C$16:$E$16, 1, MATCH(ASSUMPTIONS!$C$2, ASSUMPTIONS!$C$4:$E$4, 0))) ^ 0)</f>
        <v>50000</v>
      </c>
      <c r="E9" s="15">
        <f>50000 * ((1 + INDEX(ASSUMPTIONS!$C$16:$E$16, 1, MATCH(ASSUMPTIONS!$C$2, ASSUMPTIONS!$C$4:$E$4, 0))) ^ 0)</f>
        <v>50000</v>
      </c>
      <c r="F9" s="15">
        <f>50000 * ((1 + INDEX(ASSUMPTIONS!$C$16:$E$16, 1, MATCH(ASSUMPTIONS!$C$2, ASSUMPTIONS!$C$4:$E$4, 0))) ^ 0)</f>
        <v>50000</v>
      </c>
      <c r="G9" s="15">
        <f>50000 * ((1 + INDEX(ASSUMPTIONS!$C$16:$E$16, 1, MATCH(ASSUMPTIONS!$C$2, ASSUMPTIONS!$C$4:$E$4, 0))) ^ 0)</f>
        <v>50000</v>
      </c>
      <c r="H9" s="15">
        <f>50000 * ((1 + INDEX(ASSUMPTIONS!$C$16:$E$16, 1, MATCH(ASSUMPTIONS!$C$2, ASSUMPTIONS!$C$4:$E$4, 0))) ^ 0)</f>
        <v>50000</v>
      </c>
      <c r="I9" s="15">
        <f>50000 * ((1 + INDEX(ASSUMPTIONS!$C$16:$E$16, 1, MATCH(ASSUMPTIONS!$C$2, ASSUMPTIONS!$C$4:$E$4, 0))) ^ 0)</f>
        <v>50000</v>
      </c>
      <c r="J9" s="15">
        <f>50000 * ((1 + INDEX(ASSUMPTIONS!$C$16:$E$16, 1, MATCH(ASSUMPTIONS!$C$2, ASSUMPTIONS!$C$4:$E$4, 0))) ^ 0)</f>
        <v>50000</v>
      </c>
      <c r="K9" s="15">
        <f>50000 * ((1 + INDEX(ASSUMPTIONS!$C$16:$E$16, 1, MATCH(ASSUMPTIONS!$C$2, ASSUMPTIONS!$C$4:$E$4, 0))) ^ 0)</f>
        <v>50000</v>
      </c>
      <c r="L9" s="15">
        <f>50000 * ((1 + INDEX(ASSUMPTIONS!$C$16:$E$16, 1, MATCH(ASSUMPTIONS!$C$2, ASSUMPTIONS!$C$4:$E$4, 0))) ^ 0)</f>
        <v>50000</v>
      </c>
      <c r="M9" s="15">
        <f>50000 * ((1 + INDEX(ASSUMPTIONS!$C$16:$E$16, 1, MATCH(ASSUMPTIONS!$C$2, ASSUMPTIONS!$C$4:$E$4, 0))) ^ 0)</f>
        <v>50000</v>
      </c>
      <c r="N9" s="15">
        <f>50000 * ((1 + INDEX(ASSUMPTIONS!$C$16:$E$16, 1, MATCH(ASSUMPTIONS!$C$2, ASSUMPTIONS!$C$4:$E$4, 0))) ^ 0)</f>
        <v>50000</v>
      </c>
      <c r="O9" s="15">
        <f>50000 * ((1 + INDEX(ASSUMPTIONS!$C$16:$E$16, 1, MATCH(ASSUMPTIONS!$C$2, ASSUMPTIONS!$C$4:$E$4, 0))) ^ 1)</f>
        <v>55000.000000000007</v>
      </c>
      <c r="P9" s="15">
        <f>50000 * ((1 + INDEX(ASSUMPTIONS!$C$16:$E$16, 1, MATCH(ASSUMPTIONS!$C$2, ASSUMPTIONS!$C$4:$E$4, 0))) ^ 1)</f>
        <v>55000.000000000007</v>
      </c>
      <c r="Q9" s="15">
        <f>50000 * ((1 + INDEX(ASSUMPTIONS!$C$16:$E$16, 1, MATCH(ASSUMPTIONS!$C$2, ASSUMPTIONS!$C$4:$E$4, 0))) ^ 1)</f>
        <v>55000.000000000007</v>
      </c>
      <c r="R9" s="15">
        <f>50000 * ((1 + INDEX(ASSUMPTIONS!$C$16:$E$16, 1, MATCH(ASSUMPTIONS!$C$2, ASSUMPTIONS!$C$4:$E$4, 0))) ^ 1)</f>
        <v>55000.000000000007</v>
      </c>
      <c r="S9" s="15">
        <f>50000 * ((1 + INDEX(ASSUMPTIONS!$C$16:$E$16, 1, MATCH(ASSUMPTIONS!$C$2, ASSUMPTIONS!$C$4:$E$4, 0))) ^ 1)</f>
        <v>55000.000000000007</v>
      </c>
      <c r="T9" s="15">
        <f>50000 * ((1 + INDEX(ASSUMPTIONS!$C$16:$E$16, 1, MATCH(ASSUMPTIONS!$C$2, ASSUMPTIONS!$C$4:$E$4, 0))) ^ 1)</f>
        <v>55000.000000000007</v>
      </c>
      <c r="U9" s="15">
        <f>50000 * ((1 + INDEX(ASSUMPTIONS!$C$16:$E$16, 1, MATCH(ASSUMPTIONS!$C$2, ASSUMPTIONS!$C$4:$E$4, 0))) ^ 1)</f>
        <v>55000.000000000007</v>
      </c>
      <c r="V9" s="15">
        <f>50000 * ((1 + INDEX(ASSUMPTIONS!$C$16:$E$16, 1, MATCH(ASSUMPTIONS!$C$2, ASSUMPTIONS!$C$4:$E$4, 0))) ^ 1)</f>
        <v>55000.000000000007</v>
      </c>
      <c r="W9" s="15">
        <f>50000 * ((1 + INDEX(ASSUMPTIONS!$C$16:$E$16, 1, MATCH(ASSUMPTIONS!$C$2, ASSUMPTIONS!$C$4:$E$4, 0))) ^ 1)</f>
        <v>55000.000000000007</v>
      </c>
      <c r="X9" s="15">
        <f>50000 * ((1 + INDEX(ASSUMPTIONS!$C$16:$E$16, 1, MATCH(ASSUMPTIONS!$C$2, ASSUMPTIONS!$C$4:$E$4, 0))) ^ 1)</f>
        <v>55000.000000000007</v>
      </c>
      <c r="Y9" s="15">
        <f>50000 * ((1 + INDEX(ASSUMPTIONS!$C$16:$E$16, 1, MATCH(ASSUMPTIONS!$C$2, ASSUMPTIONS!$C$4:$E$4, 0))) ^ 1)</f>
        <v>55000.000000000007</v>
      </c>
      <c r="Z9" s="15">
        <f>50000 * ((1 + INDEX(ASSUMPTIONS!$C$16:$E$16, 1, MATCH(ASSUMPTIONS!$C$2, ASSUMPTIONS!$C$4:$E$4, 0))) ^ 1)</f>
        <v>55000.000000000007</v>
      </c>
      <c r="AA9" s="15">
        <f>50000 * ((1 + INDEX(ASSUMPTIONS!$C$16:$E$16, 1, MATCH(ASSUMPTIONS!$C$2, ASSUMPTIONS!$C$4:$E$4, 0))) ^ 2)</f>
        <v>60500.000000000007</v>
      </c>
      <c r="AB9" s="15">
        <f>50000 * ((1 + INDEX(ASSUMPTIONS!$C$16:$E$16, 1, MATCH(ASSUMPTIONS!$C$2, ASSUMPTIONS!$C$4:$E$4, 0))) ^ 2)</f>
        <v>60500.000000000007</v>
      </c>
      <c r="AC9" s="15">
        <f>50000 * ((1 + INDEX(ASSUMPTIONS!$C$16:$E$16, 1, MATCH(ASSUMPTIONS!$C$2, ASSUMPTIONS!$C$4:$E$4, 0))) ^ 2)</f>
        <v>60500.000000000007</v>
      </c>
      <c r="AD9" s="15">
        <f>50000 * ((1 + INDEX(ASSUMPTIONS!$C$16:$E$16, 1, MATCH(ASSUMPTIONS!$C$2, ASSUMPTIONS!$C$4:$E$4, 0))) ^ 2)</f>
        <v>60500.000000000007</v>
      </c>
      <c r="AE9" s="15">
        <f>50000 * ((1 + INDEX(ASSUMPTIONS!$C$16:$E$16, 1, MATCH(ASSUMPTIONS!$C$2, ASSUMPTIONS!$C$4:$E$4, 0))) ^ 2)</f>
        <v>60500.000000000007</v>
      </c>
      <c r="AF9" s="15">
        <f>50000 * ((1 + INDEX(ASSUMPTIONS!$C$16:$E$16, 1, MATCH(ASSUMPTIONS!$C$2, ASSUMPTIONS!$C$4:$E$4, 0))) ^ 2)</f>
        <v>60500.000000000007</v>
      </c>
      <c r="AG9" s="15">
        <f>50000 * ((1 + INDEX(ASSUMPTIONS!$C$16:$E$16, 1, MATCH(ASSUMPTIONS!$C$2, ASSUMPTIONS!$C$4:$E$4, 0))) ^ 2)</f>
        <v>60500.000000000007</v>
      </c>
      <c r="AH9" s="15">
        <f>50000 * ((1 + INDEX(ASSUMPTIONS!$C$16:$E$16, 1, MATCH(ASSUMPTIONS!$C$2, ASSUMPTIONS!$C$4:$E$4, 0))) ^ 2)</f>
        <v>60500.000000000007</v>
      </c>
      <c r="AI9" s="15">
        <f>50000 * ((1 + INDEX(ASSUMPTIONS!$C$16:$E$16, 1, MATCH(ASSUMPTIONS!$C$2, ASSUMPTIONS!$C$4:$E$4, 0))) ^ 2)</f>
        <v>60500.000000000007</v>
      </c>
      <c r="AJ9" s="15">
        <f>50000 * ((1 + INDEX(ASSUMPTIONS!$C$16:$E$16, 1, MATCH(ASSUMPTIONS!$C$2, ASSUMPTIONS!$C$4:$E$4, 0))) ^ 2)</f>
        <v>60500.000000000007</v>
      </c>
      <c r="AK9" s="15">
        <f>50000 * ((1 + INDEX(ASSUMPTIONS!$C$16:$E$16, 1, MATCH(ASSUMPTIONS!$C$2, ASSUMPTIONS!$C$4:$E$4, 0))) ^ 2)</f>
        <v>60500.000000000007</v>
      </c>
      <c r="AL9" s="15">
        <f>50000 * ((1 + INDEX(ASSUMPTIONS!$C$16:$E$16, 1, MATCH(ASSUMPTIONS!$C$2, ASSUMPTIONS!$C$4:$E$4, 0))) ^ 2)</f>
        <v>60500.000000000007</v>
      </c>
      <c r="AM9" s="15">
        <f>50000 * ((1 + INDEX(ASSUMPTIONS!$C$16:$E$16, 1, MATCH(ASSUMPTIONS!$C$2, ASSUMPTIONS!$C$4:$E$4, 0))) ^ 3)</f>
        <v>66550.000000000015</v>
      </c>
      <c r="AN9" s="15">
        <f>50000 * ((1 + INDEX(ASSUMPTIONS!$C$16:$E$16, 1, MATCH(ASSUMPTIONS!$C$2, ASSUMPTIONS!$C$4:$E$4, 0))) ^ 3)</f>
        <v>66550.000000000015</v>
      </c>
      <c r="AO9" s="15">
        <f>50000 * ((1 + INDEX(ASSUMPTIONS!$C$16:$E$16, 1, MATCH(ASSUMPTIONS!$C$2, ASSUMPTIONS!$C$4:$E$4, 0))) ^ 3)</f>
        <v>66550.000000000015</v>
      </c>
      <c r="AP9" s="15">
        <f>50000 * ((1 + INDEX(ASSUMPTIONS!$C$16:$E$16, 1, MATCH(ASSUMPTIONS!$C$2, ASSUMPTIONS!$C$4:$E$4, 0))) ^ 3)</f>
        <v>66550.000000000015</v>
      </c>
      <c r="AQ9" s="15">
        <f>50000 * ((1 + INDEX(ASSUMPTIONS!$C$16:$E$16, 1, MATCH(ASSUMPTIONS!$C$2, ASSUMPTIONS!$C$4:$E$4, 0))) ^ 3)</f>
        <v>66550.000000000015</v>
      </c>
      <c r="AR9" s="15">
        <f>50000 * ((1 + INDEX(ASSUMPTIONS!$C$16:$E$16, 1, MATCH(ASSUMPTIONS!$C$2, ASSUMPTIONS!$C$4:$E$4, 0))) ^ 3)</f>
        <v>66550.000000000015</v>
      </c>
      <c r="AS9" s="15">
        <f>50000 * ((1 + INDEX(ASSUMPTIONS!$C$16:$E$16, 1, MATCH(ASSUMPTIONS!$C$2, ASSUMPTIONS!$C$4:$E$4, 0))) ^ 3)</f>
        <v>66550.000000000015</v>
      </c>
      <c r="AT9" s="15">
        <f>50000 * ((1 + INDEX(ASSUMPTIONS!$C$16:$E$16, 1, MATCH(ASSUMPTIONS!$C$2, ASSUMPTIONS!$C$4:$E$4, 0))) ^ 3)</f>
        <v>66550.000000000015</v>
      </c>
      <c r="AU9" s="15">
        <f>50000 * ((1 + INDEX(ASSUMPTIONS!$C$16:$E$16, 1, MATCH(ASSUMPTIONS!$C$2, ASSUMPTIONS!$C$4:$E$4, 0))) ^ 3)</f>
        <v>66550.000000000015</v>
      </c>
      <c r="AV9" s="15">
        <f>50000 * ((1 + INDEX(ASSUMPTIONS!$C$16:$E$16, 1, MATCH(ASSUMPTIONS!$C$2, ASSUMPTIONS!$C$4:$E$4, 0))) ^ 3)</f>
        <v>66550.000000000015</v>
      </c>
      <c r="AW9" s="15">
        <f>50000 * ((1 + INDEX(ASSUMPTIONS!$C$16:$E$16, 1, MATCH(ASSUMPTIONS!$C$2, ASSUMPTIONS!$C$4:$E$4, 0))) ^ 3)</f>
        <v>66550.000000000015</v>
      </c>
      <c r="AX9" s="15">
        <f>50000 * ((1 + INDEX(ASSUMPTIONS!$C$16:$E$16, 1, MATCH(ASSUMPTIONS!$C$2, ASSUMPTIONS!$C$4:$E$4, 0))) ^ 3)</f>
        <v>66550.000000000015</v>
      </c>
      <c r="AY9" s="15">
        <f>50000 * ((1 + INDEX(ASSUMPTIONS!$C$16:$E$16, 1, MATCH(ASSUMPTIONS!$C$2, ASSUMPTIONS!$C$4:$E$4, 0))) ^ 4)</f>
        <v>73205.000000000015</v>
      </c>
      <c r="AZ9" s="15">
        <f>50000 * ((1 + INDEX(ASSUMPTIONS!$C$16:$E$16, 1, MATCH(ASSUMPTIONS!$C$2, ASSUMPTIONS!$C$4:$E$4, 0))) ^ 4)</f>
        <v>73205.000000000015</v>
      </c>
      <c r="BA9" s="15">
        <f>50000 * ((1 + INDEX(ASSUMPTIONS!$C$16:$E$16, 1, MATCH(ASSUMPTIONS!$C$2, ASSUMPTIONS!$C$4:$E$4, 0))) ^ 4)</f>
        <v>73205.000000000015</v>
      </c>
      <c r="BB9" s="15">
        <f>50000 * ((1 + INDEX(ASSUMPTIONS!$C$16:$E$16, 1, MATCH(ASSUMPTIONS!$C$2, ASSUMPTIONS!$C$4:$E$4, 0))) ^ 4)</f>
        <v>73205.000000000015</v>
      </c>
      <c r="BC9" s="15">
        <f>50000 * ((1 + INDEX(ASSUMPTIONS!$C$16:$E$16, 1, MATCH(ASSUMPTIONS!$C$2, ASSUMPTIONS!$C$4:$E$4, 0))) ^ 4)</f>
        <v>73205.000000000015</v>
      </c>
      <c r="BD9" s="15">
        <f>50000 * ((1 + INDEX(ASSUMPTIONS!$C$16:$E$16, 1, MATCH(ASSUMPTIONS!$C$2, ASSUMPTIONS!$C$4:$E$4, 0))) ^ 4)</f>
        <v>73205.000000000015</v>
      </c>
      <c r="BE9" s="15">
        <f>50000 * ((1 + INDEX(ASSUMPTIONS!$C$16:$E$16, 1, MATCH(ASSUMPTIONS!$C$2, ASSUMPTIONS!$C$4:$E$4, 0))) ^ 4)</f>
        <v>73205.000000000015</v>
      </c>
      <c r="BF9" s="15">
        <f>50000 * ((1 + INDEX(ASSUMPTIONS!$C$16:$E$16, 1, MATCH(ASSUMPTIONS!$C$2, ASSUMPTIONS!$C$4:$E$4, 0))) ^ 4)</f>
        <v>73205.000000000015</v>
      </c>
      <c r="BG9" s="15">
        <f>50000 * ((1 + INDEX(ASSUMPTIONS!$C$16:$E$16, 1, MATCH(ASSUMPTIONS!$C$2, ASSUMPTIONS!$C$4:$E$4, 0))) ^ 4)</f>
        <v>73205.000000000015</v>
      </c>
      <c r="BH9" s="15">
        <f>50000 * ((1 + INDEX(ASSUMPTIONS!$C$16:$E$16, 1, MATCH(ASSUMPTIONS!$C$2, ASSUMPTIONS!$C$4:$E$4, 0))) ^ 4)</f>
        <v>73205.000000000015</v>
      </c>
      <c r="BI9" s="15">
        <f>50000 * ((1 + INDEX(ASSUMPTIONS!$C$16:$E$16, 1, MATCH(ASSUMPTIONS!$C$2, ASSUMPTIONS!$C$4:$E$4, 0))) ^ 4)</f>
        <v>73205.000000000015</v>
      </c>
      <c r="BJ9" s="15">
        <f>50000 * ((1 + INDEX(ASSUMPTIONS!$C$16:$E$16, 1, MATCH(ASSUMPTIONS!$C$2, ASSUMPTIONS!$C$4:$E$4, 0))) ^ 4)</f>
        <v>73205.000000000015</v>
      </c>
    </row>
    <row r="10" spans="2:62" x14ac:dyDescent="0.2">
      <c r="B10" s="14" t="s">
        <v>108</v>
      </c>
      <c r="C10" s="15">
        <f>((C5 + C6 + C7 + C8 + C9) * (1 + INDEX(ASSUMPTIONS!$C$8:$E$8, 1, MATCH(ASSUMPTIONS!$C$2, ASSUMPTIONS!$C$4:$E$4, 0))))</f>
        <v>672134.4</v>
      </c>
      <c r="D10" s="15">
        <f>((D5 + D6 + D7 + D8 + D9) * (1 + INDEX(ASSUMPTIONS!$C$8:$E$8, 1, MATCH(ASSUMPTIONS!$C$2, ASSUMPTIONS!$C$4:$E$4, 0))))</f>
        <v>672274.17600000009</v>
      </c>
      <c r="E10" s="15">
        <f>((E5 + E6 + E7 + E8 + E9) * (1 + INDEX(ASSUMPTIONS!$C$8:$E$8, 1, MATCH(ASSUMPTIONS!$C$2, ASSUMPTIONS!$C$4:$E$4, 0))))</f>
        <v>672420.34944000002</v>
      </c>
      <c r="F10" s="15">
        <f>((F5 + F6 + F7 + F8 + F9) * (1 + INDEX(ASSUMPTIONS!$C$8:$E$8, 1, MATCH(ASSUMPTIONS!$C$2, ASSUMPTIONS!$C$4:$E$4, 0))))</f>
        <v>672574.0148736001</v>
      </c>
      <c r="G10" s="15">
        <f>((G5 + G6 + G7 + G8 + G9) * (1 + INDEX(ASSUMPTIONS!$C$8:$E$8, 1, MATCH(ASSUMPTIONS!$C$2, ASSUMPTIONS!$C$4:$E$4, 0))))</f>
        <v>672736.34902118403</v>
      </c>
      <c r="H10" s="15">
        <f>((H5 + H6 + H7 + H8 + H9) * (1 + INDEX(ASSUMPTIONS!$C$8:$E$8, 1, MATCH(ASSUMPTIONS!$C$2, ASSUMPTIONS!$C$4:$E$4, 0))))</f>
        <v>672908.62062391301</v>
      </c>
      <c r="I10" s="15">
        <f>((I5 + I6 + I7 + I8 + I9) * (1 + INDEX(ASSUMPTIONS!$C$8:$E$8, 1, MATCH(ASSUMPTIONS!$C$2, ASSUMPTIONS!$C$4:$E$4, 0))))</f>
        <v>673092.20118487813</v>
      </c>
      <c r="J10" s="15">
        <f>((J5 + J6 + J7 + J8 + J9) * (1 + INDEX(ASSUMPTIONS!$C$8:$E$8, 1, MATCH(ASSUMPTIONS!$C$2, ASSUMPTIONS!$C$4:$E$4, 0))))</f>
        <v>673288.57669202564</v>
      </c>
      <c r="K10" s="15">
        <f>((K5 + K6 + K7 + K8 + K9) * (1 + INDEX(ASSUMPTIONS!$C$8:$E$8, 1, MATCH(ASSUMPTIONS!$C$2, ASSUMPTIONS!$C$4:$E$4, 0))))</f>
        <v>673499.36042656796</v>
      </c>
      <c r="L10" s="15">
        <f>((L5 + L6 + L7 + L8 + L9) * (1 + INDEX(ASSUMPTIONS!$C$8:$E$8, 1, MATCH(ASSUMPTIONS!$C$2, ASSUMPTIONS!$C$4:$E$4, 0))))</f>
        <v>673726.30697064439</v>
      </c>
      <c r="M10" s="15">
        <f>((M5 + M6 + M7 + M8 + M9) * (1 + INDEX(ASSUMPTIONS!$C$8:$E$8, 1, MATCH(ASSUMPTIONS!$C$2, ASSUMPTIONS!$C$4:$E$4, 0))))</f>
        <v>673971.32753904304</v>
      </c>
      <c r="N10" s="15">
        <f>((N5 + N6 + N7 + N8 + N9) * (1 + INDEX(ASSUMPTIONS!$C$8:$E$8, 1, MATCH(ASSUMPTIONS!$C$2, ASSUMPTIONS!$C$4:$E$4, 0))))</f>
        <v>674236.50677200162</v>
      </c>
      <c r="O10" s="15">
        <f>((O5 + O6 + O7 + O8 + O9) * (1 + INDEX(ASSUMPTIONS!$C$8:$E$8, 1, MATCH(ASSUMPTIONS!$C$2, ASSUMPTIONS!$C$4:$E$4, 0))))</f>
        <v>741724.12113951298</v>
      </c>
      <c r="P10" s="15">
        <f>((P5 + P6 + P7 + P8 + P9) * (1 + INDEX(ASSUMPTIONS!$C$8:$E$8, 1, MATCH(ASSUMPTIONS!$C$2, ASSUMPTIONS!$C$4:$E$4, 0))))</f>
        <v>742036.65912235656</v>
      </c>
      <c r="Q10" s="15">
        <f>((Q5 + Q6 + Q7 + Q8 + Q9) * (1 + INDEX(ASSUMPTIONS!$C$8:$E$8, 1, MATCH(ASSUMPTIONS!$C$2, ASSUMPTIONS!$C$4:$E$4, 0))))</f>
        <v>742376.84335135121</v>
      </c>
      <c r="R10" s="15">
        <f>((R5 + R6 + R7 + R8 + R9) * (1 + INDEX(ASSUMPTIONS!$C$8:$E$8, 1, MATCH(ASSUMPTIONS!$C$2, ASSUMPTIONS!$C$4:$E$4, 0))))</f>
        <v>742747.65490423958</v>
      </c>
      <c r="S10" s="15">
        <f>((S5 + S6 + S7 + S8 + S9) * (1 + INDEX(ASSUMPTIONS!$C$8:$E$8, 1, MATCH(ASSUMPTIONS!$C$2, ASSUMPTIONS!$C$4:$E$4, 0))))</f>
        <v>743152.35997935163</v>
      </c>
      <c r="T10" s="15">
        <f>((T5 + T6 + T7 + T8 + T9) * (1 + INDEX(ASSUMPTIONS!$C$8:$E$8, 1, MATCH(ASSUMPTIONS!$C$2, ASSUMPTIONS!$C$4:$E$4, 0))))</f>
        <v>743594.5391868935</v>
      </c>
      <c r="U10" s="15">
        <f>((U5 + U6 + U7 + U8 + U9) * (1 + INDEX(ASSUMPTIONS!$C$8:$E$8, 1, MATCH(ASSUMPTIONS!$C$2, ASSUMPTIONS!$C$4:$E$4, 0))))</f>
        <v>744078.11972261325</v>
      </c>
      <c r="V10" s="15">
        <f>((V5 + V6 + V7 + V8 + V9) * (1 + INDEX(ASSUMPTIONS!$C$8:$E$8, 1, MATCH(ASSUMPTIONS!$C$2, ASSUMPTIONS!$C$4:$E$4, 0))))</f>
        <v>744607.41071488312</v>
      </c>
      <c r="W10" s="15">
        <f>((W5 + W6 + W7 + W8 + W9) * (1 + INDEX(ASSUMPTIONS!$C$8:$E$8, 1, MATCH(ASSUMPTIONS!$C$2, ASSUMPTIONS!$C$4:$E$4, 0))))</f>
        <v>745187.14206517942</v>
      </c>
      <c r="X10" s="15">
        <f>((X5 + X6 + X7 + X8 + X9) * (1 + INDEX(ASSUMPTIONS!$C$8:$E$8, 1, MATCH(ASSUMPTIONS!$C$2, ASSUMPTIONS!$C$4:$E$4, 0))))</f>
        <v>745822.50713377714</v>
      </c>
      <c r="Y10" s="15">
        <f>((Y5 + Y6 + Y7 + Y8 + Y9) * (1 + INDEX(ASSUMPTIONS!$C$8:$E$8, 1, MATCH(ASSUMPTIONS!$C$2, ASSUMPTIONS!$C$4:$E$4, 0))))</f>
        <v>746519.20965750946</v>
      </c>
      <c r="Z10" s="15">
        <f>((Z5 + Z6 + Z7 + Z8 + Z9) * (1 + INDEX(ASSUMPTIONS!$C$8:$E$8, 1, MATCH(ASSUMPTIONS!$C$2, ASSUMPTIONS!$C$4:$E$4, 0))))</f>
        <v>747283.51532499411</v>
      </c>
      <c r="AA10" s="15">
        <f>((AA5 + AA6 + AA7 + AA8 + AA9) * (1 + INDEX(ASSUMPTIONS!$C$8:$E$8, 1, MATCH(ASSUMPTIONS!$C$2, ASSUMPTIONS!$C$4:$E$4, 0))))</f>
        <v>822042.30847712304</v>
      </c>
      <c r="AB10" s="15">
        <f>((AB5 + AB6 + AB7 + AB8 + AB9) * (1 + INDEX(ASSUMPTIONS!$C$8:$E$8, 1, MATCH(ASSUMPTIONS!$C$2, ASSUMPTIONS!$C$4:$E$4, 0))))</f>
        <v>822963.15444728709</v>
      </c>
      <c r="AC10" s="15">
        <f>((AC5 + AC6 + AC7 + AC8 + AC9) * (1 + INDEX(ASSUMPTIONS!$C$8:$E$8, 1, MATCH(ASSUMPTIONS!$C$2, ASSUMPTIONS!$C$4:$E$4, 0))))</f>
        <v>823974.36810712039</v>
      </c>
      <c r="AD10" s="15">
        <f>((AD5 + AD6 + AD7 + AD8 + AD9) * (1 + INDEX(ASSUMPTIONS!$C$8:$E$8, 1, MATCH(ASSUMPTIONS!$C$2, ASSUMPTIONS!$C$4:$E$4, 0))))</f>
        <v>825085.08924003085</v>
      </c>
      <c r="AE10" s="15">
        <f>((AE5 + AE6 + AE7 + AE8 + AE9) * (1 + INDEX(ASSUMPTIONS!$C$8:$E$8, 1, MATCH(ASSUMPTIONS!$C$2, ASSUMPTIONS!$C$4:$E$4, 0))))</f>
        <v>826305.36542690033</v>
      </c>
      <c r="AF10" s="15">
        <f>((AF5 + AF6 + AF7 + AF8 + AF9) * (1 + INDEX(ASSUMPTIONS!$C$8:$E$8, 1, MATCH(ASSUMPTIONS!$C$2, ASSUMPTIONS!$C$4:$E$4, 0))))</f>
        <v>827646.24319668475</v>
      </c>
      <c r="AG10" s="15">
        <f>((AG5 + AG6 + AG7 + AG8 + AG9) * (1 + INDEX(ASSUMPTIONS!$C$8:$E$8, 1, MATCH(ASSUMPTIONS!$C$2, ASSUMPTIONS!$C$4:$E$4, 0))))</f>
        <v>829119.86826982209</v>
      </c>
      <c r="AH10" s="15">
        <f>((AH5 + AH6 + AH7 + AH8 + AH9) * (1 + INDEX(ASSUMPTIONS!$C$8:$E$8, 1, MATCH(ASSUMPTIONS!$C$2, ASSUMPTIONS!$C$4:$E$4, 0))))</f>
        <v>830739.59580506489</v>
      </c>
      <c r="AI10" s="15">
        <f>((AI5 + AI6 + AI7 + AI8 + AI9) * (1 + INDEX(ASSUMPTIONS!$C$8:$E$8, 1, MATCH(ASSUMPTIONS!$C$2, ASSUMPTIONS!$C$4:$E$4, 0))))</f>
        <v>832520.11165133642</v>
      </c>
      <c r="AJ10" s="15">
        <f>((AJ5 + AJ6 + AJ7 + AJ8 + AJ9) * (1 + INDEX(ASSUMPTIONS!$C$8:$E$8, 1, MATCH(ASSUMPTIONS!$C$2, ASSUMPTIONS!$C$4:$E$4, 0))))</f>
        <v>834477.56570628914</v>
      </c>
      <c r="AK10" s="15">
        <f>((AK5 + AK6 + AK7 + AK8 + AK9) * (1 + INDEX(ASSUMPTIONS!$C$8:$E$8, 1, MATCH(ASSUMPTIONS!$C$2, ASSUMPTIONS!$C$4:$E$4, 0))))</f>
        <v>836629.71859334805</v>
      </c>
      <c r="AL10" s="15">
        <f>((AL5 + AL6 + AL7 + AL8 + AL9) * (1 + INDEX(ASSUMPTIONS!$C$8:$E$8, 1, MATCH(ASSUMPTIONS!$C$2, ASSUMPTIONS!$C$4:$E$4, 0))))</f>
        <v>838996.10299012694</v>
      </c>
      <c r="AM10" s="15">
        <f>((AM5 + AM6 + AM7 + AM8 + AM9) * (1 + INDEX(ASSUMPTIONS!$C$8:$E$8, 1, MATCH(ASSUMPTIONS!$C$2, ASSUMPTIONS!$C$4:$E$4, 0))))</f>
        <v>922910.20107433735</v>
      </c>
      <c r="AN10" s="15">
        <f>((AN5 + AN6 + AN7 + AN8 + AN9) * (1 + INDEX(ASSUMPTIONS!$C$8:$E$8, 1, MATCH(ASSUMPTIONS!$C$2, ASSUMPTIONS!$C$4:$E$4, 0))))</f>
        <v>925771.63969985675</v>
      </c>
      <c r="AO10" s="15">
        <f>((AO5 + AO6 + AO7 + AO8 + AO9) * (1 + INDEX(ASSUMPTIONS!$C$8:$E$8, 1, MATCH(ASSUMPTIONS!$C$2, ASSUMPTIONS!$C$4:$E$4, 0))))</f>
        <v>928918.40507684287</v>
      </c>
      <c r="AP10" s="15">
        <f>((AP5 + AP6 + AP7 + AP8 + AP9) * (1 + INDEX(ASSUMPTIONS!$C$8:$E$8, 1, MATCH(ASSUMPTIONS!$C$2, ASSUMPTIONS!$C$4:$E$4, 0))))</f>
        <v>932379.0789071077</v>
      </c>
      <c r="AQ10" s="15">
        <f>((AQ5 + AQ6 + AQ7 + AQ8 + AQ9) * (1 + INDEX(ASSUMPTIONS!$C$8:$E$8, 1, MATCH(ASSUMPTIONS!$C$2, ASSUMPTIONS!$C$4:$E$4, 0))))</f>
        <v>936185.09812104411</v>
      </c>
      <c r="AR10" s="15">
        <f>((AR5 + AR6 + AR7 + AR8 + AR9) * (1 + INDEX(ASSUMPTIONS!$C$8:$E$8, 1, MATCH(ASSUMPTIONS!$C$2, ASSUMPTIONS!$C$4:$E$4, 0))))</f>
        <v>940371.0405769808</v>
      </c>
      <c r="AS10" s="15">
        <f>((AS5 + AS6 + AS7 + AS8 + AS9) * (1 + INDEX(ASSUMPTIONS!$C$8:$E$8, 1, MATCH(ASSUMPTIONS!$C$2, ASSUMPTIONS!$C$4:$E$4, 0))))</f>
        <v>944974.9393198808</v>
      </c>
      <c r="AT10" s="15">
        <f>((AT5 + AT6 + AT7 + AT8 + AT9) * (1 + INDEX(ASSUMPTIONS!$C$8:$E$8, 1, MATCH(ASSUMPTIONS!$C$2, ASSUMPTIONS!$C$4:$E$4, 0))))</f>
        <v>950038.62825595913</v>
      </c>
      <c r="AU10" s="15">
        <f>((AU5 + AU6 + AU7 + AU8 + AU9) * (1 + INDEX(ASSUMPTIONS!$C$8:$E$8, 1, MATCH(ASSUMPTIONS!$C$2, ASSUMPTIONS!$C$4:$E$4, 0))))</f>
        <v>955608.12238539965</v>
      </c>
      <c r="AV10" s="15">
        <f>((AV5 + AV6 + AV7 + AV8 + AV9) * (1 + INDEX(ASSUMPTIONS!$C$8:$E$8, 1, MATCH(ASSUMPTIONS!$C$2, ASSUMPTIONS!$C$4:$E$4, 0))))</f>
        <v>961734.03604955366</v>
      </c>
      <c r="AW10" s="15">
        <f>((AW5 + AW6 + AW7 + AW8 + AW9) * (1 + INDEX(ASSUMPTIONS!$C$8:$E$8, 1, MATCH(ASSUMPTIONS!$C$2, ASSUMPTIONS!$C$4:$E$4, 0))))</f>
        <v>968472.04299458617</v>
      </c>
      <c r="AX10" s="15">
        <f>((AX5 + AX6 + AX7 + AX8 + AX9) * (1 + INDEX(ASSUMPTIONS!$C$8:$E$8, 1, MATCH(ASSUMPTIONS!$C$2, ASSUMPTIONS!$C$4:$E$4, 0))))</f>
        <v>975883.38243371702</v>
      </c>
      <c r="AY10" s="15">
        <f>((AY5 + AY6 + AY7 + AY8 + AY9) * (1 + INDEX(ASSUMPTIONS!$C$8:$E$8, 1, MATCH(ASSUMPTIONS!$C$2, ASSUMPTIONS!$C$4:$E$4, 0))))</f>
        <v>1073478.6157083809</v>
      </c>
      <c r="AZ10" s="15">
        <f>((AZ5 + AZ6 + AZ7 + AZ8 + AZ9) * (1 + INDEX(ASSUMPTIONS!$C$8:$E$8, 1, MATCH(ASSUMPTIONS!$C$2, ASSUMPTIONS!$C$4:$E$4, 0))))</f>
        <v>1082445.4386086336</v>
      </c>
      <c r="BA10" s="15">
        <f>((BA5 + BA6 + BA7 + BA8 + BA9) * (1 + INDEX(ASSUMPTIONS!$C$8:$E$8, 1, MATCH(ASSUMPTIONS!$C$2, ASSUMPTIONS!$C$4:$E$4, 0))))</f>
        <v>1092308.5549191467</v>
      </c>
      <c r="BB10" s="15">
        <f>((BB5 + BB6 + BB7 + BB8 + BB9) * (1 + INDEX(ASSUMPTIONS!$C$8:$E$8, 1, MATCH(ASSUMPTIONS!$C$2, ASSUMPTIONS!$C$4:$E$4, 0))))</f>
        <v>1103157.6173137322</v>
      </c>
      <c r="BC10" s="15">
        <f>((BC5 + BC6 + BC7 + BC8 + BC9) * (1 + INDEX(ASSUMPTIONS!$C$8:$E$8, 1, MATCH(ASSUMPTIONS!$C$2, ASSUMPTIONS!$C$4:$E$4, 0))))</f>
        <v>1115091.2423336161</v>
      </c>
      <c r="BD10" s="15">
        <f>((BD5 + BD6 + BD7 + BD8 + BD9) * (1 + INDEX(ASSUMPTIONS!$C$8:$E$8, 1, MATCH(ASSUMPTIONS!$C$2, ASSUMPTIONS!$C$4:$E$4, 0))))</f>
        <v>1128217.9068581774</v>
      </c>
      <c r="BE10" s="15">
        <f>((BE5 + BE6 + BE7 + BE8 + BE9) * (1 + INDEX(ASSUMPTIONS!$C$8:$E$8, 1, MATCH(ASSUMPTIONS!$C$2, ASSUMPTIONS!$C$4:$E$4, 0))))</f>
        <v>1142656.9342177231</v>
      </c>
      <c r="BF10" s="15">
        <f>((BF5 + BF6 + BF7 + BF8 + BF9) * (1 + INDEX(ASSUMPTIONS!$C$8:$E$8, 1, MATCH(ASSUMPTIONS!$C$2, ASSUMPTIONS!$C$4:$E$4, 0))))</f>
        <v>1158539.5789127997</v>
      </c>
      <c r="BG10" s="15">
        <f>((BG5 + BG6 + BG7 + BG8 + BG9) * (1 + INDEX(ASSUMPTIONS!$C$8:$E$8, 1, MATCH(ASSUMPTIONS!$C$2, ASSUMPTIONS!$C$4:$E$4, 0))))</f>
        <v>1176010.2198009854</v>
      </c>
      <c r="BH10" s="15">
        <f>((BH5 + BH6 + BH7 + BH8 + BH9) * (1 + INDEX(ASSUMPTIONS!$C$8:$E$8, 1, MATCH(ASSUMPTIONS!$C$2, ASSUMPTIONS!$C$4:$E$4, 0))))</f>
        <v>1195227.6725981755</v>
      </c>
      <c r="BI10" s="15">
        <f>((BI5 + BI6 + BI7 + BI8 + BI9) * (1 + INDEX(ASSUMPTIONS!$C$8:$E$8, 1, MATCH(ASSUMPTIONS!$C$2, ASSUMPTIONS!$C$4:$E$4, 0))))</f>
        <v>1216366.6336260594</v>
      </c>
      <c r="BJ10" s="15">
        <f>((BJ5 + BJ6 + BJ7 + BJ8 + BJ9) * (1 + INDEX(ASSUMPTIONS!$C$8:$E$8, 1, MATCH(ASSUMPTIONS!$C$2, ASSUMPTIONS!$C$4:$E$4, 0))))</f>
        <v>1239619.2679306476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J8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109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110</v>
      </c>
      <c r="C5" s="15">
        <v>0</v>
      </c>
      <c r="D5" s="15">
        <f>C8</f>
        <v>4916666.666666667</v>
      </c>
      <c r="E5" s="15">
        <f>D8</f>
        <v>4834722.2222222229</v>
      </c>
      <c r="F5" s="15">
        <f>E8</f>
        <v>4754143.5185185196</v>
      </c>
      <c r="G5" s="15">
        <f>F8</f>
        <v>4674907.7932098778</v>
      </c>
      <c r="H5" s="15">
        <f>G8</f>
        <v>4596992.6633230466</v>
      </c>
      <c r="I5" s="15">
        <f>H8</f>
        <v>4520376.1189343296</v>
      </c>
      <c r="J5" s="15">
        <f>I8</f>
        <v>4445036.5169520909</v>
      </c>
      <c r="K5" s="15">
        <f>J8</f>
        <v>4370952.5750028891</v>
      </c>
      <c r="L5" s="15">
        <f>K8</f>
        <v>4298103.365419508</v>
      </c>
      <c r="M5" s="15">
        <f>L8</f>
        <v>4226468.3093291828</v>
      </c>
      <c r="N5" s="15">
        <f>M8</f>
        <v>4156027.170840363</v>
      </c>
      <c r="O5" s="15">
        <f>N8</f>
        <v>4086760.0513263568</v>
      </c>
      <c r="P5" s="15">
        <f>O8</f>
        <v>4018647.383804251</v>
      </c>
      <c r="Q5" s="15">
        <f>P8</f>
        <v>3951669.9274075134</v>
      </c>
      <c r="R5" s="15">
        <f>Q8</f>
        <v>3885808.7619507215</v>
      </c>
      <c r="S5" s="15">
        <f>R8</f>
        <v>3821045.2825848763</v>
      </c>
      <c r="T5" s="15">
        <f>S8</f>
        <v>3757361.1945417952</v>
      </c>
      <c r="U5" s="15">
        <f>T8</f>
        <v>3694738.5079660984</v>
      </c>
      <c r="V5" s="15">
        <f>U8</f>
        <v>3633159.5328333299</v>
      </c>
      <c r="W5" s="15">
        <f>V8</f>
        <v>3572606.8739527743</v>
      </c>
      <c r="X5" s="15">
        <f>W8</f>
        <v>3513063.4260535613</v>
      </c>
      <c r="Y5" s="15">
        <f>X8</f>
        <v>3454512.3689526687</v>
      </c>
      <c r="Z5" s="15">
        <f>Y8</f>
        <v>3396937.1628034576</v>
      </c>
      <c r="AA5" s="15">
        <f>Z8</f>
        <v>3340321.5434233998</v>
      </c>
      <c r="AB5" s="15">
        <f>AA8</f>
        <v>3284649.5176996766</v>
      </c>
      <c r="AC5" s="15">
        <f>AB8</f>
        <v>3229905.3590713488</v>
      </c>
      <c r="AD5" s="15">
        <f>AC8</f>
        <v>3176073.6030868264</v>
      </c>
      <c r="AE5" s="15">
        <f>AD8</f>
        <v>3123139.0430353791</v>
      </c>
      <c r="AF5" s="15">
        <f>AE8</f>
        <v>3071086.725651456</v>
      </c>
      <c r="AG5" s="15">
        <f>AF8</f>
        <v>3019901.9468905986</v>
      </c>
      <c r="AH5" s="15">
        <f>AG8</f>
        <v>2969570.2477757554</v>
      </c>
      <c r="AI5" s="15">
        <f>AH8</f>
        <v>2920077.4103128263</v>
      </c>
      <c r="AJ5" s="15">
        <f>AI8</f>
        <v>2871409.453474279</v>
      </c>
      <c r="AK5" s="15">
        <f>AJ8</f>
        <v>2823552.6292497078</v>
      </c>
      <c r="AL5" s="15">
        <f>AK8</f>
        <v>2776493.4187622126</v>
      </c>
      <c r="AM5" s="15">
        <f>AL8</f>
        <v>2730218.5284495093</v>
      </c>
      <c r="AN5" s="15">
        <f>AM8</f>
        <v>2684714.886308684</v>
      </c>
      <c r="AO5" s="15">
        <f>AN8</f>
        <v>2639969.6382035394</v>
      </c>
      <c r="AP5" s="15">
        <f>AO8</f>
        <v>2595970.1442334806</v>
      </c>
      <c r="AQ5" s="15">
        <f>AP8</f>
        <v>2552703.9751629224</v>
      </c>
      <c r="AR5" s="15">
        <f>AQ8</f>
        <v>2510158.908910207</v>
      </c>
      <c r="AS5" s="15">
        <f>AR8</f>
        <v>2468322.927095037</v>
      </c>
      <c r="AT5" s="15">
        <f>AS8</f>
        <v>2427184.2116434532</v>
      </c>
      <c r="AU5" s="15">
        <f>AT8</f>
        <v>2386731.1414493956</v>
      </c>
      <c r="AV5" s="15">
        <f>AU8</f>
        <v>2346952.2890919056</v>
      </c>
      <c r="AW5" s="15">
        <f>AV8</f>
        <v>2307836.4176070406</v>
      </c>
      <c r="AX5" s="15">
        <f>AW8</f>
        <v>2269372.4773135898</v>
      </c>
      <c r="AY5" s="15">
        <f>AX8</f>
        <v>2231549.6026916965</v>
      </c>
      <c r="AZ5" s="15">
        <f>AY8</f>
        <v>2194357.1093135015</v>
      </c>
      <c r="BA5" s="15">
        <f>AZ8</f>
        <v>2157784.4908249429</v>
      </c>
      <c r="BB5" s="15">
        <f>BA8</f>
        <v>2121821.4159778603</v>
      </c>
      <c r="BC5" s="15">
        <f>BB8</f>
        <v>2086457.7257115627</v>
      </c>
      <c r="BD5" s="15">
        <f>BC8</f>
        <v>2051683.4302830365</v>
      </c>
      <c r="BE5" s="15">
        <f>BD8</f>
        <v>2017488.7064449859</v>
      </c>
      <c r="BF5" s="15">
        <f>BE8</f>
        <v>1983863.8946709028</v>
      </c>
      <c r="BG5" s="15">
        <f>BF8</f>
        <v>1950799.4964263877</v>
      </c>
      <c r="BH5" s="15">
        <f>BG8</f>
        <v>1918286.1714859479</v>
      </c>
      <c r="BI5" s="15">
        <f>BH8</f>
        <v>1886314.7352945155</v>
      </c>
      <c r="BJ5" s="15">
        <f>BI8</f>
        <v>1854876.1563729402</v>
      </c>
    </row>
    <row r="6" spans="2:62" x14ac:dyDescent="0.2">
      <c r="B6" t="s">
        <v>111</v>
      </c>
      <c r="C6" s="15">
        <f>FUNDING_REQUIREMENT!$C$5</f>
        <v>5000000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</row>
    <row r="7" spans="2:62" x14ac:dyDescent="0.2">
      <c r="B7" t="s">
        <v>112</v>
      </c>
      <c r="C7" s="15">
        <f>(C5 + C6) / 60</f>
        <v>83333.333333333328</v>
      </c>
      <c r="D7" s="15">
        <f>(D5 + D6) / 60</f>
        <v>81944.444444444453</v>
      </c>
      <c r="E7" s="15">
        <f>(E5 + E6) / 60</f>
        <v>80578.703703703723</v>
      </c>
      <c r="F7" s="15">
        <f>(F5 + F6) / 60</f>
        <v>79235.725308641995</v>
      </c>
      <c r="G7" s="15">
        <f>(G5 + G6) / 60</f>
        <v>77915.129886831302</v>
      </c>
      <c r="H7" s="15">
        <f>(H5 + H6) / 60</f>
        <v>76616.544388717448</v>
      </c>
      <c r="I7" s="15">
        <f>(I5 + I6) / 60</f>
        <v>75339.601982238833</v>
      </c>
      <c r="J7" s="15">
        <f>(J5 + J6) / 60</f>
        <v>74083.941949201515</v>
      </c>
      <c r="K7" s="15">
        <f>(K5 + K6) / 60</f>
        <v>72849.209583381482</v>
      </c>
      <c r="L7" s="15">
        <f>(L5 + L6) / 60</f>
        <v>71635.056090325132</v>
      </c>
      <c r="M7" s="15">
        <f>(M5 + M6) / 60</f>
        <v>70441.138488819721</v>
      </c>
      <c r="N7" s="15">
        <f>(N5 + N6) / 60</f>
        <v>69267.119514006044</v>
      </c>
      <c r="O7" s="15">
        <f>(O5 + O6) / 60</f>
        <v>68112.667522105941</v>
      </c>
      <c r="P7" s="15">
        <f>(P5 + P6) / 60</f>
        <v>66977.456396737514</v>
      </c>
      <c r="Q7" s="15">
        <f>(Q5 + Q6) / 60</f>
        <v>65861.165456791889</v>
      </c>
      <c r="R7" s="15">
        <f>(R5 + R6) / 60</f>
        <v>64763.479365845356</v>
      </c>
      <c r="S7" s="15">
        <f>(S5 + S6) / 60</f>
        <v>63684.088043081269</v>
      </c>
      <c r="T7" s="15">
        <f>(T5 + T6) / 60</f>
        <v>62622.686575696585</v>
      </c>
      <c r="U7" s="15">
        <f>(U5 + U6) / 60</f>
        <v>61578.975132768304</v>
      </c>
      <c r="V7" s="15">
        <f>(V5 + V6) / 60</f>
        <v>60552.6588805555</v>
      </c>
      <c r="W7" s="15">
        <f>(W5 + W6) / 60</f>
        <v>59543.447899212908</v>
      </c>
      <c r="X7" s="15">
        <f>(X5 + X6) / 60</f>
        <v>58551.057100892685</v>
      </c>
      <c r="Y7" s="15">
        <f>(Y5 + Y6) / 60</f>
        <v>57575.206149211146</v>
      </c>
      <c r="Z7" s="15">
        <f>(Z5 + Z6) / 60</f>
        <v>56615.619380057629</v>
      </c>
      <c r="AA7" s="15">
        <f>(AA5 + AA6) / 60</f>
        <v>55672.025723723331</v>
      </c>
      <c r="AB7" s="15">
        <f>(AB5 + AB6) / 60</f>
        <v>54744.158628327939</v>
      </c>
      <c r="AC7" s="15">
        <f>(AC5 + AC6) / 60</f>
        <v>53831.755984522482</v>
      </c>
      <c r="AD7" s="15">
        <f>(AD5 + AD6) / 60</f>
        <v>52934.560051447108</v>
      </c>
      <c r="AE7" s="15">
        <f>(AE5 + AE6) / 60</f>
        <v>52052.317383922986</v>
      </c>
      <c r="AF7" s="15">
        <f>(AF5 + AF6) / 60</f>
        <v>51184.778760857604</v>
      </c>
      <c r="AG7" s="15">
        <f>(AG5 + AG6) / 60</f>
        <v>50331.699114843308</v>
      </c>
      <c r="AH7" s="15">
        <f>(AH5 + AH6) / 60</f>
        <v>49492.837462929259</v>
      </c>
      <c r="AI7" s="15">
        <f>(AI5 + AI6) / 60</f>
        <v>48667.956838547107</v>
      </c>
      <c r="AJ7" s="15">
        <f>(AJ5 + AJ6) / 60</f>
        <v>47856.824224571319</v>
      </c>
      <c r="AK7" s="15">
        <f>(AK5 + AK6) / 60</f>
        <v>47059.210487495133</v>
      </c>
      <c r="AL7" s="15">
        <f>(AL5 + AL6) / 60</f>
        <v>46274.890312703545</v>
      </c>
      <c r="AM7" s="15">
        <f>(AM5 + AM6) / 60</f>
        <v>45503.642140825155</v>
      </c>
      <c r="AN7" s="15">
        <f>(AN5 + AN6) / 60</f>
        <v>44745.248105144732</v>
      </c>
      <c r="AO7" s="15">
        <f>(AO5 + AO6) / 60</f>
        <v>43999.493970058989</v>
      </c>
      <c r="AP7" s="15">
        <f>(AP5 + AP6) / 60</f>
        <v>43266.169070558011</v>
      </c>
      <c r="AQ7" s="15">
        <f>(AQ5 + AQ6) / 60</f>
        <v>42545.066252715376</v>
      </c>
      <c r="AR7" s="15">
        <f>(AR5 + AR6) / 60</f>
        <v>41835.981815170118</v>
      </c>
      <c r="AS7" s="15">
        <f>(AS5 + AS6) / 60</f>
        <v>41138.71545158395</v>
      </c>
      <c r="AT7" s="15">
        <f>(AT5 + AT6) / 60</f>
        <v>40453.070194057553</v>
      </c>
      <c r="AU7" s="15">
        <f>(AU5 + AU6) / 60</f>
        <v>39778.852357489923</v>
      </c>
      <c r="AV7" s="15">
        <f>(AV5 + AV6) / 60</f>
        <v>39115.871484865092</v>
      </c>
      <c r="AW7" s="15">
        <f>(AW5 + AW6) / 60</f>
        <v>38463.94029345068</v>
      </c>
      <c r="AX7" s="15">
        <f>(AX5 + AX6) / 60</f>
        <v>37822.874621893163</v>
      </c>
      <c r="AY7" s="15">
        <f>(AY5 + AY6) / 60</f>
        <v>37192.493378194944</v>
      </c>
      <c r="AZ7" s="15">
        <f>(AZ5 + AZ6) / 60</f>
        <v>36572.618488558357</v>
      </c>
      <c r="BA7" s="15">
        <f>(BA5 + BA6) / 60</f>
        <v>35963.074847082382</v>
      </c>
      <c r="BB7" s="15">
        <f>(BB5 + BB6) / 60</f>
        <v>35363.690266297672</v>
      </c>
      <c r="BC7" s="15">
        <f>(BC5 + BC6) / 60</f>
        <v>34774.295428526042</v>
      </c>
      <c r="BD7" s="15">
        <f>(BD5 + BD6) / 60</f>
        <v>34194.72383805061</v>
      </c>
      <c r="BE7" s="15">
        <f>(BE5 + BE6) / 60</f>
        <v>33624.8117740831</v>
      </c>
      <c r="BF7" s="15">
        <f>(BF5 + BF6) / 60</f>
        <v>33064.398244515047</v>
      </c>
      <c r="BG7" s="15">
        <f>(BG5 + BG6) / 60</f>
        <v>32513.324940439794</v>
      </c>
      <c r="BH7" s="15">
        <f>(BH5 + BH6) / 60</f>
        <v>31971.436191432465</v>
      </c>
      <c r="BI7" s="15">
        <f>(BI5 + BI6) / 60</f>
        <v>31438.578921575259</v>
      </c>
      <c r="BJ7" s="15">
        <f>(BJ5 + BJ6) / 60</f>
        <v>30914.602606215671</v>
      </c>
    </row>
    <row r="8" spans="2:62" x14ac:dyDescent="0.2">
      <c r="B8" s="14" t="s">
        <v>113</v>
      </c>
      <c r="C8" s="15">
        <f>C5 + C6 - C7</f>
        <v>4916666.666666667</v>
      </c>
      <c r="D8" s="15">
        <f>D5 + D6 - D7</f>
        <v>4834722.2222222229</v>
      </c>
      <c r="E8" s="15">
        <f>E5 + E6 - E7</f>
        <v>4754143.5185185196</v>
      </c>
      <c r="F8" s="15">
        <f>F5 + F6 - F7</f>
        <v>4674907.7932098778</v>
      </c>
      <c r="G8" s="15">
        <f>G5 + G6 - G7</f>
        <v>4596992.6633230466</v>
      </c>
      <c r="H8" s="15">
        <f>H5 + H6 - H7</f>
        <v>4520376.1189343296</v>
      </c>
      <c r="I8" s="15">
        <f>I5 + I6 - I7</f>
        <v>4445036.5169520909</v>
      </c>
      <c r="J8" s="15">
        <f>J5 + J6 - J7</f>
        <v>4370952.5750028891</v>
      </c>
      <c r="K8" s="15">
        <f>K5 + K6 - K7</f>
        <v>4298103.365419508</v>
      </c>
      <c r="L8" s="15">
        <f>L5 + L6 - L7</f>
        <v>4226468.3093291828</v>
      </c>
      <c r="M8" s="15">
        <f>M5 + M6 - M7</f>
        <v>4156027.170840363</v>
      </c>
      <c r="N8" s="15">
        <f>N5 + N6 - N7</f>
        <v>4086760.0513263568</v>
      </c>
      <c r="O8" s="15">
        <f>O5 + O6 - O7</f>
        <v>4018647.383804251</v>
      </c>
      <c r="P8" s="15">
        <f>P5 + P6 - P7</f>
        <v>3951669.9274075134</v>
      </c>
      <c r="Q8" s="15">
        <f>Q5 + Q6 - Q7</f>
        <v>3885808.7619507215</v>
      </c>
      <c r="R8" s="15">
        <f>R5 + R6 - R7</f>
        <v>3821045.2825848763</v>
      </c>
      <c r="S8" s="15">
        <f>S5 + S6 - S7</f>
        <v>3757361.1945417952</v>
      </c>
      <c r="T8" s="15">
        <f>T5 + T6 - T7</f>
        <v>3694738.5079660984</v>
      </c>
      <c r="U8" s="15">
        <f>U5 + U6 - U7</f>
        <v>3633159.5328333299</v>
      </c>
      <c r="V8" s="15">
        <f>V5 + V6 - V7</f>
        <v>3572606.8739527743</v>
      </c>
      <c r="W8" s="15">
        <f>W5 + W6 - W7</f>
        <v>3513063.4260535613</v>
      </c>
      <c r="X8" s="15">
        <f>X5 + X6 - X7</f>
        <v>3454512.3689526687</v>
      </c>
      <c r="Y8" s="15">
        <f>Y5 + Y6 - Y7</f>
        <v>3396937.1628034576</v>
      </c>
      <c r="Z8" s="15">
        <f>Z5 + Z6 - Z7</f>
        <v>3340321.5434233998</v>
      </c>
      <c r="AA8" s="15">
        <f>AA5 + AA6 - AA7</f>
        <v>3284649.5176996766</v>
      </c>
      <c r="AB8" s="15">
        <f>AB5 + AB6 - AB7</f>
        <v>3229905.3590713488</v>
      </c>
      <c r="AC8" s="15">
        <f>AC5 + AC6 - AC7</f>
        <v>3176073.6030868264</v>
      </c>
      <c r="AD8" s="15">
        <f>AD5 + AD6 - AD7</f>
        <v>3123139.0430353791</v>
      </c>
      <c r="AE8" s="15">
        <f>AE5 + AE6 - AE7</f>
        <v>3071086.725651456</v>
      </c>
      <c r="AF8" s="15">
        <f>AF5 + AF6 - AF7</f>
        <v>3019901.9468905986</v>
      </c>
      <c r="AG8" s="15">
        <f>AG5 + AG6 - AG7</f>
        <v>2969570.2477757554</v>
      </c>
      <c r="AH8" s="15">
        <f>AH5 + AH6 - AH7</f>
        <v>2920077.4103128263</v>
      </c>
      <c r="AI8" s="15">
        <f>AI5 + AI6 - AI7</f>
        <v>2871409.453474279</v>
      </c>
      <c r="AJ8" s="15">
        <f>AJ5 + AJ6 - AJ7</f>
        <v>2823552.6292497078</v>
      </c>
      <c r="AK8" s="15">
        <f>AK5 + AK6 - AK7</f>
        <v>2776493.4187622126</v>
      </c>
      <c r="AL8" s="15">
        <f>AL5 + AL6 - AL7</f>
        <v>2730218.5284495093</v>
      </c>
      <c r="AM8" s="15">
        <f>AM5 + AM6 - AM7</f>
        <v>2684714.886308684</v>
      </c>
      <c r="AN8" s="15">
        <f>AN5 + AN6 - AN7</f>
        <v>2639969.6382035394</v>
      </c>
      <c r="AO8" s="15">
        <f>AO5 + AO6 - AO7</f>
        <v>2595970.1442334806</v>
      </c>
      <c r="AP8" s="15">
        <f>AP5 + AP6 - AP7</f>
        <v>2552703.9751629224</v>
      </c>
      <c r="AQ8" s="15">
        <f>AQ5 + AQ6 - AQ7</f>
        <v>2510158.908910207</v>
      </c>
      <c r="AR8" s="15">
        <f>AR5 + AR6 - AR7</f>
        <v>2468322.927095037</v>
      </c>
      <c r="AS8" s="15">
        <f>AS5 + AS6 - AS7</f>
        <v>2427184.2116434532</v>
      </c>
      <c r="AT8" s="15">
        <f>AT5 + AT6 - AT7</f>
        <v>2386731.1414493956</v>
      </c>
      <c r="AU8" s="15">
        <f>AU5 + AU6 - AU7</f>
        <v>2346952.2890919056</v>
      </c>
      <c r="AV8" s="15">
        <f>AV5 + AV6 - AV7</f>
        <v>2307836.4176070406</v>
      </c>
      <c r="AW8" s="15">
        <f>AW5 + AW6 - AW7</f>
        <v>2269372.4773135898</v>
      </c>
      <c r="AX8" s="15">
        <f>AX5 + AX6 - AX7</f>
        <v>2231549.6026916965</v>
      </c>
      <c r="AY8" s="15">
        <f>AY5 + AY6 - AY7</f>
        <v>2194357.1093135015</v>
      </c>
      <c r="AZ8" s="15">
        <f>AZ5 + AZ6 - AZ7</f>
        <v>2157784.4908249429</v>
      </c>
      <c r="BA8" s="15">
        <f>BA5 + BA6 - BA7</f>
        <v>2121821.4159778603</v>
      </c>
      <c r="BB8" s="15">
        <f>BB5 + BB6 - BB7</f>
        <v>2086457.7257115627</v>
      </c>
      <c r="BC8" s="15">
        <f>BC5 + BC6 - BC7</f>
        <v>2051683.4302830365</v>
      </c>
      <c r="BD8" s="15">
        <f>BD5 + BD6 - BD7</f>
        <v>2017488.7064449859</v>
      </c>
      <c r="BE8" s="15">
        <f>BE5 + BE6 - BE7</f>
        <v>1983863.8946709028</v>
      </c>
      <c r="BF8" s="15">
        <f>BF5 + BF6 - BF7</f>
        <v>1950799.4964263877</v>
      </c>
      <c r="BG8" s="15">
        <f>BG5 + BG6 - BG7</f>
        <v>1918286.1714859479</v>
      </c>
      <c r="BH8" s="15">
        <f>BH5 + BH6 - BH7</f>
        <v>1886314.7352945155</v>
      </c>
      <c r="BI8" s="15">
        <f>BI5 + BI6 - BI7</f>
        <v>1854876.1563729402</v>
      </c>
      <c r="BJ8" s="15">
        <f>BJ5 + BJ6 - BJ7</f>
        <v>1823961.5537667244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J8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114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115</v>
      </c>
      <c r="C5" s="15">
        <f>MONTHLY_P_AND_L!C5 * (30/365)</f>
        <v>82.191780821917803</v>
      </c>
      <c r="D5" s="15">
        <f>MONTHLY_P_AND_L!D5 * (30/365)</f>
        <v>167.67123287671234</v>
      </c>
      <c r="E5" s="15">
        <f>MONTHLY_P_AND_L!E5 * (30/365)</f>
        <v>257.06301369863013</v>
      </c>
      <c r="F5" s="15">
        <f>MONTHLY_P_AND_L!F5 * (30/365)</f>
        <v>351.03649315068492</v>
      </c>
      <c r="G5" s="15">
        <f>MONTHLY_P_AND_L!G5 * (30/365)</f>
        <v>450.31128986301371</v>
      </c>
      <c r="H5" s="15">
        <f>MONTHLY_P_AND_L!H5 * (30/365)</f>
        <v>555.66329740273977</v>
      </c>
      <c r="I5" s="15">
        <f>MONTHLY_P_AND_L!I5 * (30/365)</f>
        <v>667.93125298323298</v>
      </c>
      <c r="J5" s="15">
        <f>MONTHLY_P_AND_L!J5 * (30/365)</f>
        <v>788.02390657136232</v>
      </c>
      <c r="K5" s="15">
        <f>MONTHLY_P_AND_L!K5 * (30/365)</f>
        <v>916.9278538209162</v>
      </c>
      <c r="L5" s="15">
        <f>MONTHLY_P_AND_L!L5 * (30/365)</f>
        <v>1055.7161023998806</v>
      </c>
      <c r="M5" s="15">
        <f>MONTHLY_P_AND_L!M5 * (30/365)</f>
        <v>1205.5574480449291</v>
      </c>
      <c r="N5" s="15">
        <f>MONTHLY_P_AND_L!N5 * (30/365)</f>
        <v>1367.7267441301785</v>
      </c>
      <c r="O5" s="15">
        <f>MONTHLY_P_AND_L!O5 * (30/365)</f>
        <v>1543.6161567471079</v>
      </c>
      <c r="P5" s="15">
        <f>MONTHLY_P_AND_L!P5 * (30/365)</f>
        <v>1734.7475063334955</v>
      </c>
      <c r="Q5" s="15">
        <f>MONTHLY_P_AND_L!Q5 * (30/365)</f>
        <v>1942.7858068438209</v>
      </c>
      <c r="R5" s="15">
        <f>MONTHLY_P_AND_L!R5 * (30/365)</f>
        <v>2169.5541244125607</v>
      </c>
      <c r="S5" s="15">
        <f>MONTHLY_P_AND_L!S5 * (30/365)</f>
        <v>2417.049889525113</v>
      </c>
      <c r="T5" s="15">
        <f>MONTHLY_P_AND_L!T5 * (30/365)</f>
        <v>2687.4628099886422</v>
      </c>
      <c r="U5" s="15">
        <f>MONTHLY_P_AND_L!U5 * (30/365)</f>
        <v>2983.1945466078646</v>
      </c>
      <c r="V5" s="15">
        <f>MONTHLY_P_AND_L!V5 * (30/365)</f>
        <v>3306.8803295517864</v>
      </c>
      <c r="W5" s="15">
        <f>MONTHLY_P_AND_L!W5 * (30/365)</f>
        <v>3661.4127110931126</v>
      </c>
      <c r="X5" s="15">
        <f>MONTHLY_P_AND_L!X5 * (30/365)</f>
        <v>4049.9676698734029</v>
      </c>
      <c r="Y5" s="15">
        <f>MONTHLY_P_AND_L!Y5 * (30/365)</f>
        <v>4476.0333032714634</v>
      </c>
      <c r="Z5" s="15">
        <f>MONTHLY_P_AND_L!Z5 * (30/365)</f>
        <v>4943.4413680246862</v>
      </c>
      <c r="AA5" s="15">
        <f>MONTHLY_P_AND_L!AA5 * (30/365)</f>
        <v>5456.4019551876672</v>
      </c>
      <c r="AB5" s="15">
        <f>MONTHLY_P_AND_L!AB5 * (30/365)</f>
        <v>6019.5416140453171</v>
      </c>
      <c r="AC5" s="15">
        <f>MONTHLY_P_AND_L!AC5 * (30/365)</f>
        <v>6637.9452709883954</v>
      </c>
      <c r="AD5" s="15">
        <f>MONTHLY_P_AND_L!AD5 * (30/365)</f>
        <v>7317.2023238934726</v>
      </c>
      <c r="AE5" s="15">
        <f>MONTHLY_P_AND_L!AE5 * (30/365)</f>
        <v>8063.4573305406821</v>
      </c>
      <c r="AF5" s="15">
        <f>MONTHLY_P_AND_L!AF5 * (30/365)</f>
        <v>8883.4657513971397</v>
      </c>
      <c r="AG5" s="15">
        <f>MONTHLY_P_AND_L!AG5 * (30/365)</f>
        <v>9784.6552530711015</v>
      </c>
      <c r="AH5" s="15">
        <f>MONTHLY_P_AND_L!AH5 * (30/365)</f>
        <v>10775.193129320405</v>
      </c>
      <c r="AI5" s="15">
        <f>MONTHLY_P_AND_L!AI5 * (30/365)</f>
        <v>11864.060452138106</v>
      </c>
      <c r="AJ5" s="15">
        <f>MONTHLY_P_AND_L!AJ5 * (30/365)</f>
        <v>13061.13362664444</v>
      </c>
      <c r="AK5" s="15">
        <f>MONTHLY_P_AND_L!AK5 * (30/365)</f>
        <v>14377.274090843857</v>
      </c>
      <c r="AL5" s="15">
        <f>MONTHLY_P_AND_L!AL5 * (30/365)</f>
        <v>15824.426975371118</v>
      </c>
      <c r="AM5" s="15">
        <f>MONTHLY_P_AND_L!AM5 * (30/365)</f>
        <v>17415.729619824528</v>
      </c>
      <c r="AN5" s="15">
        <f>MONTHLY_P_AND_L!AN5 * (30/365)</f>
        <v>19165.630931908305</v>
      </c>
      <c r="AO5" s="15">
        <f>MONTHLY_P_AND_L!AO5 * (30/365)</f>
        <v>21090.022674194373</v>
      </c>
      <c r="AP5" s="15">
        <f>MONTHLY_P_AND_L!AP5 * (30/365)</f>
        <v>23206.383871763341</v>
      </c>
      <c r="AQ5" s="15">
        <f>MONTHLY_P_AND_L!AQ5 * (30/365)</f>
        <v>25533.939653280231</v>
      </c>
      <c r="AR5" s="15">
        <f>MONTHLY_P_AND_L!AR5 * (30/365)</f>
        <v>28093.835969288382</v>
      </c>
      <c r="AS5" s="15">
        <f>MONTHLY_P_AND_L!AS5 * (30/365)</f>
        <v>30909.331775856539</v>
      </c>
      <c r="AT5" s="15">
        <f>MONTHLY_P_AND_L!AT5 * (30/365)</f>
        <v>34006.010430503149</v>
      </c>
      <c r="AU5" s="15">
        <f>MONTHLY_P_AND_L!AU5 * (30/365)</f>
        <v>37412.012221990764</v>
      </c>
      <c r="AV5" s="15">
        <f>MONTHLY_P_AND_L!AV5 * (30/365)</f>
        <v>41158.290147720909</v>
      </c>
      <c r="AW5" s="15">
        <f>MONTHLY_P_AND_L!AW5 * (30/365)</f>
        <v>45278.891263812198</v>
      </c>
      <c r="AX5" s="15">
        <f>MONTHLY_P_AND_L!AX5 * (30/365)</f>
        <v>49811.266165433466</v>
      </c>
      <c r="AY5" s="15">
        <f>MONTHLY_P_AND_L!AY5 * (30/365)</f>
        <v>54796.609410702462</v>
      </c>
      <c r="AZ5" s="15">
        <f>MONTHLY_P_AND_L!AZ5 * (30/365)</f>
        <v>60280.233982774822</v>
      </c>
      <c r="BA5" s="15">
        <f>MONTHLY_P_AND_L!BA5 * (30/365)</f>
        <v>66311.983194194298</v>
      </c>
      <c r="BB5" s="15">
        <f>MONTHLY_P_AND_L!BB5 * (30/365)</f>
        <v>72946.683777967177</v>
      </c>
      <c r="BC5" s="15">
        <f>MONTHLY_P_AND_L!BC5 * (30/365)</f>
        <v>80244.644284256152</v>
      </c>
      <c r="BD5" s="15">
        <f>MONTHLY_P_AND_L!BD5 * (30/365)</f>
        <v>88272.203313464488</v>
      </c>
      <c r="BE5" s="15">
        <f>MONTHLY_P_AND_L!BE5 * (30/365)</f>
        <v>97102.332569546692</v>
      </c>
      <c r="BF5" s="15">
        <f>MONTHLY_P_AND_L!BF5 * (30/365)</f>
        <v>106815.30021575298</v>
      </c>
      <c r="BG5" s="15">
        <f>MONTHLY_P_AND_L!BG5 * (30/365)</f>
        <v>117499.4005632248</v>
      </c>
      <c r="BH5" s="15">
        <f>MONTHLY_P_AND_L!BH5 * (30/365)</f>
        <v>129251.75672589004</v>
      </c>
      <c r="BI5" s="15">
        <f>MONTHLY_P_AND_L!BI5 * (30/365)</f>
        <v>142179.20353844119</v>
      </c>
      <c r="BJ5" s="15">
        <f>MONTHLY_P_AND_L!BJ5 * (30/365)</f>
        <v>156399.25876384976</v>
      </c>
    </row>
    <row r="6" spans="2:62" x14ac:dyDescent="0.2">
      <c r="B6" t="s">
        <v>116</v>
      </c>
      <c r="C6" s="15">
        <f>MONTHLY_P_AND_L!C8 * (15/365)</f>
        <v>27621.961643835617</v>
      </c>
      <c r="D6" s="15">
        <f>MONTHLY_P_AND_L!D8 * (15/365)</f>
        <v>27627.7058630137</v>
      </c>
      <c r="E6" s="15">
        <f>MONTHLY_P_AND_L!E8 * (15/365)</f>
        <v>27633.71299068493</v>
      </c>
      <c r="F6" s="15">
        <f>MONTHLY_P_AND_L!F8 * (15/365)</f>
        <v>27640.028008504112</v>
      </c>
      <c r="G6" s="15">
        <f>MONTHLY_P_AND_L!G8 * (15/365)</f>
        <v>27646.699274843177</v>
      </c>
      <c r="H6" s="15">
        <f>MONTHLY_P_AND_L!H8 * (15/365)</f>
        <v>27653.778929749849</v>
      </c>
      <c r="I6" s="15">
        <f>MONTHLY_P_AND_L!I8 * (15/365)</f>
        <v>27661.323336364854</v>
      </c>
      <c r="J6" s="15">
        <f>MONTHLY_P_AND_L!J8 * (15/365)</f>
        <v>27669.393562685982</v>
      </c>
      <c r="K6" s="15">
        <f>MONTHLY_P_AND_L!K8 * (15/365)</f>
        <v>27678.055907941147</v>
      </c>
      <c r="L6" s="15">
        <f>MONTHLY_P_AND_L!L8 * (15/365)</f>
        <v>27687.382478245658</v>
      </c>
      <c r="M6" s="15">
        <f>MONTHLY_P_AND_L!M8 * (15/365)</f>
        <v>27697.451816673001</v>
      </c>
      <c r="N6" s="15">
        <f>MONTHLY_P_AND_L!N8 * (15/365)</f>
        <v>27708.349593369927</v>
      </c>
      <c r="O6" s="15">
        <f>MONTHLY_P_AND_L!O8 * (15/365)</f>
        <v>30481.813197514231</v>
      </c>
      <c r="P6" s="15">
        <f>MONTHLY_P_AND_L!P8 * (15/365)</f>
        <v>30494.657224206432</v>
      </c>
      <c r="Q6" s="15">
        <f>MONTHLY_P_AND_L!Q8 * (15/365)</f>
        <v>30508.637398000734</v>
      </c>
      <c r="R6" s="15">
        <f>MONTHLY_P_AND_L!R8 * (15/365)</f>
        <v>30523.87622894135</v>
      </c>
      <c r="S6" s="15">
        <f>MONTHLY_P_AND_L!S8 * (15/365)</f>
        <v>30540.507944356916</v>
      </c>
      <c r="T6" s="15">
        <f>MONTHLY_P_AND_L!T8 * (15/365)</f>
        <v>30558.679692612059</v>
      </c>
      <c r="U6" s="15">
        <f>MONTHLY_P_AND_L!U8 * (15/365)</f>
        <v>30578.552865312871</v>
      </c>
      <c r="V6" s="15">
        <f>MONTHLY_P_AND_L!V8 * (15/365)</f>
        <v>30600.304549926703</v>
      </c>
      <c r="W6" s="15">
        <f>MONTHLY_P_AND_L!W8 * (15/365)</f>
        <v>30624.129125966276</v>
      </c>
      <c r="X6" s="15">
        <f>MONTHLY_P_AND_L!X8 * (15/365)</f>
        <v>30650.240019196321</v>
      </c>
      <c r="Y6" s="15">
        <f>MONTHLY_P_AND_L!Y8 * (15/365)</f>
        <v>30678.871629760662</v>
      </c>
      <c r="Z6" s="15">
        <f>MONTHLY_P_AND_L!Z8 * (15/365)</f>
        <v>30710.281451712086</v>
      </c>
      <c r="AA6" s="15">
        <f>MONTHLY_P_AND_L!AA8 * (15/365)</f>
        <v>33782.560622347519</v>
      </c>
      <c r="AB6" s="15">
        <f>MONTHLY_P_AND_L!AB8 * (15/365)</f>
        <v>33820.403607422755</v>
      </c>
      <c r="AC6" s="15">
        <f>MONTHLY_P_AND_L!AC8 * (15/365)</f>
        <v>33861.960333169329</v>
      </c>
      <c r="AD6" s="15">
        <f>MONTHLY_P_AND_L!AD8 * (15/365)</f>
        <v>33907.606407124556</v>
      </c>
      <c r="AE6" s="15">
        <f>MONTHLY_P_AND_L!AE8 * (15/365)</f>
        <v>33957.754743571248</v>
      </c>
      <c r="AF6" s="15">
        <f>MONTHLY_P_AND_L!AF8 * (15/365)</f>
        <v>34012.859309452797</v>
      </c>
      <c r="AG6" s="15">
        <f>MONTHLY_P_AND_L!AG8 * (15/365)</f>
        <v>34073.419243965291</v>
      </c>
      <c r="AH6" s="15">
        <f>MONTHLY_P_AND_L!AH8 * (15/365)</f>
        <v>34139.983389249239</v>
      </c>
      <c r="AI6" s="15">
        <f>MONTHLY_P_AND_L!AI8 * (15/365)</f>
        <v>34213.155273342592</v>
      </c>
      <c r="AJ6" s="15">
        <f>MONTHLY_P_AND_L!AJ8 * (15/365)</f>
        <v>34293.598590669411</v>
      </c>
      <c r="AK6" s="15">
        <f>MONTHLY_P_AND_L!AK8 * (15/365)</f>
        <v>34382.043229863615</v>
      </c>
      <c r="AL6" s="15">
        <f>MONTHLY_P_AND_L!AL8 * (15/365)</f>
        <v>34479.291903703845</v>
      </c>
      <c r="AM6" s="15">
        <f>MONTHLY_P_AND_L!AM8 * (15/365)</f>
        <v>37927.816482507013</v>
      </c>
      <c r="AN6" s="15">
        <f>MONTHLY_P_AND_L!AN8 * (15/365)</f>
        <v>38045.40985067904</v>
      </c>
      <c r="AO6" s="15">
        <f>MONTHLY_P_AND_L!AO8 * (15/365)</f>
        <v>38174.728975760663</v>
      </c>
      <c r="AP6" s="15">
        <f>MONTHLY_P_AND_L!AP8 * (15/365)</f>
        <v>38316.948448237301</v>
      </c>
      <c r="AQ6" s="15">
        <f>MONTHLY_P_AND_L!AQ8 * (15/365)</f>
        <v>38473.360196755239</v>
      </c>
      <c r="AR6" s="15">
        <f>MONTHLY_P_AND_L!AR8 * (15/365)</f>
        <v>38645.385229190986</v>
      </c>
      <c r="AS6" s="15">
        <f>MONTHLY_P_AND_L!AS8 * (15/365)</f>
        <v>38834.586547392362</v>
      </c>
      <c r="AT6" s="15">
        <f>MONTHLY_P_AND_L!AT8 * (15/365)</f>
        <v>39042.683352984619</v>
      </c>
      <c r="AU6" s="15">
        <f>MONTHLY_P_AND_L!AU8 * (15/365)</f>
        <v>39271.566673372588</v>
      </c>
      <c r="AV6" s="15">
        <f>MONTHLY_P_AND_L!AV8 * (15/365)</f>
        <v>39523.316549981653</v>
      </c>
      <c r="AW6" s="15">
        <f>MONTHLY_P_AND_L!AW8 * (15/365)</f>
        <v>39800.22094498299</v>
      </c>
      <c r="AX6" s="15">
        <f>MONTHLY_P_AND_L!AX8 * (15/365)</f>
        <v>40104.796538371927</v>
      </c>
      <c r="AY6" s="15">
        <f>MONTHLY_P_AND_L!AY8 * (15/365)</f>
        <v>44115.559549659491</v>
      </c>
      <c r="AZ6" s="15">
        <f>MONTHLY_P_AND_L!AZ8 * (15/365)</f>
        <v>44484.059120902748</v>
      </c>
      <c r="BA6" s="15">
        <f>MONTHLY_P_AND_L!BA8 * (15/365)</f>
        <v>44889.392667910135</v>
      </c>
      <c r="BB6" s="15">
        <f>MONTHLY_P_AND_L!BB8 * (15/365)</f>
        <v>45335.244547139679</v>
      </c>
      <c r="BC6" s="15">
        <f>MONTHLY_P_AND_L!BC8 * (15/365)</f>
        <v>45825.667493162306</v>
      </c>
      <c r="BD6" s="15">
        <f>MONTHLY_P_AND_L!BD8 * (15/365)</f>
        <v>46365.119459925096</v>
      </c>
      <c r="BE6" s="15">
        <f>MONTHLY_P_AND_L!BE8 * (15/365)</f>
        <v>46958.504145933824</v>
      </c>
      <c r="BF6" s="15">
        <f>MONTHLY_P_AND_L!BF8 * (15/365)</f>
        <v>47611.21557175889</v>
      </c>
      <c r="BG6" s="15">
        <f>MONTHLY_P_AND_L!BG8 * (15/365)</f>
        <v>48329.187115108987</v>
      </c>
      <c r="BH6" s="15">
        <f>MONTHLY_P_AND_L!BH8 * (15/365)</f>
        <v>49118.945449240084</v>
      </c>
      <c r="BI6" s="15">
        <f>MONTHLY_P_AND_L!BI8 * (15/365)</f>
        <v>49987.669875043532</v>
      </c>
      <c r="BJ6" s="15">
        <f>MONTHLY_P_AND_L!BJ8 * (15/365)</f>
        <v>50943.257586190994</v>
      </c>
    </row>
    <row r="7" spans="2:62" x14ac:dyDescent="0.2">
      <c r="B7" t="s">
        <v>117</v>
      </c>
      <c r="C7" s="15">
        <f>C5 - C6</f>
        <v>-27539.769863013698</v>
      </c>
      <c r="D7" s="15">
        <f>D5 - D6</f>
        <v>-27460.034630136986</v>
      </c>
      <c r="E7" s="15">
        <f>E5 - E6</f>
        <v>-27376.6499769863</v>
      </c>
      <c r="F7" s="15">
        <f>F5 - F6</f>
        <v>-27288.991515353428</v>
      </c>
      <c r="G7" s="15">
        <f>G5 - G6</f>
        <v>-27196.387984980163</v>
      </c>
      <c r="H7" s="15">
        <f>H5 - H6</f>
        <v>-27098.115632347108</v>
      </c>
      <c r="I7" s="15">
        <f>I5 - I6</f>
        <v>-26993.392083381623</v>
      </c>
      <c r="J7" s="15">
        <f>J5 - J6</f>
        <v>-26881.369656114621</v>
      </c>
      <c r="K7" s="15">
        <f>K5 - K6</f>
        <v>-26761.128054120232</v>
      </c>
      <c r="L7" s="15">
        <f>L5 - L6</f>
        <v>-26631.666375845776</v>
      </c>
      <c r="M7" s="15">
        <f>M5 - M6</f>
        <v>-26491.894368628073</v>
      </c>
      <c r="N7" s="15">
        <f>N5 - N6</f>
        <v>-26340.622849239749</v>
      </c>
      <c r="O7" s="15">
        <f>O5 - O6</f>
        <v>-28938.197040767125</v>
      </c>
      <c r="P7" s="15">
        <f>P5 - P6</f>
        <v>-28759.909717872935</v>
      </c>
      <c r="Q7" s="15">
        <f>Q5 - Q6</f>
        <v>-28565.851591156912</v>
      </c>
      <c r="R7" s="15">
        <f>R5 - R6</f>
        <v>-28354.32210452879</v>
      </c>
      <c r="S7" s="15">
        <f>S5 - S6</f>
        <v>-28123.458054831804</v>
      </c>
      <c r="T7" s="15">
        <f>T5 - T6</f>
        <v>-27871.216882623416</v>
      </c>
      <c r="U7" s="15">
        <f>U5 - U6</f>
        <v>-27595.358318705006</v>
      </c>
      <c r="V7" s="15">
        <f>V5 - V6</f>
        <v>-27293.424220374916</v>
      </c>
      <c r="W7" s="15">
        <f>W5 - W6</f>
        <v>-26962.716414873164</v>
      </c>
      <c r="X7" s="15">
        <f>X5 - X6</f>
        <v>-26600.272349322917</v>
      </c>
      <c r="Y7" s="15">
        <f>Y5 - Y6</f>
        <v>-26202.8383264892</v>
      </c>
      <c r="Z7" s="15">
        <f>Z5 - Z6</f>
        <v>-25766.840083687399</v>
      </c>
      <c r="AA7" s="15">
        <f>AA5 - AA6</f>
        <v>-28326.158667159852</v>
      </c>
      <c r="AB7" s="15">
        <f>AB5 - AB6</f>
        <v>-27800.861993377439</v>
      </c>
      <c r="AC7" s="15">
        <f>AC5 - AC6</f>
        <v>-27224.015062180933</v>
      </c>
      <c r="AD7" s="15">
        <f>AD5 - AD6</f>
        <v>-26590.404083231086</v>
      </c>
      <c r="AE7" s="15">
        <f>AE5 - AE6</f>
        <v>-25894.297413030567</v>
      </c>
      <c r="AF7" s="15">
        <f>AF5 - AF6</f>
        <v>-25129.393558055657</v>
      </c>
      <c r="AG7" s="15">
        <f>AG5 - AG6</f>
        <v>-24288.763990894189</v>
      </c>
      <c r="AH7" s="15">
        <f>AH5 - AH6</f>
        <v>-23364.790259928835</v>
      </c>
      <c r="AI7" s="15">
        <f>AI5 - AI6</f>
        <v>-22349.094821204486</v>
      </c>
      <c r="AJ7" s="15">
        <f>AJ5 - AJ6</f>
        <v>-21232.46496402497</v>
      </c>
      <c r="AK7" s="15">
        <f>AK5 - AK6</f>
        <v>-20004.769139019758</v>
      </c>
      <c r="AL7" s="15">
        <f>AL5 - AL6</f>
        <v>-18654.864928332725</v>
      </c>
      <c r="AM7" s="15">
        <f>AM5 - AM6</f>
        <v>-20512.086862682485</v>
      </c>
      <c r="AN7" s="15">
        <f>AN5 - AN6</f>
        <v>-18879.778918770735</v>
      </c>
      <c r="AO7" s="15">
        <f>AO5 - AO6</f>
        <v>-17084.70630156629</v>
      </c>
      <c r="AP7" s="15">
        <f>AP5 - AP6</f>
        <v>-15110.56457647396</v>
      </c>
      <c r="AQ7" s="15">
        <f>AQ5 - AQ6</f>
        <v>-12939.420543475007</v>
      </c>
      <c r="AR7" s="15">
        <f>AR5 - AR6</f>
        <v>-10551.549259902604</v>
      </c>
      <c r="AS7" s="15">
        <f>AS5 - AS6</f>
        <v>-7925.2547715358232</v>
      </c>
      <c r="AT7" s="15">
        <f>AT5 - AT6</f>
        <v>-5036.6729224814699</v>
      </c>
      <c r="AU7" s="15">
        <f>AU5 - AU6</f>
        <v>-1859.554451381824</v>
      </c>
      <c r="AV7" s="15">
        <f>AV5 - AV6</f>
        <v>1634.9735977392556</v>
      </c>
      <c r="AW7" s="15">
        <f>AW5 - AW6</f>
        <v>5478.6703188292086</v>
      </c>
      <c r="AX7" s="15">
        <f>AX5 - AX6</f>
        <v>9706.4696270615386</v>
      </c>
      <c r="AY7" s="15">
        <f>AY5 - AY6</f>
        <v>10681.049861042971</v>
      </c>
      <c r="AZ7" s="15">
        <f>AZ5 - AZ6</f>
        <v>15796.174861872074</v>
      </c>
      <c r="BA7" s="15">
        <f>BA5 - BA6</f>
        <v>21422.590526284162</v>
      </c>
      <c r="BB7" s="15">
        <f>BB5 - BB6</f>
        <v>27611.439230827498</v>
      </c>
      <c r="BC7" s="15">
        <f>BC5 - BC6</f>
        <v>34418.976791093846</v>
      </c>
      <c r="BD7" s="15">
        <f>BD5 - BD6</f>
        <v>41907.083853539392</v>
      </c>
      <c r="BE7" s="15">
        <f>BE5 - BE6</f>
        <v>50143.828423612867</v>
      </c>
      <c r="BF7" s="15">
        <f>BF5 - BF6</f>
        <v>59204.084643994094</v>
      </c>
      <c r="BG7" s="15">
        <f>BG5 - BG6</f>
        <v>69170.213448115814</v>
      </c>
      <c r="BH7" s="15">
        <f>BH5 - BH6</f>
        <v>80132.811276649954</v>
      </c>
      <c r="BI7" s="15">
        <f>BI5 - BI6</f>
        <v>92191.533663397655</v>
      </c>
      <c r="BJ7" s="15">
        <f>BJ5 - BJ6</f>
        <v>105456.00117765876</v>
      </c>
    </row>
    <row r="8" spans="2:62" x14ac:dyDescent="0.2">
      <c r="B8" s="14" t="s">
        <v>118</v>
      </c>
      <c r="C8" s="15">
        <f>C7</f>
        <v>-27539.769863013698</v>
      </c>
      <c r="D8" s="15">
        <f>D7 - C7</f>
        <v>79.735232876711962</v>
      </c>
      <c r="E8" s="15">
        <f>E7 - D7</f>
        <v>83.384653150686063</v>
      </c>
      <c r="F8" s="15">
        <f>F7 - E7</f>
        <v>87.658461632872786</v>
      </c>
      <c r="G8" s="15">
        <f>G7 - F7</f>
        <v>92.603530373264221</v>
      </c>
      <c r="H8" s="15">
        <f>H7 - G7</f>
        <v>98.272352633055561</v>
      </c>
      <c r="I8" s="15">
        <f>I7 - H7</f>
        <v>104.72354896548495</v>
      </c>
      <c r="J8" s="15">
        <f>J7 - I7</f>
        <v>112.02242726700206</v>
      </c>
      <c r="K8" s="15">
        <f>K7 - J7</f>
        <v>120.24160199438847</v>
      </c>
      <c r="L8" s="15">
        <f>L7 - K7</f>
        <v>129.46167827445606</v>
      </c>
      <c r="M8" s="15">
        <f>M7 - L7</f>
        <v>139.7720072177035</v>
      </c>
      <c r="N8" s="15">
        <f>N7 - M7</f>
        <v>151.27151938832321</v>
      </c>
      <c r="O8" s="15">
        <f>O7 - N7</f>
        <v>-2597.5741915273757</v>
      </c>
      <c r="P8" s="15">
        <f>P7 - O7</f>
        <v>178.28732289418986</v>
      </c>
      <c r="Q8" s="15">
        <f>Q7 - P7</f>
        <v>194.05812671602325</v>
      </c>
      <c r="R8" s="15">
        <f>R7 - Q7</f>
        <v>211.52948662812196</v>
      </c>
      <c r="S8" s="15">
        <f>S7 - R7</f>
        <v>230.8640496969856</v>
      </c>
      <c r="T8" s="15">
        <f>T7 - S7</f>
        <v>252.24117220838889</v>
      </c>
      <c r="U8" s="15">
        <f>U7 - T7</f>
        <v>275.85856391840935</v>
      </c>
      <c r="V8" s="15">
        <f>V7 - U7</f>
        <v>301.93409833008991</v>
      </c>
      <c r="W8" s="15">
        <f>W7 - V7</f>
        <v>330.70780550175186</v>
      </c>
      <c r="X8" s="15">
        <f>X7 - W7</f>
        <v>362.44406555024761</v>
      </c>
      <c r="Y8" s="15">
        <f>Y7 - X7</f>
        <v>397.43402283371688</v>
      </c>
      <c r="Z8" s="15">
        <f>Z7 - Y7</f>
        <v>435.9982428018011</v>
      </c>
      <c r="AA8" s="15">
        <f>AA7 - Z7</f>
        <v>-2559.3185834724536</v>
      </c>
      <c r="AB8" s="15">
        <f>AB7 - AA7</f>
        <v>525.29667378241356</v>
      </c>
      <c r="AC8" s="15">
        <f>AC7 - AB7</f>
        <v>576.84693119650547</v>
      </c>
      <c r="AD8" s="15">
        <f>AD7 - AC7</f>
        <v>633.61097894984778</v>
      </c>
      <c r="AE8" s="15">
        <f>AE7 - AD7</f>
        <v>696.10667020051915</v>
      </c>
      <c r="AF8" s="15">
        <f>AF7 - AE7</f>
        <v>764.90385497490934</v>
      </c>
      <c r="AG8" s="15">
        <f>AG7 - AF7</f>
        <v>840.629567161468</v>
      </c>
      <c r="AH8" s="15">
        <f>AH7 - AG7</f>
        <v>923.97373096535375</v>
      </c>
      <c r="AI8" s="15">
        <f>AI7 - AH7</f>
        <v>1015.6954387243495</v>
      </c>
      <c r="AJ8" s="15">
        <f>AJ7 - AI7</f>
        <v>1116.629857179516</v>
      </c>
      <c r="AK8" s="15">
        <f>AK7 - AJ7</f>
        <v>1227.6958250052121</v>
      </c>
      <c r="AL8" s="15">
        <f>AL7 - AK7</f>
        <v>1349.9042106870329</v>
      </c>
      <c r="AM8" s="15">
        <f>AM7 - AL7</f>
        <v>-1857.22193434976</v>
      </c>
      <c r="AN8" s="15">
        <f>AN7 - AM7</f>
        <v>1632.30794391175</v>
      </c>
      <c r="AO8" s="15">
        <f>AO7 - AN7</f>
        <v>1795.0726172044451</v>
      </c>
      <c r="AP8" s="15">
        <f>AP7 - AO7</f>
        <v>1974.1417250923296</v>
      </c>
      <c r="AQ8" s="15">
        <f>AQ7 - AP7</f>
        <v>2171.1440329989528</v>
      </c>
      <c r="AR8" s="15">
        <f>AR7 - AQ7</f>
        <v>2387.8712835724036</v>
      </c>
      <c r="AS8" s="15">
        <f>AS7 - AR7</f>
        <v>2626.2944883667806</v>
      </c>
      <c r="AT8" s="15">
        <f>AT7 - AS7</f>
        <v>2888.5818490543534</v>
      </c>
      <c r="AU8" s="15">
        <f>AU7 - AT7</f>
        <v>3177.1184710996458</v>
      </c>
      <c r="AV8" s="15">
        <f>AV7 - AU7</f>
        <v>3494.5280491210797</v>
      </c>
      <c r="AW8" s="15">
        <f>AW7 - AV7</f>
        <v>3843.6967210899529</v>
      </c>
      <c r="AX8" s="15">
        <f>AX7 - AW7</f>
        <v>4227.7993082323301</v>
      </c>
      <c r="AY8" s="15">
        <f>AY7 - AX7</f>
        <v>974.58023398143268</v>
      </c>
      <c r="AZ8" s="15">
        <f>AZ7 - AY7</f>
        <v>5115.1250008291026</v>
      </c>
      <c r="BA8" s="15">
        <f>BA7 - AZ7</f>
        <v>5626.4156644120885</v>
      </c>
      <c r="BB8" s="15">
        <f>BB7 - BA7</f>
        <v>6188.8487045433358</v>
      </c>
      <c r="BC8" s="15">
        <f>BC7 - BB7</f>
        <v>6807.537560266348</v>
      </c>
      <c r="BD8" s="15">
        <f>BD7 - BC7</f>
        <v>7488.107062445546</v>
      </c>
      <c r="BE8" s="15">
        <f>BE7 - BD7</f>
        <v>8236.7445700734752</v>
      </c>
      <c r="BF8" s="15">
        <f>BF7 - BE7</f>
        <v>9060.2562203812267</v>
      </c>
      <c r="BG8" s="15">
        <f>BG7 - BF7</f>
        <v>9966.1288041217194</v>
      </c>
      <c r="BH8" s="15">
        <f>BH7 - BG7</f>
        <v>10962.597828534141</v>
      </c>
      <c r="BI8" s="15">
        <f>BI7 - BH7</f>
        <v>12058.722386747701</v>
      </c>
      <c r="BJ8" s="15">
        <f>BJ7 - BI7</f>
        <v>13264.467514261109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J15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119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120</v>
      </c>
      <c r="C5" s="15">
        <f>REVENUE_ENGINE!C6</f>
        <v>1000</v>
      </c>
      <c r="D5" s="15">
        <f>REVENUE_ENGINE!D6</f>
        <v>2040.0000000000002</v>
      </c>
      <c r="E5" s="15">
        <f>REVENUE_ENGINE!E6</f>
        <v>3127.6000000000004</v>
      </c>
      <c r="F5" s="15">
        <f>REVENUE_ENGINE!F6</f>
        <v>4270.9440000000004</v>
      </c>
      <c r="G5" s="15">
        <f>REVENUE_ENGINE!G6</f>
        <v>5478.7873600000003</v>
      </c>
      <c r="H5" s="15">
        <f>REVENUE_ENGINE!H6</f>
        <v>6760.5701184000009</v>
      </c>
      <c r="I5" s="15">
        <f>REVENUE_ENGINE!I6</f>
        <v>8126.4969112960016</v>
      </c>
      <c r="J5" s="15">
        <f>REVENUE_ENGINE!J6</f>
        <v>9587.6241966182424</v>
      </c>
      <c r="K5" s="15">
        <f>REVENUE_ENGINE!K6</f>
        <v>11155.955554821148</v>
      </c>
      <c r="L5" s="15">
        <f>REVENUE_ENGINE!L6</f>
        <v>12844.545912531881</v>
      </c>
      <c r="M5" s="15">
        <f>REVENUE_ENGINE!M6</f>
        <v>14667.61561787997</v>
      </c>
      <c r="N5" s="15">
        <f>REVENUE_ENGINE!N6</f>
        <v>16640.675386917173</v>
      </c>
      <c r="O5" s="15">
        <f>REVENUE_ENGINE!O6</f>
        <v>18780.663240423146</v>
      </c>
      <c r="P5" s="15">
        <f>REVENUE_ENGINE!P6</f>
        <v>21106.094660390863</v>
      </c>
      <c r="Q5" s="15">
        <f>REVENUE_ENGINE!Q6</f>
        <v>23637.227316599823</v>
      </c>
      <c r="R5" s="15">
        <f>REVENUE_ENGINE!R6</f>
        <v>26396.24184701949</v>
      </c>
      <c r="S5" s="15">
        <f>REVENUE_ENGINE!S6</f>
        <v>29407.440322555543</v>
      </c>
      <c r="T5" s="15">
        <f>REVENUE_ENGINE!T6</f>
        <v>32697.46418819515</v>
      </c>
      <c r="U5" s="15">
        <f>REVENUE_ENGINE!U6</f>
        <v>36295.533650395686</v>
      </c>
      <c r="V5" s="15">
        <f>REVENUE_ENGINE!V6</f>
        <v>40233.710676213406</v>
      </c>
      <c r="W5" s="15">
        <f>REVENUE_ENGINE!W6</f>
        <v>44547.187984966207</v>
      </c>
      <c r="X5" s="15">
        <f>REVENUE_ENGINE!X6</f>
        <v>49274.606650126407</v>
      </c>
      <c r="Y5" s="15">
        <f>REVENUE_ENGINE!Y6</f>
        <v>54458.405189802805</v>
      </c>
      <c r="Z5" s="15">
        <f>REVENUE_ENGINE!Z6</f>
        <v>60145.203310967023</v>
      </c>
      <c r="AA5" s="15">
        <f>REVENUE_ENGINE!AA6</f>
        <v>66386.223788116622</v>
      </c>
      <c r="AB5" s="15">
        <f>REVENUE_ENGINE!AB6</f>
        <v>73237.756304218026</v>
      </c>
      <c r="AC5" s="15">
        <f>REVENUE_ENGINE!AC6</f>
        <v>80761.667463692153</v>
      </c>
      <c r="AD5" s="15">
        <f>REVENUE_ENGINE!AD6</f>
        <v>89025.961607370584</v>
      </c>
      <c r="AE5" s="15">
        <f>REVENUE_ENGINE!AE6</f>
        <v>98105.397521578299</v>
      </c>
      <c r="AF5" s="15">
        <f>REVENUE_ENGINE!AF6</f>
        <v>108082.16664199854</v>
      </c>
      <c r="AG5" s="15">
        <f>REVENUE_ENGINE!AG6</f>
        <v>119046.63891236507</v>
      </c>
      <c r="AH5" s="15">
        <f>REVENUE_ENGINE!AH6</f>
        <v>131098.18307339828</v>
      </c>
      <c r="AI5" s="15">
        <f>REVENUE_ENGINE!AI6</f>
        <v>144346.06883434698</v>
      </c>
      <c r="AJ5" s="15">
        <f>REVENUE_ENGINE!AJ6</f>
        <v>158910.45912417403</v>
      </c>
      <c r="AK5" s="15">
        <f>REVENUE_ENGINE!AK6</f>
        <v>174923.50143860027</v>
      </c>
      <c r="AL5" s="15">
        <f>REVENUE_ENGINE!AL6</f>
        <v>192530.52820034861</v>
      </c>
      <c r="AM5" s="15">
        <f>REVENUE_ENGINE!AM6</f>
        <v>211891.37704119843</v>
      </c>
      <c r="AN5" s="15">
        <f>REVENUE_ENGINE!AN6</f>
        <v>233181.84300488437</v>
      </c>
      <c r="AO5" s="15">
        <f>REVENUE_ENGINE!AO6</f>
        <v>256595.27586936491</v>
      </c>
      <c r="AP5" s="15">
        <f>REVENUE_ENGINE!AP6</f>
        <v>282344.33710645401</v>
      </c>
      <c r="AQ5" s="15">
        <f>REVENUE_ENGINE!AQ6</f>
        <v>310662.93244824285</v>
      </c>
      <c r="AR5" s="15">
        <f>REVENUE_ENGINE!AR6</f>
        <v>341808.33762634202</v>
      </c>
      <c r="AS5" s="15">
        <f>REVENUE_ENGINE!AS6</f>
        <v>376063.53660625458</v>
      </c>
      <c r="AT5" s="15">
        <f>REVENUE_ENGINE!AT6</f>
        <v>413739.7935711217</v>
      </c>
      <c r="AU5" s="15">
        <f>REVENUE_ENGINE!AU6</f>
        <v>455179.482034221</v>
      </c>
      <c r="AV5" s="15">
        <f>REVENUE_ENGINE!AV6</f>
        <v>500759.19679727108</v>
      </c>
      <c r="AW5" s="15">
        <f>REVENUE_ENGINE!AW6</f>
        <v>550893.17704304843</v>
      </c>
      <c r="AX5" s="15">
        <f>REVENUE_ENGINE!AX6</f>
        <v>606037.07167944056</v>
      </c>
      <c r="AY5" s="15">
        <f>REVENUE_ENGINE!AY6</f>
        <v>666692.08116354665</v>
      </c>
      <c r="AZ5" s="15">
        <f>REVENUE_ENGINE!AZ6</f>
        <v>733409.51345709374</v>
      </c>
      <c r="BA5" s="15">
        <f>REVENUE_ENGINE!BA6</f>
        <v>806795.79552936391</v>
      </c>
      <c r="BB5" s="15">
        <f>REVENUE_ENGINE!BB6</f>
        <v>887517.98596526741</v>
      </c>
      <c r="BC5" s="15">
        <f>REVENUE_ENGINE!BC6</f>
        <v>976309.83879178332</v>
      </c>
      <c r="BD5" s="15">
        <f>REVENUE_ENGINE!BD6</f>
        <v>1073978.4736471514</v>
      </c>
      <c r="BE5" s="15">
        <f>REVENUE_ENGINE!BE6</f>
        <v>1181411.7129294849</v>
      </c>
      <c r="BF5" s="15">
        <f>REVENUE_ENGINE!BF6</f>
        <v>1299586.1526249947</v>
      </c>
      <c r="BG5" s="15">
        <f>REVENUE_ENGINE!BG6</f>
        <v>1429576.0401859018</v>
      </c>
      <c r="BH5" s="15">
        <f>REVENUE_ENGINE!BH6</f>
        <v>1572563.0401649955</v>
      </c>
      <c r="BI5" s="15">
        <f>REVENUE_ENGINE!BI6</f>
        <v>1729846.976384368</v>
      </c>
      <c r="BJ5" s="15">
        <f>REVENUE_ENGINE!BJ6</f>
        <v>1902857.6482935057</v>
      </c>
    </row>
    <row r="6" spans="2:62" x14ac:dyDescent="0.2">
      <c r="B6" t="s">
        <v>121</v>
      </c>
      <c r="C6" s="15">
        <f>COGS_ENGINE!C7</f>
        <v>10040</v>
      </c>
      <c r="D6" s="15">
        <f>COGS_ENGINE!D7</f>
        <v>10081.599999999999</v>
      </c>
      <c r="E6" s="15">
        <f>COGS_ENGINE!E7</f>
        <v>10125.103999999999</v>
      </c>
      <c r="F6" s="15">
        <f>COGS_ENGINE!F7</f>
        <v>10170.837759999999</v>
      </c>
      <c r="G6" s="15">
        <f>COGS_ENGINE!G7</f>
        <v>10219.151494400001</v>
      </c>
      <c r="H6" s="15">
        <f>COGS_ENGINE!H7</f>
        <v>10270.422804736001</v>
      </c>
      <c r="I6" s="15">
        <f>COGS_ENGINE!I7</f>
        <v>10325.05987645184</v>
      </c>
      <c r="J6" s="15">
        <f>COGS_ENGINE!J7</f>
        <v>10383.50496786473</v>
      </c>
      <c r="K6" s="15">
        <f>COGS_ENGINE!K7</f>
        <v>10446.238222192846</v>
      </c>
      <c r="L6" s="15">
        <f>COGS_ENGINE!L7</f>
        <v>10513.781836501275</v>
      </c>
      <c r="M6" s="15">
        <f>COGS_ENGINE!M7</f>
        <v>10586.704624715199</v>
      </c>
      <c r="N6" s="15">
        <f>COGS_ENGINE!N7</f>
        <v>10665.627015476686</v>
      </c>
      <c r="O6" s="15">
        <f>COGS_ENGINE!O7</f>
        <v>10751.226529616924</v>
      </c>
      <c r="P6" s="15">
        <f>COGS_ENGINE!P7</f>
        <v>10844.243786415635</v>
      </c>
      <c r="Q6" s="15">
        <f>COGS_ENGINE!Q7</f>
        <v>10945.489092663993</v>
      </c>
      <c r="R6" s="15">
        <f>COGS_ENGINE!R7</f>
        <v>11055.849673880781</v>
      </c>
      <c r="S6" s="15">
        <f>COGS_ENGINE!S7</f>
        <v>11176.297612902221</v>
      </c>
      <c r="T6" s="15">
        <f>COGS_ENGINE!T7</f>
        <v>11307.898567527805</v>
      </c>
      <c r="U6" s="15">
        <f>COGS_ENGINE!U7</f>
        <v>11451.821346015826</v>
      </c>
      <c r="V6" s="15">
        <f>COGS_ENGINE!V7</f>
        <v>11609.348427048535</v>
      </c>
      <c r="W6" s="15">
        <f>COGS_ENGINE!W7</f>
        <v>11781.88751939865</v>
      </c>
      <c r="X6" s="15">
        <f>COGS_ENGINE!X7</f>
        <v>11970.984266005056</v>
      </c>
      <c r="Y6" s="15">
        <f>COGS_ENGINE!Y7</f>
        <v>12178.33620759211</v>
      </c>
      <c r="Z6" s="15">
        <f>COGS_ENGINE!Z7</f>
        <v>12405.80813243868</v>
      </c>
      <c r="AA6" s="15">
        <f>COGS_ENGINE!AA7</f>
        <v>12655.448951524664</v>
      </c>
      <c r="AB6" s="15">
        <f>COGS_ENGINE!AB7</f>
        <v>12929.510252168722</v>
      </c>
      <c r="AC6" s="15">
        <f>COGS_ENGINE!AC7</f>
        <v>13230.466698547687</v>
      </c>
      <c r="AD6" s="15">
        <f>COGS_ENGINE!AD7</f>
        <v>13561.038464294823</v>
      </c>
      <c r="AE6" s="15">
        <f>COGS_ENGINE!AE7</f>
        <v>13924.215900863132</v>
      </c>
      <c r="AF6" s="15">
        <f>COGS_ENGINE!AF7</f>
        <v>14323.286665679942</v>
      </c>
      <c r="AG6" s="15">
        <f>COGS_ENGINE!AG7</f>
        <v>14761.865556494602</v>
      </c>
      <c r="AH6" s="15">
        <f>COGS_ENGINE!AH7</f>
        <v>15243.927322935931</v>
      </c>
      <c r="AI6" s="15">
        <f>COGS_ENGINE!AI7</f>
        <v>15773.84275337388</v>
      </c>
      <c r="AJ6" s="15">
        <f>COGS_ENGINE!AJ7</f>
        <v>16356.418364966961</v>
      </c>
      <c r="AK6" s="15">
        <f>COGS_ENGINE!AK7</f>
        <v>16996.940057544009</v>
      </c>
      <c r="AL6" s="15">
        <f>COGS_ENGINE!AL7</f>
        <v>17701.221128013945</v>
      </c>
      <c r="AM6" s="15">
        <f>COGS_ENGINE!AM7</f>
        <v>18475.655081647936</v>
      </c>
      <c r="AN6" s="15">
        <f>COGS_ENGINE!AN7</f>
        <v>19327.273720195375</v>
      </c>
      <c r="AO6" s="15">
        <f>COGS_ENGINE!AO7</f>
        <v>20263.811034774597</v>
      </c>
      <c r="AP6" s="15">
        <f>COGS_ENGINE!AP7</f>
        <v>21293.773484258163</v>
      </c>
      <c r="AQ6" s="15">
        <f>COGS_ENGINE!AQ7</f>
        <v>22426.517297929713</v>
      </c>
      <c r="AR6" s="15">
        <f>COGS_ENGINE!AR7</f>
        <v>23672.333505053684</v>
      </c>
      <c r="AS6" s="15">
        <f>COGS_ENGINE!AS7</f>
        <v>25042.541464250186</v>
      </c>
      <c r="AT6" s="15">
        <f>COGS_ENGINE!AT7</f>
        <v>26549.591742844867</v>
      </c>
      <c r="AU6" s="15">
        <f>COGS_ENGINE!AU7</f>
        <v>28207.179281368837</v>
      </c>
      <c r="AV6" s="15">
        <f>COGS_ENGINE!AV7</f>
        <v>30030.367871890841</v>
      </c>
      <c r="AW6" s="15">
        <f>COGS_ENGINE!AW7</f>
        <v>32035.72708172194</v>
      </c>
      <c r="AX6" s="15">
        <f>COGS_ENGINE!AX7</f>
        <v>34241.482867177619</v>
      </c>
      <c r="AY6" s="15">
        <f>COGS_ENGINE!AY7</f>
        <v>36667.68324654187</v>
      </c>
      <c r="AZ6" s="15">
        <f>COGS_ENGINE!AZ7</f>
        <v>39336.380538283745</v>
      </c>
      <c r="BA6" s="15">
        <f>COGS_ENGINE!BA7</f>
        <v>42271.831821174557</v>
      </c>
      <c r="BB6" s="15">
        <f>COGS_ENGINE!BB7</f>
        <v>45500.7194386107</v>
      </c>
      <c r="BC6" s="15">
        <f>COGS_ENGINE!BC7</f>
        <v>49052.393551671332</v>
      </c>
      <c r="BD6" s="15">
        <f>COGS_ENGINE!BD7</f>
        <v>52959.138945886058</v>
      </c>
      <c r="BE6" s="15">
        <f>COGS_ENGINE!BE7</f>
        <v>57256.468517179397</v>
      </c>
      <c r="BF6" s="15">
        <f>COGS_ENGINE!BF7</f>
        <v>61983.446104999792</v>
      </c>
      <c r="BG6" s="15">
        <f>COGS_ENGINE!BG7</f>
        <v>67183.041607436084</v>
      </c>
      <c r="BH6" s="15">
        <f>COGS_ENGINE!BH7</f>
        <v>72902.521606599825</v>
      </c>
      <c r="BI6" s="15">
        <f>COGS_ENGINE!BI7</f>
        <v>79193.879055374724</v>
      </c>
      <c r="BJ6" s="15">
        <f>COGS_ENGINE!BJ7</f>
        <v>86114.305931740222</v>
      </c>
    </row>
    <row r="7" spans="2:62" x14ac:dyDescent="0.2">
      <c r="B7" t="s">
        <v>122</v>
      </c>
      <c r="C7" s="15">
        <f>C5 - C6</f>
        <v>-9040</v>
      </c>
      <c r="D7" s="15">
        <f>D5 - D6</f>
        <v>-8041.5999999999985</v>
      </c>
      <c r="E7" s="15">
        <f>E5 - E6</f>
        <v>-6997.503999999999</v>
      </c>
      <c r="F7" s="15">
        <f>F5 - F6</f>
        <v>-5899.8937599999981</v>
      </c>
      <c r="G7" s="15">
        <f>G5 - G6</f>
        <v>-4740.3641344000007</v>
      </c>
      <c r="H7" s="15">
        <f>H5 - H6</f>
        <v>-3509.8526863360003</v>
      </c>
      <c r="I7" s="15">
        <f>I5 - I6</f>
        <v>-2198.5629651558384</v>
      </c>
      <c r="J7" s="15">
        <f>J5 - J6</f>
        <v>-795.88077124648771</v>
      </c>
      <c r="K7" s="15">
        <f>K5 - K6</f>
        <v>709.71733262830276</v>
      </c>
      <c r="L7" s="15">
        <f>L5 - L6</f>
        <v>2330.7640760306058</v>
      </c>
      <c r="M7" s="15">
        <f>M5 - M6</f>
        <v>4080.9109931647708</v>
      </c>
      <c r="N7" s="15">
        <f>N5 - N6</f>
        <v>5975.0483714404872</v>
      </c>
      <c r="O7" s="15">
        <f>O5 - O6</f>
        <v>8029.4367108062215</v>
      </c>
      <c r="P7" s="15">
        <f>P5 - P6</f>
        <v>10261.850873975229</v>
      </c>
      <c r="Q7" s="15">
        <f>Q5 - Q6</f>
        <v>12691.73822393583</v>
      </c>
      <c r="R7" s="15">
        <f>R5 - R6</f>
        <v>15340.392173138709</v>
      </c>
      <c r="S7" s="15">
        <f>S5 - S6</f>
        <v>18231.142709653323</v>
      </c>
      <c r="T7" s="15">
        <f>T5 - T6</f>
        <v>21389.565620667345</v>
      </c>
      <c r="U7" s="15">
        <f>U5 - U6</f>
        <v>24843.71230437986</v>
      </c>
      <c r="V7" s="15">
        <f>V5 - V6</f>
        <v>28624.362249164871</v>
      </c>
      <c r="W7" s="15">
        <f>W5 - W6</f>
        <v>32765.300465567558</v>
      </c>
      <c r="X7" s="15">
        <f>X5 - X6</f>
        <v>37303.62238412135</v>
      </c>
      <c r="Y7" s="15">
        <f>Y5 - Y6</f>
        <v>42280.068982210694</v>
      </c>
      <c r="Z7" s="15">
        <f>Z5 - Z6</f>
        <v>47739.395178528343</v>
      </c>
      <c r="AA7" s="15">
        <f>AA5 - AA6</f>
        <v>53730.774836591954</v>
      </c>
      <c r="AB7" s="15">
        <f>AB5 - AB6</f>
        <v>60308.246052049304</v>
      </c>
      <c r="AC7" s="15">
        <f>AC5 - AC6</f>
        <v>67531.200765144458</v>
      </c>
      <c r="AD7" s="15">
        <f>AD5 - AD6</f>
        <v>75464.923143075765</v>
      </c>
      <c r="AE7" s="15">
        <f>AE5 - AE6</f>
        <v>84181.181620715171</v>
      </c>
      <c r="AF7" s="15">
        <f>AF5 - AF6</f>
        <v>93758.879976318596</v>
      </c>
      <c r="AG7" s="15">
        <f>AG5 - AG6</f>
        <v>104284.77335587048</v>
      </c>
      <c r="AH7" s="15">
        <f>AH5 - AH6</f>
        <v>115854.25575046235</v>
      </c>
      <c r="AI7" s="15">
        <f>AI5 - AI6</f>
        <v>128572.22608097311</v>
      </c>
      <c r="AJ7" s="15">
        <f>AJ5 - AJ6</f>
        <v>142554.04075920707</v>
      </c>
      <c r="AK7" s="15">
        <f>AK5 - AK6</f>
        <v>157926.56138105626</v>
      </c>
      <c r="AL7" s="15">
        <f>AL5 - AL6</f>
        <v>174829.30707233466</v>
      </c>
      <c r="AM7" s="15">
        <f>AM5 - AM6</f>
        <v>193415.72195955049</v>
      </c>
      <c r="AN7" s="15">
        <f>AN5 - AN6</f>
        <v>213854.569284689</v>
      </c>
      <c r="AO7" s="15">
        <f>AO5 - AO6</f>
        <v>236331.46483459033</v>
      </c>
      <c r="AP7" s="15">
        <f>AP5 - AP6</f>
        <v>261050.56362219586</v>
      </c>
      <c r="AQ7" s="15">
        <f>AQ5 - AQ6</f>
        <v>288236.41515031311</v>
      </c>
      <c r="AR7" s="15">
        <f>AR5 - AR6</f>
        <v>318136.00412128831</v>
      </c>
      <c r="AS7" s="15">
        <f>AS5 - AS6</f>
        <v>351020.99514200439</v>
      </c>
      <c r="AT7" s="15">
        <f>AT5 - AT6</f>
        <v>387190.20182827685</v>
      </c>
      <c r="AU7" s="15">
        <f>AU5 - AU6</f>
        <v>426972.30275285215</v>
      </c>
      <c r="AV7" s="15">
        <f>AV5 - AV6</f>
        <v>470728.82892538025</v>
      </c>
      <c r="AW7" s="15">
        <f>AW5 - AW6</f>
        <v>518857.44996132649</v>
      </c>
      <c r="AX7" s="15">
        <f>AX5 - AX6</f>
        <v>571795.58881226298</v>
      </c>
      <c r="AY7" s="15">
        <f>AY5 - AY6</f>
        <v>630024.39791700477</v>
      </c>
      <c r="AZ7" s="15">
        <f>AZ5 - AZ6</f>
        <v>694073.13291881001</v>
      </c>
      <c r="BA7" s="15">
        <f>BA5 - BA6</f>
        <v>764523.96370818932</v>
      </c>
      <c r="BB7" s="15">
        <f>BB5 - BB6</f>
        <v>842017.26652665669</v>
      </c>
      <c r="BC7" s="15">
        <f>BC5 - BC6</f>
        <v>927257.44524011202</v>
      </c>
      <c r="BD7" s="15">
        <f>BD5 - BD6</f>
        <v>1021019.3347012653</v>
      </c>
      <c r="BE7" s="15">
        <f>BE5 - BE6</f>
        <v>1124155.2444123055</v>
      </c>
      <c r="BF7" s="15">
        <f>BF5 - BF6</f>
        <v>1237602.7065199949</v>
      </c>
      <c r="BG7" s="15">
        <f>BG5 - BG6</f>
        <v>1362392.9985784658</v>
      </c>
      <c r="BH7" s="15">
        <f>BH5 - BH6</f>
        <v>1499660.5185583956</v>
      </c>
      <c r="BI7" s="15">
        <f>BI5 - BI6</f>
        <v>1650653.0973289933</v>
      </c>
      <c r="BJ7" s="15">
        <f>BJ5 - BJ6</f>
        <v>1816743.3423617654</v>
      </c>
    </row>
    <row r="8" spans="2:62" x14ac:dyDescent="0.2">
      <c r="B8" t="s">
        <v>123</v>
      </c>
      <c r="C8" s="15">
        <f>HR_AND_OPEX!C10</f>
        <v>672134.4</v>
      </c>
      <c r="D8" s="15">
        <f>HR_AND_OPEX!D10</f>
        <v>672274.17600000009</v>
      </c>
      <c r="E8" s="15">
        <f>HR_AND_OPEX!E10</f>
        <v>672420.34944000002</v>
      </c>
      <c r="F8" s="15">
        <f>HR_AND_OPEX!F10</f>
        <v>672574.0148736001</v>
      </c>
      <c r="G8" s="15">
        <f>HR_AND_OPEX!G10</f>
        <v>672736.34902118403</v>
      </c>
      <c r="H8" s="15">
        <f>HR_AND_OPEX!H10</f>
        <v>672908.62062391301</v>
      </c>
      <c r="I8" s="15">
        <f>HR_AND_OPEX!I10</f>
        <v>673092.20118487813</v>
      </c>
      <c r="J8" s="15">
        <f>HR_AND_OPEX!J10</f>
        <v>673288.57669202564</v>
      </c>
      <c r="K8" s="15">
        <f>HR_AND_OPEX!K10</f>
        <v>673499.36042656796</v>
      </c>
      <c r="L8" s="15">
        <f>HR_AND_OPEX!L10</f>
        <v>673726.30697064439</v>
      </c>
      <c r="M8" s="15">
        <f>HR_AND_OPEX!M10</f>
        <v>673971.32753904304</v>
      </c>
      <c r="N8" s="15">
        <f>HR_AND_OPEX!N10</f>
        <v>674236.50677200162</v>
      </c>
      <c r="O8" s="15">
        <f>HR_AND_OPEX!O10</f>
        <v>741724.12113951298</v>
      </c>
      <c r="P8" s="15">
        <f>HR_AND_OPEX!P10</f>
        <v>742036.65912235656</v>
      </c>
      <c r="Q8" s="15">
        <f>HR_AND_OPEX!Q10</f>
        <v>742376.84335135121</v>
      </c>
      <c r="R8" s="15">
        <f>HR_AND_OPEX!R10</f>
        <v>742747.65490423958</v>
      </c>
      <c r="S8" s="15">
        <f>HR_AND_OPEX!S10</f>
        <v>743152.35997935163</v>
      </c>
      <c r="T8" s="15">
        <f>HR_AND_OPEX!T10</f>
        <v>743594.5391868935</v>
      </c>
      <c r="U8" s="15">
        <f>HR_AND_OPEX!U10</f>
        <v>744078.11972261325</v>
      </c>
      <c r="V8" s="15">
        <f>HR_AND_OPEX!V10</f>
        <v>744607.41071488312</v>
      </c>
      <c r="W8" s="15">
        <f>HR_AND_OPEX!W10</f>
        <v>745187.14206517942</v>
      </c>
      <c r="X8" s="15">
        <f>HR_AND_OPEX!X10</f>
        <v>745822.50713377714</v>
      </c>
      <c r="Y8" s="15">
        <f>HR_AND_OPEX!Y10</f>
        <v>746519.20965750946</v>
      </c>
      <c r="Z8" s="15">
        <f>HR_AND_OPEX!Z10</f>
        <v>747283.51532499411</v>
      </c>
      <c r="AA8" s="15">
        <f>HR_AND_OPEX!AA10</f>
        <v>822042.30847712304</v>
      </c>
      <c r="AB8" s="15">
        <f>HR_AND_OPEX!AB10</f>
        <v>822963.15444728709</v>
      </c>
      <c r="AC8" s="15">
        <f>HR_AND_OPEX!AC10</f>
        <v>823974.36810712039</v>
      </c>
      <c r="AD8" s="15">
        <f>HR_AND_OPEX!AD10</f>
        <v>825085.08924003085</v>
      </c>
      <c r="AE8" s="15">
        <f>HR_AND_OPEX!AE10</f>
        <v>826305.36542690033</v>
      </c>
      <c r="AF8" s="15">
        <f>HR_AND_OPEX!AF10</f>
        <v>827646.24319668475</v>
      </c>
      <c r="AG8" s="15">
        <f>HR_AND_OPEX!AG10</f>
        <v>829119.86826982209</v>
      </c>
      <c r="AH8" s="15">
        <f>HR_AND_OPEX!AH10</f>
        <v>830739.59580506489</v>
      </c>
      <c r="AI8" s="15">
        <f>HR_AND_OPEX!AI10</f>
        <v>832520.11165133642</v>
      </c>
      <c r="AJ8" s="15">
        <f>HR_AND_OPEX!AJ10</f>
        <v>834477.56570628914</v>
      </c>
      <c r="AK8" s="15">
        <f>HR_AND_OPEX!AK10</f>
        <v>836629.71859334805</v>
      </c>
      <c r="AL8" s="15">
        <f>HR_AND_OPEX!AL10</f>
        <v>838996.10299012694</v>
      </c>
      <c r="AM8" s="15">
        <f>HR_AND_OPEX!AM10</f>
        <v>922910.20107433735</v>
      </c>
      <c r="AN8" s="15">
        <f>HR_AND_OPEX!AN10</f>
        <v>925771.63969985675</v>
      </c>
      <c r="AO8" s="15">
        <f>HR_AND_OPEX!AO10</f>
        <v>928918.40507684287</v>
      </c>
      <c r="AP8" s="15">
        <f>HR_AND_OPEX!AP10</f>
        <v>932379.0789071077</v>
      </c>
      <c r="AQ8" s="15">
        <f>HR_AND_OPEX!AQ10</f>
        <v>936185.09812104411</v>
      </c>
      <c r="AR8" s="15">
        <f>HR_AND_OPEX!AR10</f>
        <v>940371.0405769808</v>
      </c>
      <c r="AS8" s="15">
        <f>HR_AND_OPEX!AS10</f>
        <v>944974.9393198808</v>
      </c>
      <c r="AT8" s="15">
        <f>HR_AND_OPEX!AT10</f>
        <v>950038.62825595913</v>
      </c>
      <c r="AU8" s="15">
        <f>HR_AND_OPEX!AU10</f>
        <v>955608.12238539965</v>
      </c>
      <c r="AV8" s="15">
        <f>HR_AND_OPEX!AV10</f>
        <v>961734.03604955366</v>
      </c>
      <c r="AW8" s="15">
        <f>HR_AND_OPEX!AW10</f>
        <v>968472.04299458617</v>
      </c>
      <c r="AX8" s="15">
        <f>HR_AND_OPEX!AX10</f>
        <v>975883.38243371702</v>
      </c>
      <c r="AY8" s="15">
        <f>HR_AND_OPEX!AY10</f>
        <v>1073478.6157083809</v>
      </c>
      <c r="AZ8" s="15">
        <f>HR_AND_OPEX!AZ10</f>
        <v>1082445.4386086336</v>
      </c>
      <c r="BA8" s="15">
        <f>HR_AND_OPEX!BA10</f>
        <v>1092308.5549191467</v>
      </c>
      <c r="BB8" s="15">
        <f>HR_AND_OPEX!BB10</f>
        <v>1103157.6173137322</v>
      </c>
      <c r="BC8" s="15">
        <f>HR_AND_OPEX!BC10</f>
        <v>1115091.2423336161</v>
      </c>
      <c r="BD8" s="15">
        <f>HR_AND_OPEX!BD10</f>
        <v>1128217.9068581774</v>
      </c>
      <c r="BE8" s="15">
        <f>HR_AND_OPEX!BE10</f>
        <v>1142656.9342177231</v>
      </c>
      <c r="BF8" s="15">
        <f>HR_AND_OPEX!BF10</f>
        <v>1158539.5789127997</v>
      </c>
      <c r="BG8" s="15">
        <f>HR_AND_OPEX!BG10</f>
        <v>1176010.2198009854</v>
      </c>
      <c r="BH8" s="15">
        <f>HR_AND_OPEX!BH10</f>
        <v>1195227.6725981755</v>
      </c>
      <c r="BI8" s="15">
        <f>HR_AND_OPEX!BI10</f>
        <v>1216366.6336260594</v>
      </c>
      <c r="BJ8" s="15">
        <f>HR_AND_OPEX!BJ10</f>
        <v>1239619.2679306476</v>
      </c>
    </row>
    <row r="9" spans="2:62" x14ac:dyDescent="0.2">
      <c r="B9" t="s">
        <v>124</v>
      </c>
      <c r="C9" s="15">
        <f>C7 - C8</f>
        <v>-681174.4</v>
      </c>
      <c r="D9" s="15">
        <f>D7 - D8</f>
        <v>-680315.77600000007</v>
      </c>
      <c r="E9" s="15">
        <f>E7 - E8</f>
        <v>-679417.85343999998</v>
      </c>
      <c r="F9" s="15">
        <f>F7 - F8</f>
        <v>-678473.90863360011</v>
      </c>
      <c r="G9" s="15">
        <f>G7 - G8</f>
        <v>-677476.71315558406</v>
      </c>
      <c r="H9" s="15">
        <f>H7 - H8</f>
        <v>-676418.47331024904</v>
      </c>
      <c r="I9" s="15">
        <f>I7 - I8</f>
        <v>-675290.76415003394</v>
      </c>
      <c r="J9" s="15">
        <f>J7 - J8</f>
        <v>-674084.45746327215</v>
      </c>
      <c r="K9" s="15">
        <f>K7 - K8</f>
        <v>-672789.64309393964</v>
      </c>
      <c r="L9" s="15">
        <f>L7 - L8</f>
        <v>-671395.54289461381</v>
      </c>
      <c r="M9" s="15">
        <f>M7 - M8</f>
        <v>-669890.41654587828</v>
      </c>
      <c r="N9" s="15">
        <f>N7 - N8</f>
        <v>-668261.45840056113</v>
      </c>
      <c r="O9" s="15">
        <f>O7 - O8</f>
        <v>-733694.68442870677</v>
      </c>
      <c r="P9" s="15">
        <f>P7 - P8</f>
        <v>-731774.80824838136</v>
      </c>
      <c r="Q9" s="15">
        <f>Q7 - Q8</f>
        <v>-729685.10512741539</v>
      </c>
      <c r="R9" s="15">
        <f>R7 - R8</f>
        <v>-727407.2627311009</v>
      </c>
      <c r="S9" s="15">
        <f>S7 - S8</f>
        <v>-724921.21726969827</v>
      </c>
      <c r="T9" s="15">
        <f>T7 - T8</f>
        <v>-722204.9735662262</v>
      </c>
      <c r="U9" s="15">
        <f>U7 - U8</f>
        <v>-719234.40741823334</v>
      </c>
      <c r="V9" s="15">
        <f>V7 - V8</f>
        <v>-715983.04846571828</v>
      </c>
      <c r="W9" s="15">
        <f>W7 - W8</f>
        <v>-712421.84159961191</v>
      </c>
      <c r="X9" s="15">
        <f>X7 - X8</f>
        <v>-708518.88474965584</v>
      </c>
      <c r="Y9" s="15">
        <f>Y7 - Y8</f>
        <v>-704239.14067529875</v>
      </c>
      <c r="Z9" s="15">
        <f>Z7 - Z8</f>
        <v>-699544.12014646572</v>
      </c>
      <c r="AA9" s="15">
        <f>AA7 - AA8</f>
        <v>-768311.53364053112</v>
      </c>
      <c r="AB9" s="15">
        <f>AB7 - AB8</f>
        <v>-762654.90839523776</v>
      </c>
      <c r="AC9" s="15">
        <f>AC7 - AC8</f>
        <v>-756443.16734197596</v>
      </c>
      <c r="AD9" s="15">
        <f>AD7 - AD8</f>
        <v>-749620.16609695507</v>
      </c>
      <c r="AE9" s="15">
        <f>AE7 - AE8</f>
        <v>-742124.18380618514</v>
      </c>
      <c r="AF9" s="15">
        <f>AF7 - AF8</f>
        <v>-733887.36322036618</v>
      </c>
      <c r="AG9" s="15">
        <f>AG7 - AG8</f>
        <v>-724835.09491395159</v>
      </c>
      <c r="AH9" s="15">
        <f>AH7 - AH8</f>
        <v>-714885.3400546026</v>
      </c>
      <c r="AI9" s="15">
        <f>AI7 - AI8</f>
        <v>-703947.88557036337</v>
      </c>
      <c r="AJ9" s="15">
        <f>AJ7 - AJ8</f>
        <v>-691923.52494708204</v>
      </c>
      <c r="AK9" s="15">
        <f>AK7 - AK8</f>
        <v>-678703.15721229184</v>
      </c>
      <c r="AL9" s="15">
        <f>AL7 - AL8</f>
        <v>-664166.79591779225</v>
      </c>
      <c r="AM9" s="15">
        <f>AM7 - AM8</f>
        <v>-729494.47911478684</v>
      </c>
      <c r="AN9" s="15">
        <f>AN7 - AN8</f>
        <v>-711917.07041516772</v>
      </c>
      <c r="AO9" s="15">
        <f>AO7 - AO8</f>
        <v>-692586.94024225255</v>
      </c>
      <c r="AP9" s="15">
        <f>AP7 - AP8</f>
        <v>-671328.51528491185</v>
      </c>
      <c r="AQ9" s="15">
        <f>AQ7 - AQ8</f>
        <v>-647948.68297073105</v>
      </c>
      <c r="AR9" s="15">
        <f>AR7 - AR8</f>
        <v>-622235.03645569249</v>
      </c>
      <c r="AS9" s="15">
        <f>AS7 - AS8</f>
        <v>-593953.94417787646</v>
      </c>
      <c r="AT9" s="15">
        <f>AT7 - AT8</f>
        <v>-562848.42642768228</v>
      </c>
      <c r="AU9" s="15">
        <f>AU7 - AU8</f>
        <v>-528635.81963254744</v>
      </c>
      <c r="AV9" s="15">
        <f>AV7 - AV8</f>
        <v>-491005.20712417341</v>
      </c>
      <c r="AW9" s="15">
        <f>AW7 - AW8</f>
        <v>-449614.59303325968</v>
      </c>
      <c r="AX9" s="15">
        <f>AX7 - AX8</f>
        <v>-404087.79362145404</v>
      </c>
      <c r="AY9" s="15">
        <f>AY7 - AY8</f>
        <v>-443454.21779137617</v>
      </c>
      <c r="AZ9" s="15">
        <f>AZ7 - AZ8</f>
        <v>-388372.30568982358</v>
      </c>
      <c r="BA9" s="15">
        <f>BA7 - BA8</f>
        <v>-327784.59121095738</v>
      </c>
      <c r="BB9" s="15">
        <f>BB7 - BB8</f>
        <v>-261140.35078707547</v>
      </c>
      <c r="BC9" s="15">
        <f>BC7 - BC8</f>
        <v>-187833.79709350411</v>
      </c>
      <c r="BD9" s="15">
        <f>BD7 - BD8</f>
        <v>-107198.57215691207</v>
      </c>
      <c r="BE9" s="15">
        <f>BE7 - BE8</f>
        <v>-18501.689805417554</v>
      </c>
      <c r="BF9" s="15">
        <f>BF7 - BF8</f>
        <v>79063.127607195172</v>
      </c>
      <c r="BG9" s="15">
        <f>BG7 - BG8</f>
        <v>186382.77877748036</v>
      </c>
      <c r="BH9" s="15">
        <f>BH7 - BH8</f>
        <v>304432.84596022009</v>
      </c>
      <c r="BI9" s="15">
        <f>BI7 - BI8</f>
        <v>434286.46370293386</v>
      </c>
      <c r="BJ9" s="15">
        <f>BJ7 - BJ8</f>
        <v>577124.07443111786</v>
      </c>
    </row>
    <row r="10" spans="2:62" x14ac:dyDescent="0.2">
      <c r="B10" t="s">
        <v>125</v>
      </c>
      <c r="C10" s="15">
        <f>CAPEX_AND_DEPRECIATION!C7</f>
        <v>83333.333333333328</v>
      </c>
      <c r="D10" s="15">
        <f>CAPEX_AND_DEPRECIATION!D7</f>
        <v>81944.444444444453</v>
      </c>
      <c r="E10" s="15">
        <f>CAPEX_AND_DEPRECIATION!E7</f>
        <v>80578.703703703723</v>
      </c>
      <c r="F10" s="15">
        <f>CAPEX_AND_DEPRECIATION!F7</f>
        <v>79235.725308641995</v>
      </c>
      <c r="G10" s="15">
        <f>CAPEX_AND_DEPRECIATION!G7</f>
        <v>77915.129886831302</v>
      </c>
      <c r="H10" s="15">
        <f>CAPEX_AND_DEPRECIATION!H7</f>
        <v>76616.544388717448</v>
      </c>
      <c r="I10" s="15">
        <f>CAPEX_AND_DEPRECIATION!I7</f>
        <v>75339.601982238833</v>
      </c>
      <c r="J10" s="15">
        <f>CAPEX_AND_DEPRECIATION!J7</f>
        <v>74083.941949201515</v>
      </c>
      <c r="K10" s="15">
        <f>CAPEX_AND_DEPRECIATION!K7</f>
        <v>72849.209583381482</v>
      </c>
      <c r="L10" s="15">
        <f>CAPEX_AND_DEPRECIATION!L7</f>
        <v>71635.056090325132</v>
      </c>
      <c r="M10" s="15">
        <f>CAPEX_AND_DEPRECIATION!M7</f>
        <v>70441.138488819721</v>
      </c>
      <c r="N10" s="15">
        <f>CAPEX_AND_DEPRECIATION!N7</f>
        <v>69267.119514006044</v>
      </c>
      <c r="O10" s="15">
        <f>CAPEX_AND_DEPRECIATION!O7</f>
        <v>68112.667522105941</v>
      </c>
      <c r="P10" s="15">
        <f>CAPEX_AND_DEPRECIATION!P7</f>
        <v>66977.456396737514</v>
      </c>
      <c r="Q10" s="15">
        <f>CAPEX_AND_DEPRECIATION!Q7</f>
        <v>65861.165456791889</v>
      </c>
      <c r="R10" s="15">
        <f>CAPEX_AND_DEPRECIATION!R7</f>
        <v>64763.479365845356</v>
      </c>
      <c r="S10" s="15">
        <f>CAPEX_AND_DEPRECIATION!S7</f>
        <v>63684.088043081269</v>
      </c>
      <c r="T10" s="15">
        <f>CAPEX_AND_DEPRECIATION!T7</f>
        <v>62622.686575696585</v>
      </c>
      <c r="U10" s="15">
        <f>CAPEX_AND_DEPRECIATION!U7</f>
        <v>61578.975132768304</v>
      </c>
      <c r="V10" s="15">
        <f>CAPEX_AND_DEPRECIATION!V7</f>
        <v>60552.6588805555</v>
      </c>
      <c r="W10" s="15">
        <f>CAPEX_AND_DEPRECIATION!W7</f>
        <v>59543.447899212908</v>
      </c>
      <c r="X10" s="15">
        <f>CAPEX_AND_DEPRECIATION!X7</f>
        <v>58551.057100892685</v>
      </c>
      <c r="Y10" s="15">
        <f>CAPEX_AND_DEPRECIATION!Y7</f>
        <v>57575.206149211146</v>
      </c>
      <c r="Z10" s="15">
        <f>CAPEX_AND_DEPRECIATION!Z7</f>
        <v>56615.619380057629</v>
      </c>
      <c r="AA10" s="15">
        <f>CAPEX_AND_DEPRECIATION!AA7</f>
        <v>55672.025723723331</v>
      </c>
      <c r="AB10" s="15">
        <f>CAPEX_AND_DEPRECIATION!AB7</f>
        <v>54744.158628327939</v>
      </c>
      <c r="AC10" s="15">
        <f>CAPEX_AND_DEPRECIATION!AC7</f>
        <v>53831.755984522482</v>
      </c>
      <c r="AD10" s="15">
        <f>CAPEX_AND_DEPRECIATION!AD7</f>
        <v>52934.560051447108</v>
      </c>
      <c r="AE10" s="15">
        <f>CAPEX_AND_DEPRECIATION!AE7</f>
        <v>52052.317383922986</v>
      </c>
      <c r="AF10" s="15">
        <f>CAPEX_AND_DEPRECIATION!AF7</f>
        <v>51184.778760857604</v>
      </c>
      <c r="AG10" s="15">
        <f>CAPEX_AND_DEPRECIATION!AG7</f>
        <v>50331.699114843308</v>
      </c>
      <c r="AH10" s="15">
        <f>CAPEX_AND_DEPRECIATION!AH7</f>
        <v>49492.837462929259</v>
      </c>
      <c r="AI10" s="15">
        <f>CAPEX_AND_DEPRECIATION!AI7</f>
        <v>48667.956838547107</v>
      </c>
      <c r="AJ10" s="15">
        <f>CAPEX_AND_DEPRECIATION!AJ7</f>
        <v>47856.824224571319</v>
      </c>
      <c r="AK10" s="15">
        <f>CAPEX_AND_DEPRECIATION!AK7</f>
        <v>47059.210487495133</v>
      </c>
      <c r="AL10" s="15">
        <f>CAPEX_AND_DEPRECIATION!AL7</f>
        <v>46274.890312703545</v>
      </c>
      <c r="AM10" s="15">
        <f>CAPEX_AND_DEPRECIATION!AM7</f>
        <v>45503.642140825155</v>
      </c>
      <c r="AN10" s="15">
        <f>CAPEX_AND_DEPRECIATION!AN7</f>
        <v>44745.248105144732</v>
      </c>
      <c r="AO10" s="15">
        <f>CAPEX_AND_DEPRECIATION!AO7</f>
        <v>43999.493970058989</v>
      </c>
      <c r="AP10" s="15">
        <f>CAPEX_AND_DEPRECIATION!AP7</f>
        <v>43266.169070558011</v>
      </c>
      <c r="AQ10" s="15">
        <f>CAPEX_AND_DEPRECIATION!AQ7</f>
        <v>42545.066252715376</v>
      </c>
      <c r="AR10" s="15">
        <f>CAPEX_AND_DEPRECIATION!AR7</f>
        <v>41835.981815170118</v>
      </c>
      <c r="AS10" s="15">
        <f>CAPEX_AND_DEPRECIATION!AS7</f>
        <v>41138.71545158395</v>
      </c>
      <c r="AT10" s="15">
        <f>CAPEX_AND_DEPRECIATION!AT7</f>
        <v>40453.070194057553</v>
      </c>
      <c r="AU10" s="15">
        <f>CAPEX_AND_DEPRECIATION!AU7</f>
        <v>39778.852357489923</v>
      </c>
      <c r="AV10" s="15">
        <f>CAPEX_AND_DEPRECIATION!AV7</f>
        <v>39115.871484865092</v>
      </c>
      <c r="AW10" s="15">
        <f>CAPEX_AND_DEPRECIATION!AW7</f>
        <v>38463.94029345068</v>
      </c>
      <c r="AX10" s="15">
        <f>CAPEX_AND_DEPRECIATION!AX7</f>
        <v>37822.874621893163</v>
      </c>
      <c r="AY10" s="15">
        <f>CAPEX_AND_DEPRECIATION!AY7</f>
        <v>37192.493378194944</v>
      </c>
      <c r="AZ10" s="15">
        <f>CAPEX_AND_DEPRECIATION!AZ7</f>
        <v>36572.618488558357</v>
      </c>
      <c r="BA10" s="15">
        <f>CAPEX_AND_DEPRECIATION!BA7</f>
        <v>35963.074847082382</v>
      </c>
      <c r="BB10" s="15">
        <f>CAPEX_AND_DEPRECIATION!BB7</f>
        <v>35363.690266297672</v>
      </c>
      <c r="BC10" s="15">
        <f>CAPEX_AND_DEPRECIATION!BC7</f>
        <v>34774.295428526042</v>
      </c>
      <c r="BD10" s="15">
        <f>CAPEX_AND_DEPRECIATION!BD7</f>
        <v>34194.72383805061</v>
      </c>
      <c r="BE10" s="15">
        <f>CAPEX_AND_DEPRECIATION!BE7</f>
        <v>33624.8117740831</v>
      </c>
      <c r="BF10" s="15">
        <f>CAPEX_AND_DEPRECIATION!BF7</f>
        <v>33064.398244515047</v>
      </c>
      <c r="BG10" s="15">
        <f>CAPEX_AND_DEPRECIATION!BG7</f>
        <v>32513.324940439794</v>
      </c>
      <c r="BH10" s="15">
        <f>CAPEX_AND_DEPRECIATION!BH7</f>
        <v>31971.436191432465</v>
      </c>
      <c r="BI10" s="15">
        <f>CAPEX_AND_DEPRECIATION!BI7</f>
        <v>31438.578921575259</v>
      </c>
      <c r="BJ10" s="15">
        <f>CAPEX_AND_DEPRECIATION!BJ7</f>
        <v>30914.602606215671</v>
      </c>
    </row>
    <row r="11" spans="2:62" x14ac:dyDescent="0.2">
      <c r="B11" t="s">
        <v>126</v>
      </c>
      <c r="C11" s="15">
        <f>C9 - C10</f>
        <v>-764507.7333333334</v>
      </c>
      <c r="D11" s="15">
        <f>D9 - D10</f>
        <v>-762260.22044444457</v>
      </c>
      <c r="E11" s="15">
        <f>E9 - E10</f>
        <v>-759996.55714370369</v>
      </c>
      <c r="F11" s="15">
        <f>F9 - F10</f>
        <v>-757709.63394224213</v>
      </c>
      <c r="G11" s="15">
        <f>G9 - G10</f>
        <v>-755391.84304241533</v>
      </c>
      <c r="H11" s="15">
        <f>H9 - H10</f>
        <v>-753035.01769896643</v>
      </c>
      <c r="I11" s="15">
        <f>I9 - I10</f>
        <v>-750630.36613227276</v>
      </c>
      <c r="J11" s="15">
        <f>J9 - J10</f>
        <v>-748168.39941247366</v>
      </c>
      <c r="K11" s="15">
        <f>K9 - K10</f>
        <v>-745638.85267732106</v>
      </c>
      <c r="L11" s="15">
        <f>L9 - L10</f>
        <v>-743030.59898493893</v>
      </c>
      <c r="M11" s="15">
        <f>M9 - M10</f>
        <v>-740331.55503469799</v>
      </c>
      <c r="N11" s="15">
        <f>N9 - N10</f>
        <v>-737528.5779145672</v>
      </c>
      <c r="O11" s="15">
        <f>O9 - O10</f>
        <v>-801807.35195081274</v>
      </c>
      <c r="P11" s="15">
        <f>P9 - P10</f>
        <v>-798752.26464511885</v>
      </c>
      <c r="Q11" s="15">
        <f>Q9 - Q10</f>
        <v>-795546.27058420726</v>
      </c>
      <c r="R11" s="15">
        <f>R9 - R10</f>
        <v>-792170.74209694623</v>
      </c>
      <c r="S11" s="15">
        <f>S9 - S10</f>
        <v>-788605.3053127795</v>
      </c>
      <c r="T11" s="15">
        <f>T9 - T10</f>
        <v>-784827.66014192277</v>
      </c>
      <c r="U11" s="15">
        <f>U9 - U10</f>
        <v>-780813.38255100162</v>
      </c>
      <c r="V11" s="15">
        <f>V9 - V10</f>
        <v>-776535.70734627382</v>
      </c>
      <c r="W11" s="15">
        <f>W9 - W10</f>
        <v>-771965.28949882486</v>
      </c>
      <c r="X11" s="15">
        <f>X9 - X10</f>
        <v>-767069.94185054849</v>
      </c>
      <c r="Y11" s="15">
        <f>Y9 - Y10</f>
        <v>-761814.34682450991</v>
      </c>
      <c r="Z11" s="15">
        <f>Z9 - Z10</f>
        <v>-756159.73952652339</v>
      </c>
      <c r="AA11" s="15">
        <f>AA9 - AA10</f>
        <v>-823983.55936425447</v>
      </c>
      <c r="AB11" s="15">
        <f>AB9 - AB10</f>
        <v>-817399.06702356564</v>
      </c>
      <c r="AC11" s="15">
        <f>AC9 - AC10</f>
        <v>-810274.92332649848</v>
      </c>
      <c r="AD11" s="15">
        <f>AD9 - AD10</f>
        <v>-802554.7261484022</v>
      </c>
      <c r="AE11" s="15">
        <f>AE9 - AE10</f>
        <v>-794176.50119010813</v>
      </c>
      <c r="AF11" s="15">
        <f>AF9 - AF10</f>
        <v>-785072.14198122383</v>
      </c>
      <c r="AG11" s="15">
        <f>AG9 - AG10</f>
        <v>-775166.79402879486</v>
      </c>
      <c r="AH11" s="15">
        <f>AH9 - AH10</f>
        <v>-764378.17751753191</v>
      </c>
      <c r="AI11" s="15">
        <f>AI9 - AI10</f>
        <v>-752615.84240891051</v>
      </c>
      <c r="AJ11" s="15">
        <f>AJ9 - AJ10</f>
        <v>-739780.34917165339</v>
      </c>
      <c r="AK11" s="15">
        <f>AK9 - AK10</f>
        <v>-725762.36769978702</v>
      </c>
      <c r="AL11" s="15">
        <f>AL9 - AL10</f>
        <v>-710441.6862304958</v>
      </c>
      <c r="AM11" s="15">
        <f>AM9 - AM10</f>
        <v>-774998.121255612</v>
      </c>
      <c r="AN11" s="15">
        <f>AN9 - AN10</f>
        <v>-756662.31852031243</v>
      </c>
      <c r="AO11" s="15">
        <f>AO9 - AO10</f>
        <v>-736586.43421231152</v>
      </c>
      <c r="AP11" s="15">
        <f>AP9 - AP10</f>
        <v>-714594.68435546989</v>
      </c>
      <c r="AQ11" s="15">
        <f>AQ9 - AQ10</f>
        <v>-690493.74922344647</v>
      </c>
      <c r="AR11" s="15">
        <f>AR9 - AR10</f>
        <v>-664071.01827086264</v>
      </c>
      <c r="AS11" s="15">
        <f>AS9 - AS10</f>
        <v>-635092.65962946042</v>
      </c>
      <c r="AT11" s="15">
        <f>AT9 - AT10</f>
        <v>-603301.49662173982</v>
      </c>
      <c r="AU11" s="15">
        <f>AU9 - AU10</f>
        <v>-568414.67199003731</v>
      </c>
      <c r="AV11" s="15">
        <f>AV9 - AV10</f>
        <v>-530121.07860903849</v>
      </c>
      <c r="AW11" s="15">
        <f>AW9 - AW10</f>
        <v>-488078.53332671034</v>
      </c>
      <c r="AX11" s="15">
        <f>AX9 - AX10</f>
        <v>-441910.6682433472</v>
      </c>
      <c r="AY11" s="15">
        <f>AY9 - AY10</f>
        <v>-480646.71116957109</v>
      </c>
      <c r="AZ11" s="15">
        <f>AZ9 - AZ10</f>
        <v>-424944.92417838192</v>
      </c>
      <c r="BA11" s="15">
        <f>BA9 - BA10</f>
        <v>-363747.66605803976</v>
      </c>
      <c r="BB11" s="15">
        <f>BB9 - BB10</f>
        <v>-296504.04105337313</v>
      </c>
      <c r="BC11" s="15">
        <f>BC9 - BC10</f>
        <v>-222608.09252203014</v>
      </c>
      <c r="BD11" s="15">
        <f>BD9 - BD10</f>
        <v>-141393.29599496268</v>
      </c>
      <c r="BE11" s="15">
        <f>BE9 - BE10</f>
        <v>-52126.501579500655</v>
      </c>
      <c r="BF11" s="15">
        <f>BF9 - BF10</f>
        <v>45998.729362680126</v>
      </c>
      <c r="BG11" s="15">
        <f>BG9 - BG10</f>
        <v>153869.45383704058</v>
      </c>
      <c r="BH11" s="15">
        <f>BH9 - BH10</f>
        <v>272461.40976878762</v>
      </c>
      <c r="BI11" s="15">
        <f>BI9 - BI10</f>
        <v>402847.88478135859</v>
      </c>
      <c r="BJ11" s="15">
        <f>BJ9 - BJ10</f>
        <v>546209.47182490223</v>
      </c>
    </row>
    <row r="12" spans="2:62" x14ac:dyDescent="0.2">
      <c r="B12" t="s">
        <v>127</v>
      </c>
      <c r="C12" s="15">
        <f>(5000000 * 0.12) / 12</f>
        <v>50000</v>
      </c>
      <c r="D12" s="15">
        <f>(5000000 * 0.12) / 12</f>
        <v>50000</v>
      </c>
      <c r="E12" s="15">
        <f>(5000000 * 0.12) / 12</f>
        <v>50000</v>
      </c>
      <c r="F12" s="15">
        <f>(5000000 * 0.12) / 12</f>
        <v>50000</v>
      </c>
      <c r="G12" s="15">
        <f>(5000000 * 0.12) / 12</f>
        <v>50000</v>
      </c>
      <c r="H12" s="15">
        <f>(5000000 * 0.12) / 12</f>
        <v>50000</v>
      </c>
      <c r="I12" s="15">
        <f>(5000000 * 0.12) / 12</f>
        <v>50000</v>
      </c>
      <c r="J12" s="15">
        <f>(5000000 * 0.12) / 12</f>
        <v>50000</v>
      </c>
      <c r="K12" s="15">
        <f>(5000000 * 0.12) / 12</f>
        <v>50000</v>
      </c>
      <c r="L12" s="15">
        <f>(5000000 * 0.12) / 12</f>
        <v>50000</v>
      </c>
      <c r="M12" s="15">
        <f>(5000000 * 0.12) / 12</f>
        <v>50000</v>
      </c>
      <c r="N12" s="15">
        <f>(5000000 * 0.12) / 12</f>
        <v>50000</v>
      </c>
      <c r="O12" s="15">
        <f>(5000000 * 0.12) / 12</f>
        <v>50000</v>
      </c>
      <c r="P12" s="15">
        <f>(5000000 * 0.12) / 12</f>
        <v>50000</v>
      </c>
      <c r="Q12" s="15">
        <f>(5000000 * 0.12) / 12</f>
        <v>50000</v>
      </c>
      <c r="R12" s="15">
        <f>(5000000 * 0.12) / 12</f>
        <v>50000</v>
      </c>
      <c r="S12" s="15">
        <f>(5000000 * 0.12) / 12</f>
        <v>50000</v>
      </c>
      <c r="T12" s="15">
        <f>(5000000 * 0.12) / 12</f>
        <v>50000</v>
      </c>
      <c r="U12" s="15">
        <f>(5000000 * 0.12) / 12</f>
        <v>50000</v>
      </c>
      <c r="V12" s="15">
        <f>(5000000 * 0.12) / 12</f>
        <v>50000</v>
      </c>
      <c r="W12" s="15">
        <f>(5000000 * 0.12) / 12</f>
        <v>50000</v>
      </c>
      <c r="X12" s="15">
        <f>(5000000 * 0.12) / 12</f>
        <v>50000</v>
      </c>
      <c r="Y12" s="15">
        <f>(5000000 * 0.12) / 12</f>
        <v>50000</v>
      </c>
      <c r="Z12" s="15">
        <f>(5000000 * 0.12) / 12</f>
        <v>50000</v>
      </c>
      <c r="AA12" s="15">
        <f>(5000000 * 0.12) / 12</f>
        <v>50000</v>
      </c>
      <c r="AB12" s="15">
        <f>(5000000 * 0.12) / 12</f>
        <v>50000</v>
      </c>
      <c r="AC12" s="15">
        <f>(5000000 * 0.12) / 12</f>
        <v>50000</v>
      </c>
      <c r="AD12" s="15">
        <f>(5000000 * 0.12) / 12</f>
        <v>50000</v>
      </c>
      <c r="AE12" s="15">
        <f>(5000000 * 0.12) / 12</f>
        <v>50000</v>
      </c>
      <c r="AF12" s="15">
        <f>(5000000 * 0.12) / 12</f>
        <v>50000</v>
      </c>
      <c r="AG12" s="15">
        <f>(5000000 * 0.12) / 12</f>
        <v>50000</v>
      </c>
      <c r="AH12" s="15">
        <f>(5000000 * 0.12) / 12</f>
        <v>50000</v>
      </c>
      <c r="AI12" s="15">
        <f>(5000000 * 0.12) / 12</f>
        <v>50000</v>
      </c>
      <c r="AJ12" s="15">
        <f>(5000000 * 0.12) / 12</f>
        <v>50000</v>
      </c>
      <c r="AK12" s="15">
        <f>(5000000 * 0.12) / 12</f>
        <v>50000</v>
      </c>
      <c r="AL12" s="15">
        <f>(5000000 * 0.12) / 12</f>
        <v>50000</v>
      </c>
      <c r="AM12" s="15">
        <f>(5000000 * 0.12) / 12</f>
        <v>50000</v>
      </c>
      <c r="AN12" s="15">
        <f>(5000000 * 0.12) / 12</f>
        <v>50000</v>
      </c>
      <c r="AO12" s="15">
        <f>(5000000 * 0.12) / 12</f>
        <v>50000</v>
      </c>
      <c r="AP12" s="15">
        <f>(5000000 * 0.12) / 12</f>
        <v>50000</v>
      </c>
      <c r="AQ12" s="15">
        <f>(5000000 * 0.12) / 12</f>
        <v>50000</v>
      </c>
      <c r="AR12" s="15">
        <f>(5000000 * 0.12) / 12</f>
        <v>50000</v>
      </c>
      <c r="AS12" s="15">
        <f>(5000000 * 0.12) / 12</f>
        <v>50000</v>
      </c>
      <c r="AT12" s="15">
        <f>(5000000 * 0.12) / 12</f>
        <v>50000</v>
      </c>
      <c r="AU12" s="15">
        <f>(5000000 * 0.12) / 12</f>
        <v>50000</v>
      </c>
      <c r="AV12" s="15">
        <f>(5000000 * 0.12) / 12</f>
        <v>50000</v>
      </c>
      <c r="AW12" s="15">
        <f>(5000000 * 0.12) / 12</f>
        <v>50000</v>
      </c>
      <c r="AX12" s="15">
        <f>(5000000 * 0.12) / 12</f>
        <v>50000</v>
      </c>
      <c r="AY12" s="15">
        <f>(5000000 * 0.12) / 12</f>
        <v>50000</v>
      </c>
      <c r="AZ12" s="15">
        <f>(5000000 * 0.12) / 12</f>
        <v>50000</v>
      </c>
      <c r="BA12" s="15">
        <f>(5000000 * 0.12) / 12</f>
        <v>50000</v>
      </c>
      <c r="BB12" s="15">
        <f>(5000000 * 0.12) / 12</f>
        <v>50000</v>
      </c>
      <c r="BC12" s="15">
        <f>(5000000 * 0.12) / 12</f>
        <v>50000</v>
      </c>
      <c r="BD12" s="15">
        <f>(5000000 * 0.12) / 12</f>
        <v>50000</v>
      </c>
      <c r="BE12" s="15">
        <f>(5000000 * 0.12) / 12</f>
        <v>50000</v>
      </c>
      <c r="BF12" s="15">
        <f>(5000000 * 0.12) / 12</f>
        <v>50000</v>
      </c>
      <c r="BG12" s="15">
        <f>(5000000 * 0.12) / 12</f>
        <v>50000</v>
      </c>
      <c r="BH12" s="15">
        <f>(5000000 * 0.12) / 12</f>
        <v>50000</v>
      </c>
      <c r="BI12" s="15">
        <f>(5000000 * 0.12) / 12</f>
        <v>50000</v>
      </c>
      <c r="BJ12" s="15">
        <f>(5000000 * 0.12) / 12</f>
        <v>50000</v>
      </c>
    </row>
    <row r="13" spans="2:62" x14ac:dyDescent="0.2">
      <c r="B13" t="s">
        <v>128</v>
      </c>
      <c r="C13" s="15">
        <f>C11 - C12</f>
        <v>-814507.7333333334</v>
      </c>
      <c r="D13" s="15">
        <f>D11 - D12</f>
        <v>-812260.22044444457</v>
      </c>
      <c r="E13" s="15">
        <f>E11 - E12</f>
        <v>-809996.55714370369</v>
      </c>
      <c r="F13" s="15">
        <f>F11 - F12</f>
        <v>-807709.63394224213</v>
      </c>
      <c r="G13" s="15">
        <f>G11 - G12</f>
        <v>-805391.84304241533</v>
      </c>
      <c r="H13" s="15">
        <f>H11 - H12</f>
        <v>-803035.01769896643</v>
      </c>
      <c r="I13" s="15">
        <f>I11 - I12</f>
        <v>-800630.36613227276</v>
      </c>
      <c r="J13" s="15">
        <f>J11 - J12</f>
        <v>-798168.39941247366</v>
      </c>
      <c r="K13" s="15">
        <f>K11 - K12</f>
        <v>-795638.85267732106</v>
      </c>
      <c r="L13" s="15">
        <f>L11 - L12</f>
        <v>-793030.59898493893</v>
      </c>
      <c r="M13" s="15">
        <f>M11 - M12</f>
        <v>-790331.55503469799</v>
      </c>
      <c r="N13" s="15">
        <f>N11 - N12</f>
        <v>-787528.5779145672</v>
      </c>
      <c r="O13" s="15">
        <f>O11 - O12</f>
        <v>-851807.35195081274</v>
      </c>
      <c r="P13" s="15">
        <f>P11 - P12</f>
        <v>-848752.26464511885</v>
      </c>
      <c r="Q13" s="15">
        <f>Q11 - Q12</f>
        <v>-845546.27058420726</v>
      </c>
      <c r="R13" s="15">
        <f>R11 - R12</f>
        <v>-842170.74209694623</v>
      </c>
      <c r="S13" s="15">
        <f>S11 - S12</f>
        <v>-838605.3053127795</v>
      </c>
      <c r="T13" s="15">
        <f>T11 - T12</f>
        <v>-834827.66014192277</v>
      </c>
      <c r="U13" s="15">
        <f>U11 - U12</f>
        <v>-830813.38255100162</v>
      </c>
      <c r="V13" s="15">
        <f>V11 - V12</f>
        <v>-826535.70734627382</v>
      </c>
      <c r="W13" s="15">
        <f>W11 - W12</f>
        <v>-821965.28949882486</v>
      </c>
      <c r="X13" s="15">
        <f>X11 - X12</f>
        <v>-817069.94185054849</v>
      </c>
      <c r="Y13" s="15">
        <f>Y11 - Y12</f>
        <v>-811814.34682450991</v>
      </c>
      <c r="Z13" s="15">
        <f>Z11 - Z12</f>
        <v>-806159.73952652339</v>
      </c>
      <c r="AA13" s="15">
        <f>AA11 - AA12</f>
        <v>-873983.55936425447</v>
      </c>
      <c r="AB13" s="15">
        <f>AB11 - AB12</f>
        <v>-867399.06702356564</v>
      </c>
      <c r="AC13" s="15">
        <f>AC11 - AC12</f>
        <v>-860274.92332649848</v>
      </c>
      <c r="AD13" s="15">
        <f>AD11 - AD12</f>
        <v>-852554.7261484022</v>
      </c>
      <c r="AE13" s="15">
        <f>AE11 - AE12</f>
        <v>-844176.50119010813</v>
      </c>
      <c r="AF13" s="15">
        <f>AF11 - AF12</f>
        <v>-835072.14198122383</v>
      </c>
      <c r="AG13" s="15">
        <f>AG11 - AG12</f>
        <v>-825166.79402879486</v>
      </c>
      <c r="AH13" s="15">
        <f>AH11 - AH12</f>
        <v>-814378.17751753191</v>
      </c>
      <c r="AI13" s="15">
        <f>AI11 - AI12</f>
        <v>-802615.84240891051</v>
      </c>
      <c r="AJ13" s="15">
        <f>AJ11 - AJ12</f>
        <v>-789780.34917165339</v>
      </c>
      <c r="AK13" s="15">
        <f>AK11 - AK12</f>
        <v>-775762.36769978702</v>
      </c>
      <c r="AL13" s="15">
        <f>AL11 - AL12</f>
        <v>-760441.6862304958</v>
      </c>
      <c r="AM13" s="15">
        <f>AM11 - AM12</f>
        <v>-824998.121255612</v>
      </c>
      <c r="AN13" s="15">
        <f>AN11 - AN12</f>
        <v>-806662.31852031243</v>
      </c>
      <c r="AO13" s="15">
        <f>AO11 - AO12</f>
        <v>-786586.43421231152</v>
      </c>
      <c r="AP13" s="15">
        <f>AP11 - AP12</f>
        <v>-764594.68435546989</v>
      </c>
      <c r="AQ13" s="15">
        <f>AQ11 - AQ12</f>
        <v>-740493.74922344647</v>
      </c>
      <c r="AR13" s="15">
        <f>AR11 - AR12</f>
        <v>-714071.01827086264</v>
      </c>
      <c r="AS13" s="15">
        <f>AS11 - AS12</f>
        <v>-685092.65962946042</v>
      </c>
      <c r="AT13" s="15">
        <f>AT11 - AT12</f>
        <v>-653301.49662173982</v>
      </c>
      <c r="AU13" s="15">
        <f>AU11 - AU12</f>
        <v>-618414.67199003731</v>
      </c>
      <c r="AV13" s="15">
        <f>AV11 - AV12</f>
        <v>-580121.07860903849</v>
      </c>
      <c r="AW13" s="15">
        <f>AW11 - AW12</f>
        <v>-538078.53332671034</v>
      </c>
      <c r="AX13" s="15">
        <f>AX11 - AX12</f>
        <v>-491910.6682433472</v>
      </c>
      <c r="AY13" s="15">
        <f>AY11 - AY12</f>
        <v>-530646.71116957115</v>
      </c>
      <c r="AZ13" s="15">
        <f>AZ11 - AZ12</f>
        <v>-474944.92417838192</v>
      </c>
      <c r="BA13" s="15">
        <f>BA11 - BA12</f>
        <v>-413747.66605803976</v>
      </c>
      <c r="BB13" s="15">
        <f>BB11 - BB12</f>
        <v>-346504.04105337313</v>
      </c>
      <c r="BC13" s="15">
        <f>BC11 - BC12</f>
        <v>-272608.09252203011</v>
      </c>
      <c r="BD13" s="15">
        <f>BD11 - BD12</f>
        <v>-191393.29599496268</v>
      </c>
      <c r="BE13" s="15">
        <f>BE11 - BE12</f>
        <v>-102126.50157950065</v>
      </c>
      <c r="BF13" s="15">
        <f>BF11 - BF12</f>
        <v>-4001.2706373198744</v>
      </c>
      <c r="BG13" s="15">
        <f>BG11 - BG12</f>
        <v>103869.45383704058</v>
      </c>
      <c r="BH13" s="15">
        <f>BH11 - BH12</f>
        <v>222461.40976878762</v>
      </c>
      <c r="BI13" s="15">
        <f>BI11 - BI12</f>
        <v>352847.88478135859</v>
      </c>
      <c r="BJ13" s="15">
        <f>BJ11 - BJ12</f>
        <v>496209.47182490223</v>
      </c>
    </row>
    <row r="14" spans="2:62" x14ac:dyDescent="0.2">
      <c r="B14" t="s">
        <v>129</v>
      </c>
      <c r="C14" s="15">
        <f>IF(INDEX(ASSUMPTIONS!$C$7:$E$7, 1, MATCH(ASSUMPTIONS!$C$2, ASSUMPTIONS!$C$4:$E$4, 0))=1, 0, MAX(0, C13 * INDEX(ASSUMPTIONS!$C$6:$E$6, 1, MATCH(ASSUMPTIONS!$C$2, ASSUMPTIONS!$C$4:$E$4, 0))))</f>
        <v>0</v>
      </c>
      <c r="D14" s="15">
        <f>IF(INDEX(ASSUMPTIONS!$C$7:$E$7, 1, MATCH(ASSUMPTIONS!$C$2, ASSUMPTIONS!$C$4:$E$4, 0))=1, 0, MAX(0, D13 * INDEX(ASSUMPTIONS!$C$6:$E$6, 1, MATCH(ASSUMPTIONS!$C$2, ASSUMPTIONS!$C$4:$E$4, 0))))</f>
        <v>0</v>
      </c>
      <c r="E14" s="15">
        <f>IF(INDEX(ASSUMPTIONS!$C$7:$E$7, 1, MATCH(ASSUMPTIONS!$C$2, ASSUMPTIONS!$C$4:$E$4, 0))=1, 0, MAX(0, E13 * INDEX(ASSUMPTIONS!$C$6:$E$6, 1, MATCH(ASSUMPTIONS!$C$2, ASSUMPTIONS!$C$4:$E$4, 0))))</f>
        <v>0</v>
      </c>
      <c r="F14" s="15">
        <f>IF(INDEX(ASSUMPTIONS!$C$7:$E$7, 1, MATCH(ASSUMPTIONS!$C$2, ASSUMPTIONS!$C$4:$E$4, 0))=1, 0, MAX(0, F13 * INDEX(ASSUMPTIONS!$C$6:$E$6, 1, MATCH(ASSUMPTIONS!$C$2, ASSUMPTIONS!$C$4:$E$4, 0))))</f>
        <v>0</v>
      </c>
      <c r="G14" s="15">
        <f>IF(INDEX(ASSUMPTIONS!$C$7:$E$7, 1, MATCH(ASSUMPTIONS!$C$2, ASSUMPTIONS!$C$4:$E$4, 0))=1, 0, MAX(0, G13 * INDEX(ASSUMPTIONS!$C$6:$E$6, 1, MATCH(ASSUMPTIONS!$C$2, ASSUMPTIONS!$C$4:$E$4, 0))))</f>
        <v>0</v>
      </c>
      <c r="H14" s="15">
        <f>IF(INDEX(ASSUMPTIONS!$C$7:$E$7, 1, MATCH(ASSUMPTIONS!$C$2, ASSUMPTIONS!$C$4:$E$4, 0))=1, 0, MAX(0, H13 * INDEX(ASSUMPTIONS!$C$6:$E$6, 1, MATCH(ASSUMPTIONS!$C$2, ASSUMPTIONS!$C$4:$E$4, 0))))</f>
        <v>0</v>
      </c>
      <c r="I14" s="15">
        <f>IF(INDEX(ASSUMPTIONS!$C$7:$E$7, 1, MATCH(ASSUMPTIONS!$C$2, ASSUMPTIONS!$C$4:$E$4, 0))=1, 0, MAX(0, I13 * INDEX(ASSUMPTIONS!$C$6:$E$6, 1, MATCH(ASSUMPTIONS!$C$2, ASSUMPTIONS!$C$4:$E$4, 0))))</f>
        <v>0</v>
      </c>
      <c r="J14" s="15">
        <f>IF(INDEX(ASSUMPTIONS!$C$7:$E$7, 1, MATCH(ASSUMPTIONS!$C$2, ASSUMPTIONS!$C$4:$E$4, 0))=1, 0, MAX(0, J13 * INDEX(ASSUMPTIONS!$C$6:$E$6, 1, MATCH(ASSUMPTIONS!$C$2, ASSUMPTIONS!$C$4:$E$4, 0))))</f>
        <v>0</v>
      </c>
      <c r="K14" s="15">
        <f>IF(INDEX(ASSUMPTIONS!$C$7:$E$7, 1, MATCH(ASSUMPTIONS!$C$2, ASSUMPTIONS!$C$4:$E$4, 0))=1, 0, MAX(0, K13 * INDEX(ASSUMPTIONS!$C$6:$E$6, 1, MATCH(ASSUMPTIONS!$C$2, ASSUMPTIONS!$C$4:$E$4, 0))))</f>
        <v>0</v>
      </c>
      <c r="L14" s="15">
        <f>IF(INDEX(ASSUMPTIONS!$C$7:$E$7, 1, MATCH(ASSUMPTIONS!$C$2, ASSUMPTIONS!$C$4:$E$4, 0))=1, 0, MAX(0, L13 * INDEX(ASSUMPTIONS!$C$6:$E$6, 1, MATCH(ASSUMPTIONS!$C$2, ASSUMPTIONS!$C$4:$E$4, 0))))</f>
        <v>0</v>
      </c>
      <c r="M14" s="15">
        <f>IF(INDEX(ASSUMPTIONS!$C$7:$E$7, 1, MATCH(ASSUMPTIONS!$C$2, ASSUMPTIONS!$C$4:$E$4, 0))=1, 0, MAX(0, M13 * INDEX(ASSUMPTIONS!$C$6:$E$6, 1, MATCH(ASSUMPTIONS!$C$2, ASSUMPTIONS!$C$4:$E$4, 0))))</f>
        <v>0</v>
      </c>
      <c r="N14" s="15">
        <f>IF(INDEX(ASSUMPTIONS!$C$7:$E$7, 1, MATCH(ASSUMPTIONS!$C$2, ASSUMPTIONS!$C$4:$E$4, 0))=1, 0, MAX(0, N13 * INDEX(ASSUMPTIONS!$C$6:$E$6, 1, MATCH(ASSUMPTIONS!$C$2, ASSUMPTIONS!$C$4:$E$4, 0))))</f>
        <v>0</v>
      </c>
      <c r="O14" s="15">
        <f>IF(INDEX(ASSUMPTIONS!$C$7:$E$7, 1, MATCH(ASSUMPTIONS!$C$2, ASSUMPTIONS!$C$4:$E$4, 0))=1, 0, MAX(0, O13 * INDEX(ASSUMPTIONS!$C$6:$E$6, 1, MATCH(ASSUMPTIONS!$C$2, ASSUMPTIONS!$C$4:$E$4, 0))))</f>
        <v>0</v>
      </c>
      <c r="P14" s="15">
        <f>IF(INDEX(ASSUMPTIONS!$C$7:$E$7, 1, MATCH(ASSUMPTIONS!$C$2, ASSUMPTIONS!$C$4:$E$4, 0))=1, 0, MAX(0, P13 * INDEX(ASSUMPTIONS!$C$6:$E$6, 1, MATCH(ASSUMPTIONS!$C$2, ASSUMPTIONS!$C$4:$E$4, 0))))</f>
        <v>0</v>
      </c>
      <c r="Q14" s="15">
        <f>IF(INDEX(ASSUMPTIONS!$C$7:$E$7, 1, MATCH(ASSUMPTIONS!$C$2, ASSUMPTIONS!$C$4:$E$4, 0))=1, 0, MAX(0, Q13 * INDEX(ASSUMPTIONS!$C$6:$E$6, 1, MATCH(ASSUMPTIONS!$C$2, ASSUMPTIONS!$C$4:$E$4, 0))))</f>
        <v>0</v>
      </c>
      <c r="R14" s="15">
        <f>IF(INDEX(ASSUMPTIONS!$C$7:$E$7, 1, MATCH(ASSUMPTIONS!$C$2, ASSUMPTIONS!$C$4:$E$4, 0))=1, 0, MAX(0, R13 * INDEX(ASSUMPTIONS!$C$6:$E$6, 1, MATCH(ASSUMPTIONS!$C$2, ASSUMPTIONS!$C$4:$E$4, 0))))</f>
        <v>0</v>
      </c>
      <c r="S14" s="15">
        <f>IF(INDEX(ASSUMPTIONS!$C$7:$E$7, 1, MATCH(ASSUMPTIONS!$C$2, ASSUMPTIONS!$C$4:$E$4, 0))=1, 0, MAX(0, S13 * INDEX(ASSUMPTIONS!$C$6:$E$6, 1, MATCH(ASSUMPTIONS!$C$2, ASSUMPTIONS!$C$4:$E$4, 0))))</f>
        <v>0</v>
      </c>
      <c r="T14" s="15">
        <f>IF(INDEX(ASSUMPTIONS!$C$7:$E$7, 1, MATCH(ASSUMPTIONS!$C$2, ASSUMPTIONS!$C$4:$E$4, 0))=1, 0, MAX(0, T13 * INDEX(ASSUMPTIONS!$C$6:$E$6, 1, MATCH(ASSUMPTIONS!$C$2, ASSUMPTIONS!$C$4:$E$4, 0))))</f>
        <v>0</v>
      </c>
      <c r="U14" s="15">
        <f>IF(INDEX(ASSUMPTIONS!$C$7:$E$7, 1, MATCH(ASSUMPTIONS!$C$2, ASSUMPTIONS!$C$4:$E$4, 0))=1, 0, MAX(0, U13 * INDEX(ASSUMPTIONS!$C$6:$E$6, 1, MATCH(ASSUMPTIONS!$C$2, ASSUMPTIONS!$C$4:$E$4, 0))))</f>
        <v>0</v>
      </c>
      <c r="V14" s="15">
        <f>IF(INDEX(ASSUMPTIONS!$C$7:$E$7, 1, MATCH(ASSUMPTIONS!$C$2, ASSUMPTIONS!$C$4:$E$4, 0))=1, 0, MAX(0, V13 * INDEX(ASSUMPTIONS!$C$6:$E$6, 1, MATCH(ASSUMPTIONS!$C$2, ASSUMPTIONS!$C$4:$E$4, 0))))</f>
        <v>0</v>
      </c>
      <c r="W14" s="15">
        <f>IF(INDEX(ASSUMPTIONS!$C$7:$E$7, 1, MATCH(ASSUMPTIONS!$C$2, ASSUMPTIONS!$C$4:$E$4, 0))=1, 0, MAX(0, W13 * INDEX(ASSUMPTIONS!$C$6:$E$6, 1, MATCH(ASSUMPTIONS!$C$2, ASSUMPTIONS!$C$4:$E$4, 0))))</f>
        <v>0</v>
      </c>
      <c r="X14" s="15">
        <f>IF(INDEX(ASSUMPTIONS!$C$7:$E$7, 1, MATCH(ASSUMPTIONS!$C$2, ASSUMPTIONS!$C$4:$E$4, 0))=1, 0, MAX(0, X13 * INDEX(ASSUMPTIONS!$C$6:$E$6, 1, MATCH(ASSUMPTIONS!$C$2, ASSUMPTIONS!$C$4:$E$4, 0))))</f>
        <v>0</v>
      </c>
      <c r="Y14" s="15">
        <f>IF(INDEX(ASSUMPTIONS!$C$7:$E$7, 1, MATCH(ASSUMPTIONS!$C$2, ASSUMPTIONS!$C$4:$E$4, 0))=1, 0, MAX(0, Y13 * INDEX(ASSUMPTIONS!$C$6:$E$6, 1, MATCH(ASSUMPTIONS!$C$2, ASSUMPTIONS!$C$4:$E$4, 0))))</f>
        <v>0</v>
      </c>
      <c r="Z14" s="15">
        <f>IF(INDEX(ASSUMPTIONS!$C$7:$E$7, 1, MATCH(ASSUMPTIONS!$C$2, ASSUMPTIONS!$C$4:$E$4, 0))=1, 0, MAX(0, Z13 * INDEX(ASSUMPTIONS!$C$6:$E$6, 1, MATCH(ASSUMPTIONS!$C$2, ASSUMPTIONS!$C$4:$E$4, 0))))</f>
        <v>0</v>
      </c>
      <c r="AA14" s="15">
        <f>IF(INDEX(ASSUMPTIONS!$C$7:$E$7, 1, MATCH(ASSUMPTIONS!$C$2, ASSUMPTIONS!$C$4:$E$4, 0))=1, 0, MAX(0, AA13 * INDEX(ASSUMPTIONS!$C$6:$E$6, 1, MATCH(ASSUMPTIONS!$C$2, ASSUMPTIONS!$C$4:$E$4, 0))))</f>
        <v>0</v>
      </c>
      <c r="AB14" s="15">
        <f>IF(INDEX(ASSUMPTIONS!$C$7:$E$7, 1, MATCH(ASSUMPTIONS!$C$2, ASSUMPTIONS!$C$4:$E$4, 0))=1, 0, MAX(0, AB13 * INDEX(ASSUMPTIONS!$C$6:$E$6, 1, MATCH(ASSUMPTIONS!$C$2, ASSUMPTIONS!$C$4:$E$4, 0))))</f>
        <v>0</v>
      </c>
      <c r="AC14" s="15">
        <f>IF(INDEX(ASSUMPTIONS!$C$7:$E$7, 1, MATCH(ASSUMPTIONS!$C$2, ASSUMPTIONS!$C$4:$E$4, 0))=1, 0, MAX(0, AC13 * INDEX(ASSUMPTIONS!$C$6:$E$6, 1, MATCH(ASSUMPTIONS!$C$2, ASSUMPTIONS!$C$4:$E$4, 0))))</f>
        <v>0</v>
      </c>
      <c r="AD14" s="15">
        <f>IF(INDEX(ASSUMPTIONS!$C$7:$E$7, 1, MATCH(ASSUMPTIONS!$C$2, ASSUMPTIONS!$C$4:$E$4, 0))=1, 0, MAX(0, AD13 * INDEX(ASSUMPTIONS!$C$6:$E$6, 1, MATCH(ASSUMPTIONS!$C$2, ASSUMPTIONS!$C$4:$E$4, 0))))</f>
        <v>0</v>
      </c>
      <c r="AE14" s="15">
        <f>IF(INDEX(ASSUMPTIONS!$C$7:$E$7, 1, MATCH(ASSUMPTIONS!$C$2, ASSUMPTIONS!$C$4:$E$4, 0))=1, 0, MAX(0, AE13 * INDEX(ASSUMPTIONS!$C$6:$E$6, 1, MATCH(ASSUMPTIONS!$C$2, ASSUMPTIONS!$C$4:$E$4, 0))))</f>
        <v>0</v>
      </c>
      <c r="AF14" s="15">
        <f>IF(INDEX(ASSUMPTIONS!$C$7:$E$7, 1, MATCH(ASSUMPTIONS!$C$2, ASSUMPTIONS!$C$4:$E$4, 0))=1, 0, MAX(0, AF13 * INDEX(ASSUMPTIONS!$C$6:$E$6, 1, MATCH(ASSUMPTIONS!$C$2, ASSUMPTIONS!$C$4:$E$4, 0))))</f>
        <v>0</v>
      </c>
      <c r="AG14" s="15">
        <f>IF(INDEX(ASSUMPTIONS!$C$7:$E$7, 1, MATCH(ASSUMPTIONS!$C$2, ASSUMPTIONS!$C$4:$E$4, 0))=1, 0, MAX(0, AG13 * INDEX(ASSUMPTIONS!$C$6:$E$6, 1, MATCH(ASSUMPTIONS!$C$2, ASSUMPTIONS!$C$4:$E$4, 0))))</f>
        <v>0</v>
      </c>
      <c r="AH14" s="15">
        <f>IF(INDEX(ASSUMPTIONS!$C$7:$E$7, 1, MATCH(ASSUMPTIONS!$C$2, ASSUMPTIONS!$C$4:$E$4, 0))=1, 0, MAX(0, AH13 * INDEX(ASSUMPTIONS!$C$6:$E$6, 1, MATCH(ASSUMPTIONS!$C$2, ASSUMPTIONS!$C$4:$E$4, 0))))</f>
        <v>0</v>
      </c>
      <c r="AI14" s="15">
        <f>IF(INDEX(ASSUMPTIONS!$C$7:$E$7, 1, MATCH(ASSUMPTIONS!$C$2, ASSUMPTIONS!$C$4:$E$4, 0))=1, 0, MAX(0, AI13 * INDEX(ASSUMPTIONS!$C$6:$E$6, 1, MATCH(ASSUMPTIONS!$C$2, ASSUMPTIONS!$C$4:$E$4, 0))))</f>
        <v>0</v>
      </c>
      <c r="AJ14" s="15">
        <f>IF(INDEX(ASSUMPTIONS!$C$7:$E$7, 1, MATCH(ASSUMPTIONS!$C$2, ASSUMPTIONS!$C$4:$E$4, 0))=1, 0, MAX(0, AJ13 * INDEX(ASSUMPTIONS!$C$6:$E$6, 1, MATCH(ASSUMPTIONS!$C$2, ASSUMPTIONS!$C$4:$E$4, 0))))</f>
        <v>0</v>
      </c>
      <c r="AK14" s="15">
        <f>IF(INDEX(ASSUMPTIONS!$C$7:$E$7, 1, MATCH(ASSUMPTIONS!$C$2, ASSUMPTIONS!$C$4:$E$4, 0))=1, 0, MAX(0, AK13 * INDEX(ASSUMPTIONS!$C$6:$E$6, 1, MATCH(ASSUMPTIONS!$C$2, ASSUMPTIONS!$C$4:$E$4, 0))))</f>
        <v>0</v>
      </c>
      <c r="AL14" s="15">
        <f>IF(INDEX(ASSUMPTIONS!$C$7:$E$7, 1, MATCH(ASSUMPTIONS!$C$2, ASSUMPTIONS!$C$4:$E$4, 0))=1, 0, MAX(0, AL13 * INDEX(ASSUMPTIONS!$C$6:$E$6, 1, MATCH(ASSUMPTIONS!$C$2, ASSUMPTIONS!$C$4:$E$4, 0))))</f>
        <v>0</v>
      </c>
      <c r="AM14" s="15">
        <f>MAX(0, AM13 * INDEX(ASSUMPTIONS!$C$6:$E$6, 1, MATCH(ASSUMPTIONS!$C$2, ASSUMPTIONS!$C$4:$E$4, 0)))</f>
        <v>0</v>
      </c>
      <c r="AN14" s="15">
        <f>MAX(0, AN13 * INDEX(ASSUMPTIONS!$C$6:$E$6, 1, MATCH(ASSUMPTIONS!$C$2, ASSUMPTIONS!$C$4:$E$4, 0)))</f>
        <v>0</v>
      </c>
      <c r="AO14" s="15">
        <f>MAX(0, AO13 * INDEX(ASSUMPTIONS!$C$6:$E$6, 1, MATCH(ASSUMPTIONS!$C$2, ASSUMPTIONS!$C$4:$E$4, 0)))</f>
        <v>0</v>
      </c>
      <c r="AP14" s="15">
        <f>MAX(0, AP13 * INDEX(ASSUMPTIONS!$C$6:$E$6, 1, MATCH(ASSUMPTIONS!$C$2, ASSUMPTIONS!$C$4:$E$4, 0)))</f>
        <v>0</v>
      </c>
      <c r="AQ14" s="15">
        <f>MAX(0, AQ13 * INDEX(ASSUMPTIONS!$C$6:$E$6, 1, MATCH(ASSUMPTIONS!$C$2, ASSUMPTIONS!$C$4:$E$4, 0)))</f>
        <v>0</v>
      </c>
      <c r="AR14" s="15">
        <f>MAX(0, AR13 * INDEX(ASSUMPTIONS!$C$6:$E$6, 1, MATCH(ASSUMPTIONS!$C$2, ASSUMPTIONS!$C$4:$E$4, 0)))</f>
        <v>0</v>
      </c>
      <c r="AS14" s="15">
        <f>MAX(0, AS13 * INDEX(ASSUMPTIONS!$C$6:$E$6, 1, MATCH(ASSUMPTIONS!$C$2, ASSUMPTIONS!$C$4:$E$4, 0)))</f>
        <v>0</v>
      </c>
      <c r="AT14" s="15">
        <f>MAX(0, AT13 * INDEX(ASSUMPTIONS!$C$6:$E$6, 1, MATCH(ASSUMPTIONS!$C$2, ASSUMPTIONS!$C$4:$E$4, 0)))</f>
        <v>0</v>
      </c>
      <c r="AU14" s="15">
        <f>MAX(0, AU13 * INDEX(ASSUMPTIONS!$C$6:$E$6, 1, MATCH(ASSUMPTIONS!$C$2, ASSUMPTIONS!$C$4:$E$4, 0)))</f>
        <v>0</v>
      </c>
      <c r="AV14" s="15">
        <f>MAX(0, AV13 * INDEX(ASSUMPTIONS!$C$6:$E$6, 1, MATCH(ASSUMPTIONS!$C$2, ASSUMPTIONS!$C$4:$E$4, 0)))</f>
        <v>0</v>
      </c>
      <c r="AW14" s="15">
        <f>MAX(0, AW13 * INDEX(ASSUMPTIONS!$C$6:$E$6, 1, MATCH(ASSUMPTIONS!$C$2, ASSUMPTIONS!$C$4:$E$4, 0)))</f>
        <v>0</v>
      </c>
      <c r="AX14" s="15">
        <f>MAX(0, AX13 * INDEX(ASSUMPTIONS!$C$6:$E$6, 1, MATCH(ASSUMPTIONS!$C$2, ASSUMPTIONS!$C$4:$E$4, 0)))</f>
        <v>0</v>
      </c>
      <c r="AY14" s="15">
        <f>MAX(0, AY13 * INDEX(ASSUMPTIONS!$C$6:$E$6, 1, MATCH(ASSUMPTIONS!$C$2, ASSUMPTIONS!$C$4:$E$4, 0)))</f>
        <v>0</v>
      </c>
      <c r="AZ14" s="15">
        <f>MAX(0, AZ13 * INDEX(ASSUMPTIONS!$C$6:$E$6, 1, MATCH(ASSUMPTIONS!$C$2, ASSUMPTIONS!$C$4:$E$4, 0)))</f>
        <v>0</v>
      </c>
      <c r="BA14" s="15">
        <f>MAX(0, BA13 * INDEX(ASSUMPTIONS!$C$6:$E$6, 1, MATCH(ASSUMPTIONS!$C$2, ASSUMPTIONS!$C$4:$E$4, 0)))</f>
        <v>0</v>
      </c>
      <c r="BB14" s="15">
        <f>MAX(0, BB13 * INDEX(ASSUMPTIONS!$C$6:$E$6, 1, MATCH(ASSUMPTIONS!$C$2, ASSUMPTIONS!$C$4:$E$4, 0)))</f>
        <v>0</v>
      </c>
      <c r="BC14" s="15">
        <f>MAX(0, BC13 * INDEX(ASSUMPTIONS!$C$6:$E$6, 1, MATCH(ASSUMPTIONS!$C$2, ASSUMPTIONS!$C$4:$E$4, 0)))</f>
        <v>0</v>
      </c>
      <c r="BD14" s="15">
        <f>MAX(0, BD13 * INDEX(ASSUMPTIONS!$C$6:$E$6, 1, MATCH(ASSUMPTIONS!$C$2, ASSUMPTIONS!$C$4:$E$4, 0)))</f>
        <v>0</v>
      </c>
      <c r="BE14" s="15">
        <f>MAX(0, BE13 * INDEX(ASSUMPTIONS!$C$6:$E$6, 1, MATCH(ASSUMPTIONS!$C$2, ASSUMPTIONS!$C$4:$E$4, 0)))</f>
        <v>0</v>
      </c>
      <c r="BF14" s="15">
        <f>MAX(0, BF13 * INDEX(ASSUMPTIONS!$C$6:$E$6, 1, MATCH(ASSUMPTIONS!$C$2, ASSUMPTIONS!$C$4:$E$4, 0)))</f>
        <v>0</v>
      </c>
      <c r="BG14" s="15">
        <f>MAX(0, BG13 * INDEX(ASSUMPTIONS!$C$6:$E$6, 1, MATCH(ASSUMPTIONS!$C$2, ASSUMPTIONS!$C$4:$E$4, 0)))</f>
        <v>25967.363459260145</v>
      </c>
      <c r="BH14" s="15">
        <f>MAX(0, BH13 * INDEX(ASSUMPTIONS!$C$6:$E$6, 1, MATCH(ASSUMPTIONS!$C$2, ASSUMPTIONS!$C$4:$E$4, 0)))</f>
        <v>55615.352442196905</v>
      </c>
      <c r="BI14" s="15">
        <f>MAX(0, BI13 * INDEX(ASSUMPTIONS!$C$6:$E$6, 1, MATCH(ASSUMPTIONS!$C$2, ASSUMPTIONS!$C$4:$E$4, 0)))</f>
        <v>88211.971195339647</v>
      </c>
      <c r="BJ14" s="15">
        <f>MAX(0, BJ13 * INDEX(ASSUMPTIONS!$C$6:$E$6, 1, MATCH(ASSUMPTIONS!$C$2, ASSUMPTIONS!$C$4:$E$4, 0)))</f>
        <v>124052.36795622556</v>
      </c>
    </row>
    <row r="15" spans="2:62" x14ac:dyDescent="0.2">
      <c r="B15" s="14" t="s">
        <v>130</v>
      </c>
      <c r="C15" s="15">
        <f>C13 - C14</f>
        <v>-814507.7333333334</v>
      </c>
      <c r="D15" s="15">
        <f>D13 - D14</f>
        <v>-812260.22044444457</v>
      </c>
      <c r="E15" s="15">
        <f>E13 - E14</f>
        <v>-809996.55714370369</v>
      </c>
      <c r="F15" s="15">
        <f>F13 - F14</f>
        <v>-807709.63394224213</v>
      </c>
      <c r="G15" s="15">
        <f>G13 - G14</f>
        <v>-805391.84304241533</v>
      </c>
      <c r="H15" s="15">
        <f>H13 - H14</f>
        <v>-803035.01769896643</v>
      </c>
      <c r="I15" s="15">
        <f>I13 - I14</f>
        <v>-800630.36613227276</v>
      </c>
      <c r="J15" s="15">
        <f>J13 - J14</f>
        <v>-798168.39941247366</v>
      </c>
      <c r="K15" s="15">
        <f>K13 - K14</f>
        <v>-795638.85267732106</v>
      </c>
      <c r="L15" s="15">
        <f>L13 - L14</f>
        <v>-793030.59898493893</v>
      </c>
      <c r="M15" s="15">
        <f>M13 - M14</f>
        <v>-790331.55503469799</v>
      </c>
      <c r="N15" s="15">
        <f>N13 - N14</f>
        <v>-787528.5779145672</v>
      </c>
      <c r="O15" s="15">
        <f>O13 - O14</f>
        <v>-851807.35195081274</v>
      </c>
      <c r="P15" s="15">
        <f>P13 - P14</f>
        <v>-848752.26464511885</v>
      </c>
      <c r="Q15" s="15">
        <f>Q13 - Q14</f>
        <v>-845546.27058420726</v>
      </c>
      <c r="R15" s="15">
        <f>R13 - R14</f>
        <v>-842170.74209694623</v>
      </c>
      <c r="S15" s="15">
        <f>S13 - S14</f>
        <v>-838605.3053127795</v>
      </c>
      <c r="T15" s="15">
        <f>T13 - T14</f>
        <v>-834827.66014192277</v>
      </c>
      <c r="U15" s="15">
        <f>U13 - U14</f>
        <v>-830813.38255100162</v>
      </c>
      <c r="V15" s="15">
        <f>V13 - V14</f>
        <v>-826535.70734627382</v>
      </c>
      <c r="W15" s="15">
        <f>W13 - W14</f>
        <v>-821965.28949882486</v>
      </c>
      <c r="X15" s="15">
        <f>X13 - X14</f>
        <v>-817069.94185054849</v>
      </c>
      <c r="Y15" s="15">
        <f>Y13 - Y14</f>
        <v>-811814.34682450991</v>
      </c>
      <c r="Z15" s="15">
        <f>Z13 - Z14</f>
        <v>-806159.73952652339</v>
      </c>
      <c r="AA15" s="15">
        <f>AA13 - AA14</f>
        <v>-873983.55936425447</v>
      </c>
      <c r="AB15" s="15">
        <f>AB13 - AB14</f>
        <v>-867399.06702356564</v>
      </c>
      <c r="AC15" s="15">
        <f>AC13 - AC14</f>
        <v>-860274.92332649848</v>
      </c>
      <c r="AD15" s="15">
        <f>AD13 - AD14</f>
        <v>-852554.7261484022</v>
      </c>
      <c r="AE15" s="15">
        <f>AE13 - AE14</f>
        <v>-844176.50119010813</v>
      </c>
      <c r="AF15" s="15">
        <f>AF13 - AF14</f>
        <v>-835072.14198122383</v>
      </c>
      <c r="AG15" s="15">
        <f>AG13 - AG14</f>
        <v>-825166.79402879486</v>
      </c>
      <c r="AH15" s="15">
        <f>AH13 - AH14</f>
        <v>-814378.17751753191</v>
      </c>
      <c r="AI15" s="15">
        <f>AI13 - AI14</f>
        <v>-802615.84240891051</v>
      </c>
      <c r="AJ15" s="15">
        <f>AJ13 - AJ14</f>
        <v>-789780.34917165339</v>
      </c>
      <c r="AK15" s="15">
        <f>AK13 - AK14</f>
        <v>-775762.36769978702</v>
      </c>
      <c r="AL15" s="15">
        <f>AL13 - AL14</f>
        <v>-760441.6862304958</v>
      </c>
      <c r="AM15" s="15">
        <f>AM13 - AM14</f>
        <v>-824998.121255612</v>
      </c>
      <c r="AN15" s="15">
        <f>AN13 - AN14</f>
        <v>-806662.31852031243</v>
      </c>
      <c r="AO15" s="15">
        <f>AO13 - AO14</f>
        <v>-786586.43421231152</v>
      </c>
      <c r="AP15" s="15">
        <f>AP13 - AP14</f>
        <v>-764594.68435546989</v>
      </c>
      <c r="AQ15" s="15">
        <f>AQ13 - AQ14</f>
        <v>-740493.74922344647</v>
      </c>
      <c r="AR15" s="15">
        <f>AR13 - AR14</f>
        <v>-714071.01827086264</v>
      </c>
      <c r="AS15" s="15">
        <f>AS13 - AS14</f>
        <v>-685092.65962946042</v>
      </c>
      <c r="AT15" s="15">
        <f>AT13 - AT14</f>
        <v>-653301.49662173982</v>
      </c>
      <c r="AU15" s="15">
        <f>AU13 - AU14</f>
        <v>-618414.67199003731</v>
      </c>
      <c r="AV15" s="15">
        <f>AV13 - AV14</f>
        <v>-580121.07860903849</v>
      </c>
      <c r="AW15" s="15">
        <f>AW13 - AW14</f>
        <v>-538078.53332671034</v>
      </c>
      <c r="AX15" s="15">
        <f>AX13 - AX14</f>
        <v>-491910.6682433472</v>
      </c>
      <c r="AY15" s="15">
        <f>AY13 - AY14</f>
        <v>-530646.71116957115</v>
      </c>
      <c r="AZ15" s="15">
        <f>AZ13 - AZ14</f>
        <v>-474944.92417838192</v>
      </c>
      <c r="BA15" s="15">
        <f>BA13 - BA14</f>
        <v>-413747.66605803976</v>
      </c>
      <c r="BB15" s="15">
        <f>BB13 - BB14</f>
        <v>-346504.04105337313</v>
      </c>
      <c r="BC15" s="15">
        <f>BC13 - BC14</f>
        <v>-272608.09252203011</v>
      </c>
      <c r="BD15" s="15">
        <f>BD13 - BD14</f>
        <v>-191393.29599496268</v>
      </c>
      <c r="BE15" s="15">
        <f>BE13 - BE14</f>
        <v>-102126.50157950065</v>
      </c>
      <c r="BF15" s="15">
        <f>BF13 - BF14</f>
        <v>-4001.2706373198744</v>
      </c>
      <c r="BG15" s="15">
        <f>BG13 - BG14</f>
        <v>77902.090377780434</v>
      </c>
      <c r="BH15" s="15">
        <f>BH13 - BH14</f>
        <v>166846.0573265907</v>
      </c>
      <c r="BI15" s="15">
        <f>BI13 - BI14</f>
        <v>264635.91358601896</v>
      </c>
      <c r="BJ15" s="15">
        <f>BJ13 - BJ14</f>
        <v>372157.1038686767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J14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62" width="14.9296875" customWidth="1"/>
  </cols>
  <sheetData>
    <row r="2" spans="2:62" ht="18" x14ac:dyDescent="0.2">
      <c r="B2" s="10" t="s">
        <v>131</v>
      </c>
    </row>
    <row r="4" spans="2:62" x14ac:dyDescent="0.2">
      <c r="B4" s="4" t="s">
        <v>4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  <c r="AK4" s="4" t="s">
        <v>65</v>
      </c>
      <c r="AL4" s="4" t="s">
        <v>66</v>
      </c>
      <c r="AM4" s="4" t="s">
        <v>67</v>
      </c>
      <c r="AN4" s="4" t="s">
        <v>68</v>
      </c>
      <c r="AO4" s="4" t="s">
        <v>69</v>
      </c>
      <c r="AP4" s="4" t="s">
        <v>70</v>
      </c>
      <c r="AQ4" s="4" t="s">
        <v>71</v>
      </c>
      <c r="AR4" s="4" t="s">
        <v>72</v>
      </c>
      <c r="AS4" s="4" t="s">
        <v>73</v>
      </c>
      <c r="AT4" s="4" t="s">
        <v>74</v>
      </c>
      <c r="AU4" s="4" t="s">
        <v>75</v>
      </c>
      <c r="AV4" s="4" t="s">
        <v>76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81</v>
      </c>
      <c r="BB4" s="4" t="s">
        <v>82</v>
      </c>
      <c r="BC4" s="4" t="s">
        <v>83</v>
      </c>
      <c r="BD4" s="4" t="s">
        <v>84</v>
      </c>
      <c r="BE4" s="4" t="s">
        <v>85</v>
      </c>
      <c r="BF4" s="4" t="s">
        <v>86</v>
      </c>
      <c r="BG4" s="4" t="s">
        <v>87</v>
      </c>
      <c r="BH4" s="4" t="s">
        <v>88</v>
      </c>
      <c r="BI4" s="4" t="s">
        <v>89</v>
      </c>
      <c r="BJ4" s="4" t="s">
        <v>90</v>
      </c>
    </row>
    <row r="5" spans="2:62" x14ac:dyDescent="0.2">
      <c r="B5" t="s">
        <v>132</v>
      </c>
      <c r="C5" s="15">
        <f>MONTHLY_P_AND_L!C15</f>
        <v>-814507.7333333334</v>
      </c>
      <c r="D5" s="15">
        <f>MONTHLY_P_AND_L!D15</f>
        <v>-812260.22044444457</v>
      </c>
      <c r="E5" s="15">
        <f>MONTHLY_P_AND_L!E15</f>
        <v>-809996.55714370369</v>
      </c>
      <c r="F5" s="15">
        <f>MONTHLY_P_AND_L!F15</f>
        <v>-807709.63394224213</v>
      </c>
      <c r="G5" s="15">
        <f>MONTHLY_P_AND_L!G15</f>
        <v>-805391.84304241533</v>
      </c>
      <c r="H5" s="15">
        <f>MONTHLY_P_AND_L!H15</f>
        <v>-803035.01769896643</v>
      </c>
      <c r="I5" s="15">
        <f>MONTHLY_P_AND_L!I15</f>
        <v>-800630.36613227276</v>
      </c>
      <c r="J5" s="15">
        <f>MONTHLY_P_AND_L!J15</f>
        <v>-798168.39941247366</v>
      </c>
      <c r="K5" s="15">
        <f>MONTHLY_P_AND_L!K15</f>
        <v>-795638.85267732106</v>
      </c>
      <c r="L5" s="15">
        <f>MONTHLY_P_AND_L!L15</f>
        <v>-793030.59898493893</v>
      </c>
      <c r="M5" s="15">
        <f>MONTHLY_P_AND_L!M15</f>
        <v>-790331.55503469799</v>
      </c>
      <c r="N5" s="15">
        <f>MONTHLY_P_AND_L!N15</f>
        <v>-787528.5779145672</v>
      </c>
      <c r="O5" s="15">
        <f>MONTHLY_P_AND_L!O15</f>
        <v>-851807.35195081274</v>
      </c>
      <c r="P5" s="15">
        <f>MONTHLY_P_AND_L!P15</f>
        <v>-848752.26464511885</v>
      </c>
      <c r="Q5" s="15">
        <f>MONTHLY_P_AND_L!Q15</f>
        <v>-845546.27058420726</v>
      </c>
      <c r="R5" s="15">
        <f>MONTHLY_P_AND_L!R15</f>
        <v>-842170.74209694623</v>
      </c>
      <c r="S5" s="15">
        <f>MONTHLY_P_AND_L!S15</f>
        <v>-838605.3053127795</v>
      </c>
      <c r="T5" s="15">
        <f>MONTHLY_P_AND_L!T15</f>
        <v>-834827.66014192277</v>
      </c>
      <c r="U5" s="15">
        <f>MONTHLY_P_AND_L!U15</f>
        <v>-830813.38255100162</v>
      </c>
      <c r="V5" s="15">
        <f>MONTHLY_P_AND_L!V15</f>
        <v>-826535.70734627382</v>
      </c>
      <c r="W5" s="15">
        <f>MONTHLY_P_AND_L!W15</f>
        <v>-821965.28949882486</v>
      </c>
      <c r="X5" s="15">
        <f>MONTHLY_P_AND_L!X15</f>
        <v>-817069.94185054849</v>
      </c>
      <c r="Y5" s="15">
        <f>MONTHLY_P_AND_L!Y15</f>
        <v>-811814.34682450991</v>
      </c>
      <c r="Z5" s="15">
        <f>MONTHLY_P_AND_L!Z15</f>
        <v>-806159.73952652339</v>
      </c>
      <c r="AA5" s="15">
        <f>MONTHLY_P_AND_L!AA15</f>
        <v>-873983.55936425447</v>
      </c>
      <c r="AB5" s="15">
        <f>MONTHLY_P_AND_L!AB15</f>
        <v>-867399.06702356564</v>
      </c>
      <c r="AC5" s="15">
        <f>MONTHLY_P_AND_L!AC15</f>
        <v>-860274.92332649848</v>
      </c>
      <c r="AD5" s="15">
        <f>MONTHLY_P_AND_L!AD15</f>
        <v>-852554.7261484022</v>
      </c>
      <c r="AE5" s="15">
        <f>MONTHLY_P_AND_L!AE15</f>
        <v>-844176.50119010813</v>
      </c>
      <c r="AF5" s="15">
        <f>MONTHLY_P_AND_L!AF15</f>
        <v>-835072.14198122383</v>
      </c>
      <c r="AG5" s="15">
        <f>MONTHLY_P_AND_L!AG15</f>
        <v>-825166.79402879486</v>
      </c>
      <c r="AH5" s="15">
        <f>MONTHLY_P_AND_L!AH15</f>
        <v>-814378.17751753191</v>
      </c>
      <c r="AI5" s="15">
        <f>MONTHLY_P_AND_L!AI15</f>
        <v>-802615.84240891051</v>
      </c>
      <c r="AJ5" s="15">
        <f>MONTHLY_P_AND_L!AJ15</f>
        <v>-789780.34917165339</v>
      </c>
      <c r="AK5" s="15">
        <f>MONTHLY_P_AND_L!AK15</f>
        <v>-775762.36769978702</v>
      </c>
      <c r="AL5" s="15">
        <f>MONTHLY_P_AND_L!AL15</f>
        <v>-760441.6862304958</v>
      </c>
      <c r="AM5" s="15">
        <f>MONTHLY_P_AND_L!AM15</f>
        <v>-824998.121255612</v>
      </c>
      <c r="AN5" s="15">
        <f>MONTHLY_P_AND_L!AN15</f>
        <v>-806662.31852031243</v>
      </c>
      <c r="AO5" s="15">
        <f>MONTHLY_P_AND_L!AO15</f>
        <v>-786586.43421231152</v>
      </c>
      <c r="AP5" s="15">
        <f>MONTHLY_P_AND_L!AP15</f>
        <v>-764594.68435546989</v>
      </c>
      <c r="AQ5" s="15">
        <f>MONTHLY_P_AND_L!AQ15</f>
        <v>-740493.74922344647</v>
      </c>
      <c r="AR5" s="15">
        <f>MONTHLY_P_AND_L!AR15</f>
        <v>-714071.01827086264</v>
      </c>
      <c r="AS5" s="15">
        <f>MONTHLY_P_AND_L!AS15</f>
        <v>-685092.65962946042</v>
      </c>
      <c r="AT5" s="15">
        <f>MONTHLY_P_AND_L!AT15</f>
        <v>-653301.49662173982</v>
      </c>
      <c r="AU5" s="15">
        <f>MONTHLY_P_AND_L!AU15</f>
        <v>-618414.67199003731</v>
      </c>
      <c r="AV5" s="15">
        <f>MONTHLY_P_AND_L!AV15</f>
        <v>-580121.07860903849</v>
      </c>
      <c r="AW5" s="15">
        <f>MONTHLY_P_AND_L!AW15</f>
        <v>-538078.53332671034</v>
      </c>
      <c r="AX5" s="15">
        <f>MONTHLY_P_AND_L!AX15</f>
        <v>-491910.6682433472</v>
      </c>
      <c r="AY5" s="15">
        <f>MONTHLY_P_AND_L!AY15</f>
        <v>-530646.71116957115</v>
      </c>
      <c r="AZ5" s="15">
        <f>MONTHLY_P_AND_L!AZ15</f>
        <v>-474944.92417838192</v>
      </c>
      <c r="BA5" s="15">
        <f>MONTHLY_P_AND_L!BA15</f>
        <v>-413747.66605803976</v>
      </c>
      <c r="BB5" s="15">
        <f>MONTHLY_P_AND_L!BB15</f>
        <v>-346504.04105337313</v>
      </c>
      <c r="BC5" s="15">
        <f>MONTHLY_P_AND_L!BC15</f>
        <v>-272608.09252203011</v>
      </c>
      <c r="BD5" s="15">
        <f>MONTHLY_P_AND_L!BD15</f>
        <v>-191393.29599496268</v>
      </c>
      <c r="BE5" s="15">
        <f>MONTHLY_P_AND_L!BE15</f>
        <v>-102126.50157950065</v>
      </c>
      <c r="BF5" s="15">
        <f>MONTHLY_P_AND_L!BF15</f>
        <v>-4001.2706373198744</v>
      </c>
      <c r="BG5" s="15">
        <f>MONTHLY_P_AND_L!BG15</f>
        <v>77902.090377780434</v>
      </c>
      <c r="BH5" s="15">
        <f>MONTHLY_P_AND_L!BH15</f>
        <v>166846.0573265907</v>
      </c>
      <c r="BI5" s="15">
        <f>MONTHLY_P_AND_L!BI15</f>
        <v>264635.91358601896</v>
      </c>
      <c r="BJ5" s="15">
        <f>MONTHLY_P_AND_L!BJ15</f>
        <v>372157.1038686767</v>
      </c>
    </row>
    <row r="6" spans="2:62" x14ac:dyDescent="0.2">
      <c r="B6" t="s">
        <v>133</v>
      </c>
      <c r="C6" s="15">
        <f>CAPEX_AND_DEPRECIATION!C7</f>
        <v>83333.333333333328</v>
      </c>
      <c r="D6" s="15">
        <f>CAPEX_AND_DEPRECIATION!D7</f>
        <v>81944.444444444453</v>
      </c>
      <c r="E6" s="15">
        <f>CAPEX_AND_DEPRECIATION!E7</f>
        <v>80578.703703703723</v>
      </c>
      <c r="F6" s="15">
        <f>CAPEX_AND_DEPRECIATION!F7</f>
        <v>79235.725308641995</v>
      </c>
      <c r="G6" s="15">
        <f>CAPEX_AND_DEPRECIATION!G7</f>
        <v>77915.129886831302</v>
      </c>
      <c r="H6" s="15">
        <f>CAPEX_AND_DEPRECIATION!H7</f>
        <v>76616.544388717448</v>
      </c>
      <c r="I6" s="15">
        <f>CAPEX_AND_DEPRECIATION!I7</f>
        <v>75339.601982238833</v>
      </c>
      <c r="J6" s="15">
        <f>CAPEX_AND_DEPRECIATION!J7</f>
        <v>74083.941949201515</v>
      </c>
      <c r="K6" s="15">
        <f>CAPEX_AND_DEPRECIATION!K7</f>
        <v>72849.209583381482</v>
      </c>
      <c r="L6" s="15">
        <f>CAPEX_AND_DEPRECIATION!L7</f>
        <v>71635.056090325132</v>
      </c>
      <c r="M6" s="15">
        <f>CAPEX_AND_DEPRECIATION!M7</f>
        <v>70441.138488819721</v>
      </c>
      <c r="N6" s="15">
        <f>CAPEX_AND_DEPRECIATION!N7</f>
        <v>69267.119514006044</v>
      </c>
      <c r="O6" s="15">
        <f>CAPEX_AND_DEPRECIATION!O7</f>
        <v>68112.667522105941</v>
      </c>
      <c r="P6" s="15">
        <f>CAPEX_AND_DEPRECIATION!P7</f>
        <v>66977.456396737514</v>
      </c>
      <c r="Q6" s="15">
        <f>CAPEX_AND_DEPRECIATION!Q7</f>
        <v>65861.165456791889</v>
      </c>
      <c r="R6" s="15">
        <f>CAPEX_AND_DEPRECIATION!R7</f>
        <v>64763.479365845356</v>
      </c>
      <c r="S6" s="15">
        <f>CAPEX_AND_DEPRECIATION!S7</f>
        <v>63684.088043081269</v>
      </c>
      <c r="T6" s="15">
        <f>CAPEX_AND_DEPRECIATION!T7</f>
        <v>62622.686575696585</v>
      </c>
      <c r="U6" s="15">
        <f>CAPEX_AND_DEPRECIATION!U7</f>
        <v>61578.975132768304</v>
      </c>
      <c r="V6" s="15">
        <f>CAPEX_AND_DEPRECIATION!V7</f>
        <v>60552.6588805555</v>
      </c>
      <c r="W6" s="15">
        <f>CAPEX_AND_DEPRECIATION!W7</f>
        <v>59543.447899212908</v>
      </c>
      <c r="X6" s="15">
        <f>CAPEX_AND_DEPRECIATION!X7</f>
        <v>58551.057100892685</v>
      </c>
      <c r="Y6" s="15">
        <f>CAPEX_AND_DEPRECIATION!Y7</f>
        <v>57575.206149211146</v>
      </c>
      <c r="Z6" s="15">
        <f>CAPEX_AND_DEPRECIATION!Z7</f>
        <v>56615.619380057629</v>
      </c>
      <c r="AA6" s="15">
        <f>CAPEX_AND_DEPRECIATION!AA7</f>
        <v>55672.025723723331</v>
      </c>
      <c r="AB6" s="15">
        <f>CAPEX_AND_DEPRECIATION!AB7</f>
        <v>54744.158628327939</v>
      </c>
      <c r="AC6" s="15">
        <f>CAPEX_AND_DEPRECIATION!AC7</f>
        <v>53831.755984522482</v>
      </c>
      <c r="AD6" s="15">
        <f>CAPEX_AND_DEPRECIATION!AD7</f>
        <v>52934.560051447108</v>
      </c>
      <c r="AE6" s="15">
        <f>CAPEX_AND_DEPRECIATION!AE7</f>
        <v>52052.317383922986</v>
      </c>
      <c r="AF6" s="15">
        <f>CAPEX_AND_DEPRECIATION!AF7</f>
        <v>51184.778760857604</v>
      </c>
      <c r="AG6" s="15">
        <f>CAPEX_AND_DEPRECIATION!AG7</f>
        <v>50331.699114843308</v>
      </c>
      <c r="AH6" s="15">
        <f>CAPEX_AND_DEPRECIATION!AH7</f>
        <v>49492.837462929259</v>
      </c>
      <c r="AI6" s="15">
        <f>CAPEX_AND_DEPRECIATION!AI7</f>
        <v>48667.956838547107</v>
      </c>
      <c r="AJ6" s="15">
        <f>CAPEX_AND_DEPRECIATION!AJ7</f>
        <v>47856.824224571319</v>
      </c>
      <c r="AK6" s="15">
        <f>CAPEX_AND_DEPRECIATION!AK7</f>
        <v>47059.210487495133</v>
      </c>
      <c r="AL6" s="15">
        <f>CAPEX_AND_DEPRECIATION!AL7</f>
        <v>46274.890312703545</v>
      </c>
      <c r="AM6" s="15">
        <f>CAPEX_AND_DEPRECIATION!AM7</f>
        <v>45503.642140825155</v>
      </c>
      <c r="AN6" s="15">
        <f>CAPEX_AND_DEPRECIATION!AN7</f>
        <v>44745.248105144732</v>
      </c>
      <c r="AO6" s="15">
        <f>CAPEX_AND_DEPRECIATION!AO7</f>
        <v>43999.493970058989</v>
      </c>
      <c r="AP6" s="15">
        <f>CAPEX_AND_DEPRECIATION!AP7</f>
        <v>43266.169070558011</v>
      </c>
      <c r="AQ6" s="15">
        <f>CAPEX_AND_DEPRECIATION!AQ7</f>
        <v>42545.066252715376</v>
      </c>
      <c r="AR6" s="15">
        <f>CAPEX_AND_DEPRECIATION!AR7</f>
        <v>41835.981815170118</v>
      </c>
      <c r="AS6" s="15">
        <f>CAPEX_AND_DEPRECIATION!AS7</f>
        <v>41138.71545158395</v>
      </c>
      <c r="AT6" s="15">
        <f>CAPEX_AND_DEPRECIATION!AT7</f>
        <v>40453.070194057553</v>
      </c>
      <c r="AU6" s="15">
        <f>CAPEX_AND_DEPRECIATION!AU7</f>
        <v>39778.852357489923</v>
      </c>
      <c r="AV6" s="15">
        <f>CAPEX_AND_DEPRECIATION!AV7</f>
        <v>39115.871484865092</v>
      </c>
      <c r="AW6" s="15">
        <f>CAPEX_AND_DEPRECIATION!AW7</f>
        <v>38463.94029345068</v>
      </c>
      <c r="AX6" s="15">
        <f>CAPEX_AND_DEPRECIATION!AX7</f>
        <v>37822.874621893163</v>
      </c>
      <c r="AY6" s="15">
        <f>CAPEX_AND_DEPRECIATION!AY7</f>
        <v>37192.493378194944</v>
      </c>
      <c r="AZ6" s="15">
        <f>CAPEX_AND_DEPRECIATION!AZ7</f>
        <v>36572.618488558357</v>
      </c>
      <c r="BA6" s="15">
        <f>CAPEX_AND_DEPRECIATION!BA7</f>
        <v>35963.074847082382</v>
      </c>
      <c r="BB6" s="15">
        <f>CAPEX_AND_DEPRECIATION!BB7</f>
        <v>35363.690266297672</v>
      </c>
      <c r="BC6" s="15">
        <f>CAPEX_AND_DEPRECIATION!BC7</f>
        <v>34774.295428526042</v>
      </c>
      <c r="BD6" s="15">
        <f>CAPEX_AND_DEPRECIATION!BD7</f>
        <v>34194.72383805061</v>
      </c>
      <c r="BE6" s="15">
        <f>CAPEX_AND_DEPRECIATION!BE7</f>
        <v>33624.8117740831</v>
      </c>
      <c r="BF6" s="15">
        <f>CAPEX_AND_DEPRECIATION!BF7</f>
        <v>33064.398244515047</v>
      </c>
      <c r="BG6" s="15">
        <f>CAPEX_AND_DEPRECIATION!BG7</f>
        <v>32513.324940439794</v>
      </c>
      <c r="BH6" s="15">
        <f>CAPEX_AND_DEPRECIATION!BH7</f>
        <v>31971.436191432465</v>
      </c>
      <c r="BI6" s="15">
        <f>CAPEX_AND_DEPRECIATION!BI7</f>
        <v>31438.578921575259</v>
      </c>
      <c r="BJ6" s="15">
        <f>CAPEX_AND_DEPRECIATION!BJ7</f>
        <v>30914.602606215671</v>
      </c>
    </row>
    <row r="7" spans="2:62" x14ac:dyDescent="0.2">
      <c r="B7" t="s">
        <v>134</v>
      </c>
      <c r="C7" s="15">
        <f>WORKING_CAPITAL!C8</f>
        <v>-27539.769863013698</v>
      </c>
      <c r="D7" s="15">
        <f>WORKING_CAPITAL!D8</f>
        <v>79.735232876711962</v>
      </c>
      <c r="E7" s="15">
        <f>WORKING_CAPITAL!E8</f>
        <v>83.384653150686063</v>
      </c>
      <c r="F7" s="15">
        <f>WORKING_CAPITAL!F8</f>
        <v>87.658461632872786</v>
      </c>
      <c r="G7" s="15">
        <f>WORKING_CAPITAL!G8</f>
        <v>92.603530373264221</v>
      </c>
      <c r="H7" s="15">
        <f>WORKING_CAPITAL!H8</f>
        <v>98.272352633055561</v>
      </c>
      <c r="I7" s="15">
        <f>WORKING_CAPITAL!I8</f>
        <v>104.72354896548495</v>
      </c>
      <c r="J7" s="15">
        <f>WORKING_CAPITAL!J8</f>
        <v>112.02242726700206</v>
      </c>
      <c r="K7" s="15">
        <f>WORKING_CAPITAL!K8</f>
        <v>120.24160199438847</v>
      </c>
      <c r="L7" s="15">
        <f>WORKING_CAPITAL!L8</f>
        <v>129.46167827445606</v>
      </c>
      <c r="M7" s="15">
        <f>WORKING_CAPITAL!M8</f>
        <v>139.7720072177035</v>
      </c>
      <c r="N7" s="15">
        <f>WORKING_CAPITAL!N8</f>
        <v>151.27151938832321</v>
      </c>
      <c r="O7" s="15">
        <f>WORKING_CAPITAL!O8</f>
        <v>-2597.5741915273757</v>
      </c>
      <c r="P7" s="15">
        <f>WORKING_CAPITAL!P8</f>
        <v>178.28732289418986</v>
      </c>
      <c r="Q7" s="15">
        <f>WORKING_CAPITAL!Q8</f>
        <v>194.05812671602325</v>
      </c>
      <c r="R7" s="15">
        <f>WORKING_CAPITAL!R8</f>
        <v>211.52948662812196</v>
      </c>
      <c r="S7" s="15">
        <f>WORKING_CAPITAL!S8</f>
        <v>230.8640496969856</v>
      </c>
      <c r="T7" s="15">
        <f>WORKING_CAPITAL!T8</f>
        <v>252.24117220838889</v>
      </c>
      <c r="U7" s="15">
        <f>WORKING_CAPITAL!U8</f>
        <v>275.85856391840935</v>
      </c>
      <c r="V7" s="15">
        <f>WORKING_CAPITAL!V8</f>
        <v>301.93409833008991</v>
      </c>
      <c r="W7" s="15">
        <f>WORKING_CAPITAL!W8</f>
        <v>330.70780550175186</v>
      </c>
      <c r="X7" s="15">
        <f>WORKING_CAPITAL!X8</f>
        <v>362.44406555024761</v>
      </c>
      <c r="Y7" s="15">
        <f>WORKING_CAPITAL!Y8</f>
        <v>397.43402283371688</v>
      </c>
      <c r="Z7" s="15">
        <f>WORKING_CAPITAL!Z8</f>
        <v>435.9982428018011</v>
      </c>
      <c r="AA7" s="15">
        <f>WORKING_CAPITAL!AA8</f>
        <v>-2559.3185834724536</v>
      </c>
      <c r="AB7" s="15">
        <f>WORKING_CAPITAL!AB8</f>
        <v>525.29667378241356</v>
      </c>
      <c r="AC7" s="15">
        <f>WORKING_CAPITAL!AC8</f>
        <v>576.84693119650547</v>
      </c>
      <c r="AD7" s="15">
        <f>WORKING_CAPITAL!AD8</f>
        <v>633.61097894984778</v>
      </c>
      <c r="AE7" s="15">
        <f>WORKING_CAPITAL!AE8</f>
        <v>696.10667020051915</v>
      </c>
      <c r="AF7" s="15">
        <f>WORKING_CAPITAL!AF8</f>
        <v>764.90385497490934</v>
      </c>
      <c r="AG7" s="15">
        <f>WORKING_CAPITAL!AG8</f>
        <v>840.629567161468</v>
      </c>
      <c r="AH7" s="15">
        <f>WORKING_CAPITAL!AH8</f>
        <v>923.97373096535375</v>
      </c>
      <c r="AI7" s="15">
        <f>WORKING_CAPITAL!AI8</f>
        <v>1015.6954387243495</v>
      </c>
      <c r="AJ7" s="15">
        <f>WORKING_CAPITAL!AJ8</f>
        <v>1116.629857179516</v>
      </c>
      <c r="AK7" s="15">
        <f>WORKING_CAPITAL!AK8</f>
        <v>1227.6958250052121</v>
      </c>
      <c r="AL7" s="15">
        <f>WORKING_CAPITAL!AL8</f>
        <v>1349.9042106870329</v>
      </c>
      <c r="AM7" s="15">
        <f>WORKING_CAPITAL!AM8</f>
        <v>-1857.22193434976</v>
      </c>
      <c r="AN7" s="15">
        <f>WORKING_CAPITAL!AN8</f>
        <v>1632.30794391175</v>
      </c>
      <c r="AO7" s="15">
        <f>WORKING_CAPITAL!AO8</f>
        <v>1795.0726172044451</v>
      </c>
      <c r="AP7" s="15">
        <f>WORKING_CAPITAL!AP8</f>
        <v>1974.1417250923296</v>
      </c>
      <c r="AQ7" s="15">
        <f>WORKING_CAPITAL!AQ8</f>
        <v>2171.1440329989528</v>
      </c>
      <c r="AR7" s="15">
        <f>WORKING_CAPITAL!AR8</f>
        <v>2387.8712835724036</v>
      </c>
      <c r="AS7" s="15">
        <f>WORKING_CAPITAL!AS8</f>
        <v>2626.2944883667806</v>
      </c>
      <c r="AT7" s="15">
        <f>WORKING_CAPITAL!AT8</f>
        <v>2888.5818490543534</v>
      </c>
      <c r="AU7" s="15">
        <f>WORKING_CAPITAL!AU8</f>
        <v>3177.1184710996458</v>
      </c>
      <c r="AV7" s="15">
        <f>WORKING_CAPITAL!AV8</f>
        <v>3494.5280491210797</v>
      </c>
      <c r="AW7" s="15">
        <f>WORKING_CAPITAL!AW8</f>
        <v>3843.6967210899529</v>
      </c>
      <c r="AX7" s="15">
        <f>WORKING_CAPITAL!AX8</f>
        <v>4227.7993082323301</v>
      </c>
      <c r="AY7" s="15">
        <f>WORKING_CAPITAL!AY8</f>
        <v>974.58023398143268</v>
      </c>
      <c r="AZ7" s="15">
        <f>WORKING_CAPITAL!AZ8</f>
        <v>5115.1250008291026</v>
      </c>
      <c r="BA7" s="15">
        <f>WORKING_CAPITAL!BA8</f>
        <v>5626.4156644120885</v>
      </c>
      <c r="BB7" s="15">
        <f>WORKING_CAPITAL!BB8</f>
        <v>6188.8487045433358</v>
      </c>
      <c r="BC7" s="15">
        <f>WORKING_CAPITAL!BC8</f>
        <v>6807.537560266348</v>
      </c>
      <c r="BD7" s="15">
        <f>WORKING_CAPITAL!BD8</f>
        <v>7488.107062445546</v>
      </c>
      <c r="BE7" s="15">
        <f>WORKING_CAPITAL!BE8</f>
        <v>8236.7445700734752</v>
      </c>
      <c r="BF7" s="15">
        <f>WORKING_CAPITAL!BF8</f>
        <v>9060.2562203812267</v>
      </c>
      <c r="BG7" s="15">
        <f>WORKING_CAPITAL!BG8</f>
        <v>9966.1288041217194</v>
      </c>
      <c r="BH7" s="15">
        <f>WORKING_CAPITAL!BH8</f>
        <v>10962.597828534141</v>
      </c>
      <c r="BI7" s="15">
        <f>WORKING_CAPITAL!BI8</f>
        <v>12058.722386747701</v>
      </c>
      <c r="BJ7" s="15">
        <f>WORKING_CAPITAL!BJ8</f>
        <v>13264.467514261109</v>
      </c>
    </row>
    <row r="8" spans="2:62" x14ac:dyDescent="0.2">
      <c r="B8" s="14" t="s">
        <v>135</v>
      </c>
      <c r="C8" s="15">
        <f>C5 + C6 - C7</f>
        <v>-703634.63013698638</v>
      </c>
      <c r="D8" s="15">
        <f>D5 + D6 - D7</f>
        <v>-730395.5112328768</v>
      </c>
      <c r="E8" s="15">
        <f>E5 + E6 - E7</f>
        <v>-729501.23809315066</v>
      </c>
      <c r="F8" s="15">
        <f>F5 + F6 - F7</f>
        <v>-728561.56709523301</v>
      </c>
      <c r="G8" s="15">
        <f>G5 + G6 - G7</f>
        <v>-727569.31668595737</v>
      </c>
      <c r="H8" s="15">
        <f>H5 + H6 - H7</f>
        <v>-726516.74566288199</v>
      </c>
      <c r="I8" s="15">
        <f>I5 + I6 - I7</f>
        <v>-725395.48769899947</v>
      </c>
      <c r="J8" s="15">
        <f>J5 + J6 - J7</f>
        <v>-724196.47989053919</v>
      </c>
      <c r="K8" s="15">
        <f>K5 + K6 - K7</f>
        <v>-722909.88469593402</v>
      </c>
      <c r="L8" s="15">
        <f>L5 + L6 - L7</f>
        <v>-721525.00457288825</v>
      </c>
      <c r="M8" s="15">
        <f>M5 + M6 - M7</f>
        <v>-720030.18855309603</v>
      </c>
      <c r="N8" s="15">
        <f>N5 + N6 - N7</f>
        <v>-718412.72991994943</v>
      </c>
      <c r="O8" s="15">
        <f>O5 + O6 - O7</f>
        <v>-781097.11023717944</v>
      </c>
      <c r="P8" s="15">
        <f>P5 + P6 - P7</f>
        <v>-781953.09557127557</v>
      </c>
      <c r="Q8" s="15">
        <f>Q5 + Q6 - Q7</f>
        <v>-779879.16325413145</v>
      </c>
      <c r="R8" s="15">
        <f>R5 + R6 - R7</f>
        <v>-777618.79221772903</v>
      </c>
      <c r="S8" s="15">
        <f>S5 + S6 - S7</f>
        <v>-775152.08131939522</v>
      </c>
      <c r="T8" s="15">
        <f>T5 + T6 - T7</f>
        <v>-772457.21473843453</v>
      </c>
      <c r="U8" s="15">
        <f>U5 + U6 - U7</f>
        <v>-769510.26598215173</v>
      </c>
      <c r="V8" s="15">
        <f>V5 + V6 - V7</f>
        <v>-766284.98256404838</v>
      </c>
      <c r="W8" s="15">
        <f>W5 + W6 - W7</f>
        <v>-762752.54940511368</v>
      </c>
      <c r="X8" s="15">
        <f>X5 + X6 - X7</f>
        <v>-758881.32881520607</v>
      </c>
      <c r="Y8" s="15">
        <f>Y5 + Y6 - Y7</f>
        <v>-754636.57469813246</v>
      </c>
      <c r="Z8" s="15">
        <f>Z5 + Z6 - Z7</f>
        <v>-749980.11838926747</v>
      </c>
      <c r="AA8" s="15">
        <f>AA5 + AA6 - AA7</f>
        <v>-815752.21505705873</v>
      </c>
      <c r="AB8" s="15">
        <f>AB5 + AB6 - AB7</f>
        <v>-813180.20506902016</v>
      </c>
      <c r="AC8" s="15">
        <f>AC5 + AC6 - AC7</f>
        <v>-807020.01427317248</v>
      </c>
      <c r="AD8" s="15">
        <f>AD5 + AD6 - AD7</f>
        <v>-800253.77707590489</v>
      </c>
      <c r="AE8" s="15">
        <f>AE5 + AE6 - AE7</f>
        <v>-792820.29047638562</v>
      </c>
      <c r="AF8" s="15">
        <f>AF5 + AF6 - AF7</f>
        <v>-784652.26707534108</v>
      </c>
      <c r="AG8" s="15">
        <f>AG5 + AG6 - AG7</f>
        <v>-775675.72448111302</v>
      </c>
      <c r="AH8" s="15">
        <f>AH5 + AH6 - AH7</f>
        <v>-765809.313785568</v>
      </c>
      <c r="AI8" s="15">
        <f>AI5 + AI6 - AI7</f>
        <v>-754963.58100908773</v>
      </c>
      <c r="AJ8" s="15">
        <f>AJ5 + AJ6 - AJ7</f>
        <v>-743040.15480426152</v>
      </c>
      <c r="AK8" s="15">
        <f>AK5 + AK6 - AK7</f>
        <v>-729930.85303729703</v>
      </c>
      <c r="AL8" s="15">
        <f>AL5 + AL6 - AL7</f>
        <v>-715516.70012847928</v>
      </c>
      <c r="AM8" s="15">
        <f>AM5 + AM6 - AM7</f>
        <v>-777637.2571804371</v>
      </c>
      <c r="AN8" s="15">
        <f>AN5 + AN6 - AN7</f>
        <v>-763549.37835907948</v>
      </c>
      <c r="AO8" s="15">
        <f>AO5 + AO6 - AO7</f>
        <v>-744382.01285945694</v>
      </c>
      <c r="AP8" s="15">
        <f>AP5 + AP6 - AP7</f>
        <v>-723302.65701000416</v>
      </c>
      <c r="AQ8" s="15">
        <f>AQ5 + AQ6 - AQ7</f>
        <v>-700119.82700373</v>
      </c>
      <c r="AR8" s="15">
        <f>AR5 + AR6 - AR7</f>
        <v>-674622.90773926489</v>
      </c>
      <c r="AS8" s="15">
        <f>AS5 + AS6 - AS7</f>
        <v>-646580.23866624327</v>
      </c>
      <c r="AT8" s="15">
        <f>AT5 + AT6 - AT7</f>
        <v>-615737.0082767366</v>
      </c>
      <c r="AU8" s="15">
        <f>AU5 + AU6 - AU7</f>
        <v>-581812.93810364709</v>
      </c>
      <c r="AV8" s="15">
        <f>AV5 + AV6 - AV7</f>
        <v>-544499.73517329444</v>
      </c>
      <c r="AW8" s="15">
        <f>AW5 + AW6 - AW7</f>
        <v>-503458.28975434962</v>
      </c>
      <c r="AX8" s="15">
        <f>AX5 + AX6 - AX7</f>
        <v>-458315.59292968636</v>
      </c>
      <c r="AY8" s="15">
        <f>AY5 + AY6 - AY7</f>
        <v>-494428.79802535765</v>
      </c>
      <c r="AZ8" s="15">
        <f>AZ5 + AZ6 - AZ7</f>
        <v>-443487.43069065269</v>
      </c>
      <c r="BA8" s="15">
        <f>BA5 + BA6 - BA7</f>
        <v>-383411.00687536946</v>
      </c>
      <c r="BB8" s="15">
        <f>BB5 + BB6 - BB7</f>
        <v>-317329.19949161878</v>
      </c>
      <c r="BC8" s="15">
        <f>BC5 + BC6 - BC7</f>
        <v>-244641.33465377043</v>
      </c>
      <c r="BD8" s="15">
        <f>BD5 + BD6 - BD7</f>
        <v>-164686.67921935761</v>
      </c>
      <c r="BE8" s="15">
        <f>BE5 + BE6 - BE7</f>
        <v>-76738.434375491022</v>
      </c>
      <c r="BF8" s="15">
        <f>BF5 + BF6 - BF7</f>
        <v>20002.871386813946</v>
      </c>
      <c r="BG8" s="15">
        <f>BG5 + BG6 - BG7</f>
        <v>100449.28651409851</v>
      </c>
      <c r="BH8" s="15">
        <f>BH5 + BH6 - BH7</f>
        <v>187854.89568948903</v>
      </c>
      <c r="BI8" s="15">
        <f>BI5 + BI6 - BI7</f>
        <v>284015.77012084652</v>
      </c>
      <c r="BJ8" s="15">
        <f>BJ5 + BJ6 - BJ7</f>
        <v>389807.23896063131</v>
      </c>
    </row>
    <row r="9" spans="2:62" x14ac:dyDescent="0.2">
      <c r="B9" t="s">
        <v>136</v>
      </c>
      <c r="C9" s="15">
        <f>CAPEX_AND_DEPRECIATION!C6</f>
        <v>5000000</v>
      </c>
      <c r="D9" s="15">
        <f>CAPEX_AND_DEPRECIATION!D6</f>
        <v>0</v>
      </c>
      <c r="E9" s="15">
        <f>CAPEX_AND_DEPRECIATION!E6</f>
        <v>0</v>
      </c>
      <c r="F9" s="15">
        <f>CAPEX_AND_DEPRECIATION!F6</f>
        <v>0</v>
      </c>
      <c r="G9" s="15">
        <f>CAPEX_AND_DEPRECIATION!G6</f>
        <v>0</v>
      </c>
      <c r="H9" s="15">
        <f>CAPEX_AND_DEPRECIATION!H6</f>
        <v>0</v>
      </c>
      <c r="I9" s="15">
        <f>CAPEX_AND_DEPRECIATION!I6</f>
        <v>0</v>
      </c>
      <c r="J9" s="15">
        <f>CAPEX_AND_DEPRECIATION!J6</f>
        <v>0</v>
      </c>
      <c r="K9" s="15">
        <f>CAPEX_AND_DEPRECIATION!K6</f>
        <v>0</v>
      </c>
      <c r="L9" s="15">
        <f>CAPEX_AND_DEPRECIATION!L6</f>
        <v>0</v>
      </c>
      <c r="M9" s="15">
        <f>CAPEX_AND_DEPRECIATION!M6</f>
        <v>0</v>
      </c>
      <c r="N9" s="15">
        <f>CAPEX_AND_DEPRECIATION!N6</f>
        <v>0</v>
      </c>
      <c r="O9" s="15">
        <f>CAPEX_AND_DEPRECIATION!O6</f>
        <v>0</v>
      </c>
      <c r="P9" s="15">
        <f>CAPEX_AND_DEPRECIATION!P6</f>
        <v>0</v>
      </c>
      <c r="Q9" s="15">
        <f>CAPEX_AND_DEPRECIATION!Q6</f>
        <v>0</v>
      </c>
      <c r="R9" s="15">
        <f>CAPEX_AND_DEPRECIATION!R6</f>
        <v>0</v>
      </c>
      <c r="S9" s="15">
        <f>CAPEX_AND_DEPRECIATION!S6</f>
        <v>0</v>
      </c>
      <c r="T9" s="15">
        <f>CAPEX_AND_DEPRECIATION!T6</f>
        <v>0</v>
      </c>
      <c r="U9" s="15">
        <f>CAPEX_AND_DEPRECIATION!U6</f>
        <v>0</v>
      </c>
      <c r="V9" s="15">
        <f>CAPEX_AND_DEPRECIATION!V6</f>
        <v>0</v>
      </c>
      <c r="W9" s="15">
        <f>CAPEX_AND_DEPRECIATION!W6</f>
        <v>0</v>
      </c>
      <c r="X9" s="15">
        <f>CAPEX_AND_DEPRECIATION!X6</f>
        <v>0</v>
      </c>
      <c r="Y9" s="15">
        <f>CAPEX_AND_DEPRECIATION!Y6</f>
        <v>0</v>
      </c>
      <c r="Z9" s="15">
        <f>CAPEX_AND_DEPRECIATION!Z6</f>
        <v>0</v>
      </c>
      <c r="AA9" s="15">
        <f>CAPEX_AND_DEPRECIATION!AA6</f>
        <v>0</v>
      </c>
      <c r="AB9" s="15">
        <f>CAPEX_AND_DEPRECIATION!AB6</f>
        <v>0</v>
      </c>
      <c r="AC9" s="15">
        <f>CAPEX_AND_DEPRECIATION!AC6</f>
        <v>0</v>
      </c>
      <c r="AD9" s="15">
        <f>CAPEX_AND_DEPRECIATION!AD6</f>
        <v>0</v>
      </c>
      <c r="AE9" s="15">
        <f>CAPEX_AND_DEPRECIATION!AE6</f>
        <v>0</v>
      </c>
      <c r="AF9" s="15">
        <f>CAPEX_AND_DEPRECIATION!AF6</f>
        <v>0</v>
      </c>
      <c r="AG9" s="15">
        <f>CAPEX_AND_DEPRECIATION!AG6</f>
        <v>0</v>
      </c>
      <c r="AH9" s="15">
        <f>CAPEX_AND_DEPRECIATION!AH6</f>
        <v>0</v>
      </c>
      <c r="AI9" s="15">
        <f>CAPEX_AND_DEPRECIATION!AI6</f>
        <v>0</v>
      </c>
      <c r="AJ9" s="15">
        <f>CAPEX_AND_DEPRECIATION!AJ6</f>
        <v>0</v>
      </c>
      <c r="AK9" s="15">
        <f>CAPEX_AND_DEPRECIATION!AK6</f>
        <v>0</v>
      </c>
      <c r="AL9" s="15">
        <f>CAPEX_AND_DEPRECIATION!AL6</f>
        <v>0</v>
      </c>
      <c r="AM9" s="15">
        <f>CAPEX_AND_DEPRECIATION!AM6</f>
        <v>0</v>
      </c>
      <c r="AN9" s="15">
        <f>CAPEX_AND_DEPRECIATION!AN6</f>
        <v>0</v>
      </c>
      <c r="AO9" s="15">
        <f>CAPEX_AND_DEPRECIATION!AO6</f>
        <v>0</v>
      </c>
      <c r="AP9" s="15">
        <f>CAPEX_AND_DEPRECIATION!AP6</f>
        <v>0</v>
      </c>
      <c r="AQ9" s="15">
        <f>CAPEX_AND_DEPRECIATION!AQ6</f>
        <v>0</v>
      </c>
      <c r="AR9" s="15">
        <f>CAPEX_AND_DEPRECIATION!AR6</f>
        <v>0</v>
      </c>
      <c r="AS9" s="15">
        <f>CAPEX_AND_DEPRECIATION!AS6</f>
        <v>0</v>
      </c>
      <c r="AT9" s="15">
        <f>CAPEX_AND_DEPRECIATION!AT6</f>
        <v>0</v>
      </c>
      <c r="AU9" s="15">
        <f>CAPEX_AND_DEPRECIATION!AU6</f>
        <v>0</v>
      </c>
      <c r="AV9" s="15">
        <f>CAPEX_AND_DEPRECIATION!AV6</f>
        <v>0</v>
      </c>
      <c r="AW9" s="15">
        <f>CAPEX_AND_DEPRECIATION!AW6</f>
        <v>0</v>
      </c>
      <c r="AX9" s="15">
        <f>CAPEX_AND_DEPRECIATION!AX6</f>
        <v>0</v>
      </c>
      <c r="AY9" s="15">
        <f>CAPEX_AND_DEPRECIATION!AY6</f>
        <v>0</v>
      </c>
      <c r="AZ9" s="15">
        <f>CAPEX_AND_DEPRECIATION!AZ6</f>
        <v>0</v>
      </c>
      <c r="BA9" s="15">
        <f>CAPEX_AND_DEPRECIATION!BA6</f>
        <v>0</v>
      </c>
      <c r="BB9" s="15">
        <f>CAPEX_AND_DEPRECIATION!BB6</f>
        <v>0</v>
      </c>
      <c r="BC9" s="15">
        <f>CAPEX_AND_DEPRECIATION!BC6</f>
        <v>0</v>
      </c>
      <c r="BD9" s="15">
        <f>CAPEX_AND_DEPRECIATION!BD6</f>
        <v>0</v>
      </c>
      <c r="BE9" s="15">
        <f>CAPEX_AND_DEPRECIATION!BE6</f>
        <v>0</v>
      </c>
      <c r="BF9" s="15">
        <f>CAPEX_AND_DEPRECIATION!BF6</f>
        <v>0</v>
      </c>
      <c r="BG9" s="15">
        <f>CAPEX_AND_DEPRECIATION!BG6</f>
        <v>0</v>
      </c>
      <c r="BH9" s="15">
        <f>CAPEX_AND_DEPRECIATION!BH6</f>
        <v>0</v>
      </c>
      <c r="BI9" s="15">
        <f>CAPEX_AND_DEPRECIATION!BI6</f>
        <v>0</v>
      </c>
      <c r="BJ9" s="15">
        <f>CAPEX_AND_DEPRECIATION!BJ6</f>
        <v>0</v>
      </c>
    </row>
    <row r="10" spans="2:62" x14ac:dyDescent="0.2">
      <c r="B10" s="14" t="s">
        <v>137</v>
      </c>
      <c r="C10" s="15">
        <f>-C9</f>
        <v>-5000000</v>
      </c>
      <c r="D10" s="15">
        <f>-D9</f>
        <v>0</v>
      </c>
      <c r="E10" s="15">
        <f>-E9</f>
        <v>0</v>
      </c>
      <c r="F10" s="15">
        <f>-F9</f>
        <v>0</v>
      </c>
      <c r="G10" s="15">
        <f>-G9</f>
        <v>0</v>
      </c>
      <c r="H10" s="15">
        <f>-H9</f>
        <v>0</v>
      </c>
      <c r="I10" s="15">
        <f>-I9</f>
        <v>0</v>
      </c>
      <c r="J10" s="15">
        <f>-J9</f>
        <v>0</v>
      </c>
      <c r="K10" s="15">
        <f>-K9</f>
        <v>0</v>
      </c>
      <c r="L10" s="15">
        <f>-L9</f>
        <v>0</v>
      </c>
      <c r="M10" s="15">
        <f>-M9</f>
        <v>0</v>
      </c>
      <c r="N10" s="15">
        <f>-N9</f>
        <v>0</v>
      </c>
      <c r="O10" s="15">
        <f>-O9</f>
        <v>0</v>
      </c>
      <c r="P10" s="15">
        <f>-P9</f>
        <v>0</v>
      </c>
      <c r="Q10" s="15">
        <f>-Q9</f>
        <v>0</v>
      </c>
      <c r="R10" s="15">
        <f>-R9</f>
        <v>0</v>
      </c>
      <c r="S10" s="15">
        <f>-S9</f>
        <v>0</v>
      </c>
      <c r="T10" s="15">
        <f>-T9</f>
        <v>0</v>
      </c>
      <c r="U10" s="15">
        <f>-U9</f>
        <v>0</v>
      </c>
      <c r="V10" s="15">
        <f>-V9</f>
        <v>0</v>
      </c>
      <c r="W10" s="15">
        <f>-W9</f>
        <v>0</v>
      </c>
      <c r="X10" s="15">
        <f>-X9</f>
        <v>0</v>
      </c>
      <c r="Y10" s="15">
        <f>-Y9</f>
        <v>0</v>
      </c>
      <c r="Z10" s="15">
        <f>-Z9</f>
        <v>0</v>
      </c>
      <c r="AA10" s="15">
        <f>-AA9</f>
        <v>0</v>
      </c>
      <c r="AB10" s="15">
        <f>-AB9</f>
        <v>0</v>
      </c>
      <c r="AC10" s="15">
        <f>-AC9</f>
        <v>0</v>
      </c>
      <c r="AD10" s="15">
        <f>-AD9</f>
        <v>0</v>
      </c>
      <c r="AE10" s="15">
        <f>-AE9</f>
        <v>0</v>
      </c>
      <c r="AF10" s="15">
        <f>-AF9</f>
        <v>0</v>
      </c>
      <c r="AG10" s="15">
        <f>-AG9</f>
        <v>0</v>
      </c>
      <c r="AH10" s="15">
        <f>-AH9</f>
        <v>0</v>
      </c>
      <c r="AI10" s="15">
        <f>-AI9</f>
        <v>0</v>
      </c>
      <c r="AJ10" s="15">
        <f>-AJ9</f>
        <v>0</v>
      </c>
      <c r="AK10" s="15">
        <f>-AK9</f>
        <v>0</v>
      </c>
      <c r="AL10" s="15">
        <f>-AL9</f>
        <v>0</v>
      </c>
      <c r="AM10" s="15">
        <f>-AM9</f>
        <v>0</v>
      </c>
      <c r="AN10" s="15">
        <f>-AN9</f>
        <v>0</v>
      </c>
      <c r="AO10" s="15">
        <f>-AO9</f>
        <v>0</v>
      </c>
      <c r="AP10" s="15">
        <f>-AP9</f>
        <v>0</v>
      </c>
      <c r="AQ10" s="15">
        <f>-AQ9</f>
        <v>0</v>
      </c>
      <c r="AR10" s="15">
        <f>-AR9</f>
        <v>0</v>
      </c>
      <c r="AS10" s="15">
        <f>-AS9</f>
        <v>0</v>
      </c>
      <c r="AT10" s="15">
        <f>-AT9</f>
        <v>0</v>
      </c>
      <c r="AU10" s="15">
        <f>-AU9</f>
        <v>0</v>
      </c>
      <c r="AV10" s="15">
        <f>-AV9</f>
        <v>0</v>
      </c>
      <c r="AW10" s="15">
        <f>-AW9</f>
        <v>0</v>
      </c>
      <c r="AX10" s="15">
        <f>-AX9</f>
        <v>0</v>
      </c>
      <c r="AY10" s="15">
        <f>-AY9</f>
        <v>0</v>
      </c>
      <c r="AZ10" s="15">
        <f>-AZ9</f>
        <v>0</v>
      </c>
      <c r="BA10" s="15">
        <f>-BA9</f>
        <v>0</v>
      </c>
      <c r="BB10" s="15">
        <f>-BB9</f>
        <v>0</v>
      </c>
      <c r="BC10" s="15">
        <f>-BC9</f>
        <v>0</v>
      </c>
      <c r="BD10" s="15">
        <f>-BD9</f>
        <v>0</v>
      </c>
      <c r="BE10" s="15">
        <f>-BE9</f>
        <v>0</v>
      </c>
      <c r="BF10" s="15">
        <f>-BF9</f>
        <v>0</v>
      </c>
      <c r="BG10" s="15">
        <f>-BG9</f>
        <v>0</v>
      </c>
      <c r="BH10" s="15">
        <f>-BH9</f>
        <v>0</v>
      </c>
      <c r="BI10" s="15">
        <f>-BI9</f>
        <v>0</v>
      </c>
      <c r="BJ10" s="15">
        <f>-BJ9</f>
        <v>0</v>
      </c>
    </row>
    <row r="11" spans="2:62" x14ac:dyDescent="0.2">
      <c r="B11" t="s">
        <v>138</v>
      </c>
      <c r="C11" s="15">
        <f>FUNDING_REQUIREMENT!$C$9</f>
        <v>10000000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</row>
    <row r="12" spans="2:62" x14ac:dyDescent="0.2">
      <c r="B12" s="14" t="s">
        <v>139</v>
      </c>
      <c r="C12" s="15">
        <f>C11</f>
        <v>10000000</v>
      </c>
      <c r="D12" s="15">
        <f>D11</f>
        <v>0</v>
      </c>
      <c r="E12" s="15">
        <f>E11</f>
        <v>0</v>
      </c>
      <c r="F12" s="15">
        <f>F11</f>
        <v>0</v>
      </c>
      <c r="G12" s="15">
        <f>G11</f>
        <v>0</v>
      </c>
      <c r="H12" s="15">
        <f>H11</f>
        <v>0</v>
      </c>
      <c r="I12" s="15">
        <f>I11</f>
        <v>0</v>
      </c>
      <c r="J12" s="15">
        <f>J11</f>
        <v>0</v>
      </c>
      <c r="K12" s="15">
        <f>K11</f>
        <v>0</v>
      </c>
      <c r="L12" s="15">
        <f>L11</f>
        <v>0</v>
      </c>
      <c r="M12" s="15">
        <f>M11</f>
        <v>0</v>
      </c>
      <c r="N12" s="15">
        <f>N11</f>
        <v>0</v>
      </c>
      <c r="O12" s="15">
        <f>O11</f>
        <v>0</v>
      </c>
      <c r="P12" s="15">
        <f>P11</f>
        <v>0</v>
      </c>
      <c r="Q12" s="15">
        <f>Q11</f>
        <v>0</v>
      </c>
      <c r="R12" s="15">
        <f>R11</f>
        <v>0</v>
      </c>
      <c r="S12" s="15">
        <f>S11</f>
        <v>0</v>
      </c>
      <c r="T12" s="15">
        <f>T11</f>
        <v>0</v>
      </c>
      <c r="U12" s="15">
        <f>U11</f>
        <v>0</v>
      </c>
      <c r="V12" s="15">
        <f>V11</f>
        <v>0</v>
      </c>
      <c r="W12" s="15">
        <f>W11</f>
        <v>0</v>
      </c>
      <c r="X12" s="15">
        <f>X11</f>
        <v>0</v>
      </c>
      <c r="Y12" s="15">
        <f>Y11</f>
        <v>0</v>
      </c>
      <c r="Z12" s="15">
        <f>Z11</f>
        <v>0</v>
      </c>
      <c r="AA12" s="15">
        <f>AA11</f>
        <v>0</v>
      </c>
      <c r="AB12" s="15">
        <f>AB11</f>
        <v>0</v>
      </c>
      <c r="AC12" s="15">
        <f>AC11</f>
        <v>0</v>
      </c>
      <c r="AD12" s="15">
        <f>AD11</f>
        <v>0</v>
      </c>
      <c r="AE12" s="15">
        <f>AE11</f>
        <v>0</v>
      </c>
      <c r="AF12" s="15">
        <f>AF11</f>
        <v>0</v>
      </c>
      <c r="AG12" s="15">
        <f>AG11</f>
        <v>0</v>
      </c>
      <c r="AH12" s="15">
        <f>AH11</f>
        <v>0</v>
      </c>
      <c r="AI12" s="15">
        <f>AI11</f>
        <v>0</v>
      </c>
      <c r="AJ12" s="15">
        <f>AJ11</f>
        <v>0</v>
      </c>
      <c r="AK12" s="15">
        <f>AK11</f>
        <v>0</v>
      </c>
      <c r="AL12" s="15">
        <f>AL11</f>
        <v>0</v>
      </c>
      <c r="AM12" s="15">
        <f>AM11</f>
        <v>0</v>
      </c>
      <c r="AN12" s="15">
        <f>AN11</f>
        <v>0</v>
      </c>
      <c r="AO12" s="15">
        <f>AO11</f>
        <v>0</v>
      </c>
      <c r="AP12" s="15">
        <f>AP11</f>
        <v>0</v>
      </c>
      <c r="AQ12" s="15">
        <f>AQ11</f>
        <v>0</v>
      </c>
      <c r="AR12" s="15">
        <f>AR11</f>
        <v>0</v>
      </c>
      <c r="AS12" s="15">
        <f>AS11</f>
        <v>0</v>
      </c>
      <c r="AT12" s="15">
        <f>AT11</f>
        <v>0</v>
      </c>
      <c r="AU12" s="15">
        <f>AU11</f>
        <v>0</v>
      </c>
      <c r="AV12" s="15">
        <f>AV11</f>
        <v>0</v>
      </c>
      <c r="AW12" s="15">
        <f>AW11</f>
        <v>0</v>
      </c>
      <c r="AX12" s="15">
        <f>AX11</f>
        <v>0</v>
      </c>
      <c r="AY12" s="15">
        <f>AY11</f>
        <v>0</v>
      </c>
      <c r="AZ12" s="15">
        <f>AZ11</f>
        <v>0</v>
      </c>
      <c r="BA12" s="15">
        <f>BA11</f>
        <v>0</v>
      </c>
      <c r="BB12" s="15">
        <f>BB11</f>
        <v>0</v>
      </c>
      <c r="BC12" s="15">
        <f>BC11</f>
        <v>0</v>
      </c>
      <c r="BD12" s="15">
        <f>BD11</f>
        <v>0</v>
      </c>
      <c r="BE12" s="15">
        <f>BE11</f>
        <v>0</v>
      </c>
      <c r="BF12" s="15">
        <f>BF11</f>
        <v>0</v>
      </c>
      <c r="BG12" s="15">
        <f>BG11</f>
        <v>0</v>
      </c>
      <c r="BH12" s="15">
        <f>BH11</f>
        <v>0</v>
      </c>
      <c r="BI12" s="15">
        <f>BI11</f>
        <v>0</v>
      </c>
      <c r="BJ12" s="15">
        <f>BJ11</f>
        <v>0</v>
      </c>
    </row>
    <row r="13" spans="2:62" x14ac:dyDescent="0.2">
      <c r="B13" s="14" t="s">
        <v>140</v>
      </c>
      <c r="C13" s="15">
        <f>C8 + C10 + C12</f>
        <v>4296365.3698630137</v>
      </c>
      <c r="D13" s="15">
        <f>D8 + D10 + D12</f>
        <v>-730395.5112328768</v>
      </c>
      <c r="E13" s="15">
        <f>E8 + E10 + E12</f>
        <v>-729501.23809315066</v>
      </c>
      <c r="F13" s="15">
        <f>F8 + F10 + F12</f>
        <v>-728561.56709523301</v>
      </c>
      <c r="G13" s="15">
        <f>G8 + G10 + G12</f>
        <v>-727569.31668595737</v>
      </c>
      <c r="H13" s="15">
        <f>H8 + H10 + H12</f>
        <v>-726516.74566288199</v>
      </c>
      <c r="I13" s="15">
        <f>I8 + I10 + I12</f>
        <v>-725395.48769899947</v>
      </c>
      <c r="J13" s="15">
        <f>J8 + J10 + J12</f>
        <v>-724196.47989053919</v>
      </c>
      <c r="K13" s="15">
        <f>K8 + K10 + K12</f>
        <v>-722909.88469593402</v>
      </c>
      <c r="L13" s="15">
        <f>L8 + L10 + L12</f>
        <v>-721525.00457288825</v>
      </c>
      <c r="M13" s="15">
        <f>M8 + M10 + M12</f>
        <v>-720030.18855309603</v>
      </c>
      <c r="N13" s="15">
        <f>N8 + N10 + N12</f>
        <v>-718412.72991994943</v>
      </c>
      <c r="O13" s="15">
        <f>O8 + O10 + O12</f>
        <v>-781097.11023717944</v>
      </c>
      <c r="P13" s="15">
        <f>P8 + P10 + P12</f>
        <v>-781953.09557127557</v>
      </c>
      <c r="Q13" s="15">
        <f>Q8 + Q10 + Q12</f>
        <v>-779879.16325413145</v>
      </c>
      <c r="R13" s="15">
        <f>R8 + R10 + R12</f>
        <v>-777618.79221772903</v>
      </c>
      <c r="S13" s="15">
        <f>S8 + S10 + S12</f>
        <v>-775152.08131939522</v>
      </c>
      <c r="T13" s="15">
        <f>T8 + T10 + T12</f>
        <v>-772457.21473843453</v>
      </c>
      <c r="U13" s="15">
        <f>U8 + U10 + U12</f>
        <v>-769510.26598215173</v>
      </c>
      <c r="V13" s="15">
        <f>V8 + V10 + V12</f>
        <v>-766284.98256404838</v>
      </c>
      <c r="W13" s="15">
        <f>W8 + W10 + W12</f>
        <v>-762752.54940511368</v>
      </c>
      <c r="X13" s="15">
        <f>X8 + X10 + X12</f>
        <v>-758881.32881520607</v>
      </c>
      <c r="Y13" s="15">
        <f>Y8 + Y10 + Y12</f>
        <v>-754636.57469813246</v>
      </c>
      <c r="Z13" s="15">
        <f>Z8 + Z10 + Z12</f>
        <v>-749980.11838926747</v>
      </c>
      <c r="AA13" s="15">
        <f>AA8 + AA10 + AA12</f>
        <v>-815752.21505705873</v>
      </c>
      <c r="AB13" s="15">
        <f>AB8 + AB10 + AB12</f>
        <v>-813180.20506902016</v>
      </c>
      <c r="AC13" s="15">
        <f>AC8 + AC10 + AC12</f>
        <v>-807020.01427317248</v>
      </c>
      <c r="AD13" s="15">
        <f>AD8 + AD10 + AD12</f>
        <v>-800253.77707590489</v>
      </c>
      <c r="AE13" s="15">
        <f>AE8 + AE10 + AE12</f>
        <v>-792820.29047638562</v>
      </c>
      <c r="AF13" s="15">
        <f>AF8 + AF10 + AF12</f>
        <v>-784652.26707534108</v>
      </c>
      <c r="AG13" s="15">
        <f>AG8 + AG10 + AG12</f>
        <v>-775675.72448111302</v>
      </c>
      <c r="AH13" s="15">
        <f>AH8 + AH10 + AH12</f>
        <v>-765809.313785568</v>
      </c>
      <c r="AI13" s="15">
        <f>AI8 + AI10 + AI12</f>
        <v>-754963.58100908773</v>
      </c>
      <c r="AJ13" s="15">
        <f>AJ8 + AJ10 + AJ12</f>
        <v>-743040.15480426152</v>
      </c>
      <c r="AK13" s="15">
        <f>AK8 + AK10 + AK12</f>
        <v>-729930.85303729703</v>
      </c>
      <c r="AL13" s="15">
        <f>AL8 + AL10 + AL12</f>
        <v>-715516.70012847928</v>
      </c>
      <c r="AM13" s="15">
        <f>AM8 + AM10 + AM12</f>
        <v>-777637.2571804371</v>
      </c>
      <c r="AN13" s="15">
        <f>AN8 + AN10 + AN12</f>
        <v>-763549.37835907948</v>
      </c>
      <c r="AO13" s="15">
        <f>AO8 + AO10 + AO12</f>
        <v>-744382.01285945694</v>
      </c>
      <c r="AP13" s="15">
        <f>AP8 + AP10 + AP12</f>
        <v>-723302.65701000416</v>
      </c>
      <c r="AQ13" s="15">
        <f>AQ8 + AQ10 + AQ12</f>
        <v>-700119.82700373</v>
      </c>
      <c r="AR13" s="15">
        <f>AR8 + AR10 + AR12</f>
        <v>-674622.90773926489</v>
      </c>
      <c r="AS13" s="15">
        <f>AS8 + AS10 + AS12</f>
        <v>-646580.23866624327</v>
      </c>
      <c r="AT13" s="15">
        <f>AT8 + AT10 + AT12</f>
        <v>-615737.0082767366</v>
      </c>
      <c r="AU13" s="15">
        <f>AU8 + AU10 + AU12</f>
        <v>-581812.93810364709</v>
      </c>
      <c r="AV13" s="15">
        <f>AV8 + AV10 + AV12</f>
        <v>-544499.73517329444</v>
      </c>
      <c r="AW13" s="15">
        <f>AW8 + AW10 + AW12</f>
        <v>-503458.28975434962</v>
      </c>
      <c r="AX13" s="15">
        <f>AX8 + AX10 + AX12</f>
        <v>-458315.59292968636</v>
      </c>
      <c r="AY13" s="15">
        <f>AY8 + AY10 + AY12</f>
        <v>-494428.79802535765</v>
      </c>
      <c r="AZ13" s="15">
        <f>AZ8 + AZ10 + AZ12</f>
        <v>-443487.43069065269</v>
      </c>
      <c r="BA13" s="15">
        <f>BA8 + BA10 + BA12</f>
        <v>-383411.00687536946</v>
      </c>
      <c r="BB13" s="15">
        <f>BB8 + BB10 + BB12</f>
        <v>-317329.19949161878</v>
      </c>
      <c r="BC13" s="15">
        <f>BC8 + BC10 + BC12</f>
        <v>-244641.33465377043</v>
      </c>
      <c r="BD13" s="15">
        <f>BD8 + BD10 + BD12</f>
        <v>-164686.67921935761</v>
      </c>
      <c r="BE13" s="15">
        <f>BE8 + BE10 + BE12</f>
        <v>-76738.434375491022</v>
      </c>
      <c r="BF13" s="15">
        <f>BF8 + BF10 + BF12</f>
        <v>20002.871386813946</v>
      </c>
      <c r="BG13" s="15">
        <f>BG8 + BG10 + BG12</f>
        <v>100449.28651409851</v>
      </c>
      <c r="BH13" s="15">
        <f>BH8 + BH10 + BH12</f>
        <v>187854.89568948903</v>
      </c>
      <c r="BI13" s="15">
        <f>BI8 + BI10 + BI12</f>
        <v>284015.77012084652</v>
      </c>
      <c r="BJ13" s="15">
        <f>BJ8 + BJ10 + BJ12</f>
        <v>389807.23896063131</v>
      </c>
    </row>
    <row r="14" spans="2:62" x14ac:dyDescent="0.2">
      <c r="B14" s="14" t="s">
        <v>141</v>
      </c>
      <c r="C14" s="15">
        <f>C13</f>
        <v>4296365.3698630137</v>
      </c>
      <c r="D14" s="15">
        <f>C14 + D13</f>
        <v>3565969.8586301371</v>
      </c>
      <c r="E14" s="15">
        <f>D14 + E13</f>
        <v>2836468.6205369863</v>
      </c>
      <c r="F14" s="15">
        <f>E14 + F13</f>
        <v>2107907.0534417531</v>
      </c>
      <c r="G14" s="15">
        <f>F14 + G13</f>
        <v>1380337.7367557958</v>
      </c>
      <c r="H14" s="15">
        <f>G14 + H13</f>
        <v>653820.99109291378</v>
      </c>
      <c r="I14" s="15">
        <f>H14 + I13</f>
        <v>-71574.496606085682</v>
      </c>
      <c r="J14" s="15">
        <f>I14 + J13</f>
        <v>-795770.97649662488</v>
      </c>
      <c r="K14" s="15">
        <f>J14 + K13</f>
        <v>-1518680.8611925589</v>
      </c>
      <c r="L14" s="15">
        <f>K14 + L13</f>
        <v>-2240205.8657654473</v>
      </c>
      <c r="M14" s="15">
        <f>L14 + M13</f>
        <v>-2960236.0543185435</v>
      </c>
      <c r="N14" s="15">
        <f>M14 + N13</f>
        <v>-3678648.7842384931</v>
      </c>
      <c r="O14" s="15">
        <f>N14 + O13</f>
        <v>-4459745.8944756724</v>
      </c>
      <c r="P14" s="15">
        <f>O14 + P13</f>
        <v>-5241698.9900469482</v>
      </c>
      <c r="Q14" s="15">
        <f>P14 + Q13</f>
        <v>-6021578.1533010798</v>
      </c>
      <c r="R14" s="15">
        <f>Q14 + R13</f>
        <v>-6799196.9455188084</v>
      </c>
      <c r="S14" s="15">
        <f>R14 + S13</f>
        <v>-7574349.0268382039</v>
      </c>
      <c r="T14" s="15">
        <f>S14 + T13</f>
        <v>-8346806.2415766381</v>
      </c>
      <c r="U14" s="15">
        <f>T14 + U13</f>
        <v>-9116316.5075587891</v>
      </c>
      <c r="V14" s="15">
        <f>U14 + V13</f>
        <v>-9882601.4901228379</v>
      </c>
      <c r="W14" s="15">
        <f>V14 + W13</f>
        <v>-10645354.039527951</v>
      </c>
      <c r="X14" s="15">
        <f>W14 + X13</f>
        <v>-11404235.368343158</v>
      </c>
      <c r="Y14" s="15">
        <f>X14 + Y13</f>
        <v>-12158871.943041291</v>
      </c>
      <c r="Z14" s="15">
        <f>Y14 + Z13</f>
        <v>-12908852.061430559</v>
      </c>
      <c r="AA14" s="15">
        <f>Z14 + AA13</f>
        <v>-13724604.276487617</v>
      </c>
      <c r="AB14" s="15">
        <f>AA14 + AB13</f>
        <v>-14537784.481556637</v>
      </c>
      <c r="AC14" s="15">
        <f>AB14 + AC13</f>
        <v>-15344804.495829809</v>
      </c>
      <c r="AD14" s="15">
        <f>AC14 + AD13</f>
        <v>-16145058.272905715</v>
      </c>
      <c r="AE14" s="15">
        <f>AD14 + AE13</f>
        <v>-16937878.5633821</v>
      </c>
      <c r="AF14" s="15">
        <f>AE14 + AF13</f>
        <v>-17722530.830457442</v>
      </c>
      <c r="AG14" s="15">
        <f>AF14 + AG13</f>
        <v>-18498206.554938555</v>
      </c>
      <c r="AH14" s="15">
        <f>AG14 + AH13</f>
        <v>-19264015.868724123</v>
      </c>
      <c r="AI14" s="15">
        <f>AH14 + AI13</f>
        <v>-20018979.449733209</v>
      </c>
      <c r="AJ14" s="15">
        <f>AI14 + AJ13</f>
        <v>-20762019.604537472</v>
      </c>
      <c r="AK14" s="15">
        <f>AJ14 + AK13</f>
        <v>-21491950.45757477</v>
      </c>
      <c r="AL14" s="15">
        <f>AK14 + AL13</f>
        <v>-22207467.157703251</v>
      </c>
      <c r="AM14" s="15">
        <f>AL14 + AM13</f>
        <v>-22985104.414883688</v>
      </c>
      <c r="AN14" s="15">
        <f>AM14 + AN13</f>
        <v>-23748653.793242767</v>
      </c>
      <c r="AO14" s="15">
        <f>AN14 + AO13</f>
        <v>-24493035.806102224</v>
      </c>
      <c r="AP14" s="15">
        <f>AO14 + AP13</f>
        <v>-25216338.463112228</v>
      </c>
      <c r="AQ14" s="15">
        <f>AP14 + AQ13</f>
        <v>-25916458.290115956</v>
      </c>
      <c r="AR14" s="15">
        <f>AQ14 + AR13</f>
        <v>-26591081.197855219</v>
      </c>
      <c r="AS14" s="15">
        <f>AR14 + AS13</f>
        <v>-27237661.436521463</v>
      </c>
      <c r="AT14" s="15">
        <f>AS14 + AT13</f>
        <v>-27853398.444798201</v>
      </c>
      <c r="AU14" s="15">
        <f>AT14 + AU13</f>
        <v>-28435211.382901847</v>
      </c>
      <c r="AV14" s="15">
        <f>AU14 + AV13</f>
        <v>-28979711.118075144</v>
      </c>
      <c r="AW14" s="15">
        <f>AV14 + AW13</f>
        <v>-29483169.407829493</v>
      </c>
      <c r="AX14" s="15">
        <f>AW14 + AX13</f>
        <v>-29941485.000759181</v>
      </c>
      <c r="AY14" s="15">
        <f>AX14 + AY13</f>
        <v>-30435913.798784539</v>
      </c>
      <c r="AZ14" s="15">
        <f>AY14 + AZ13</f>
        <v>-30879401.229475193</v>
      </c>
      <c r="BA14" s="15">
        <f>AZ14 + BA13</f>
        <v>-31262812.236350562</v>
      </c>
      <c r="BB14" s="15">
        <f>BA14 + BB13</f>
        <v>-31580141.435842182</v>
      </c>
      <c r="BC14" s="15">
        <f>BB14 + BC13</f>
        <v>-31824782.770495951</v>
      </c>
      <c r="BD14" s="15">
        <f>BC14 + BD13</f>
        <v>-31989469.449715309</v>
      </c>
      <c r="BE14" s="15">
        <f>BD14 + BE13</f>
        <v>-32066207.8840908</v>
      </c>
      <c r="BF14" s="15">
        <f>BE14 + BF13</f>
        <v>-32046205.012703985</v>
      </c>
      <c r="BG14" s="15">
        <f>BF14 + BG13</f>
        <v>-31945755.726189885</v>
      </c>
      <c r="BH14" s="15">
        <f>BG14 + BH13</f>
        <v>-31757900.830500398</v>
      </c>
      <c r="BI14" s="15">
        <f>BH14 + BI13</f>
        <v>-31473885.06037955</v>
      </c>
      <c r="BJ14" s="15">
        <f>BI14 + BJ13</f>
        <v>-31084077.821418919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V53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22" width="18.0234375" customWidth="1"/>
  </cols>
  <sheetData>
    <row r="2" spans="2:22" ht="20.25" x14ac:dyDescent="0.25">
      <c r="B2" s="16" t="s">
        <v>142</v>
      </c>
    </row>
    <row r="4" spans="2:22" x14ac:dyDescent="0.2">
      <c r="B4" s="22" t="s">
        <v>143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2:22" x14ac:dyDescent="0.2">
      <c r="B5" s="3" t="s">
        <v>4</v>
      </c>
      <c r="C5" s="3" t="s">
        <v>144</v>
      </c>
      <c r="D5" s="3" t="s">
        <v>145</v>
      </c>
      <c r="E5" s="3" t="s">
        <v>146</v>
      </c>
      <c r="F5" s="3" t="s">
        <v>147</v>
      </c>
      <c r="G5" s="3" t="s">
        <v>148</v>
      </c>
      <c r="H5" s="3" t="s">
        <v>149</v>
      </c>
      <c r="I5" s="3" t="s">
        <v>150</v>
      </c>
      <c r="J5" s="3" t="s">
        <v>151</v>
      </c>
      <c r="K5" s="3" t="s">
        <v>152</v>
      </c>
      <c r="L5" s="3" t="s">
        <v>153</v>
      </c>
      <c r="M5" s="3" t="s">
        <v>154</v>
      </c>
      <c r="N5" s="3" t="s">
        <v>155</v>
      </c>
      <c r="O5" s="3" t="s">
        <v>156</v>
      </c>
      <c r="P5" s="3" t="s">
        <v>157</v>
      </c>
      <c r="Q5" s="3" t="s">
        <v>158</v>
      </c>
      <c r="R5" s="3" t="s">
        <v>159</v>
      </c>
      <c r="S5" s="3" t="s">
        <v>160</v>
      </c>
      <c r="T5" s="3" t="s">
        <v>161</v>
      </c>
      <c r="U5" s="3" t="s">
        <v>162</v>
      </c>
      <c r="V5" s="3" t="s">
        <v>163</v>
      </c>
    </row>
    <row r="6" spans="2:22" x14ac:dyDescent="0.2">
      <c r="B6" s="5" t="s">
        <v>164</v>
      </c>
      <c r="C6" s="15">
        <v>262500</v>
      </c>
      <c r="D6" s="15">
        <v>275625</v>
      </c>
      <c r="E6" s="15">
        <v>289406.25000000006</v>
      </c>
      <c r="F6" s="15">
        <v>303876.56250000006</v>
      </c>
      <c r="G6" s="15">
        <v>319070.39062500012</v>
      </c>
      <c r="H6" s="15">
        <v>335023.91015625012</v>
      </c>
      <c r="I6" s="15">
        <v>351775.1056640626</v>
      </c>
      <c r="J6" s="15">
        <v>369363.86094726576</v>
      </c>
      <c r="K6" s="15">
        <v>387832.05399462907</v>
      </c>
      <c r="L6" s="15">
        <v>407223.65669436048</v>
      </c>
      <c r="M6" s="15">
        <v>427584.83952907857</v>
      </c>
      <c r="N6" s="15">
        <v>448964.08150553249</v>
      </c>
      <c r="O6" s="15">
        <v>471412.28558080917</v>
      </c>
      <c r="P6" s="15">
        <v>494982.89985984965</v>
      </c>
      <c r="Q6" s="15">
        <v>519732.04485284217</v>
      </c>
      <c r="R6" s="15">
        <v>545718.64709548419</v>
      </c>
      <c r="S6" s="15">
        <v>573004.57945025852</v>
      </c>
      <c r="T6" s="15">
        <v>601654.8084227714</v>
      </c>
      <c r="U6" s="15">
        <v>631737.5488439101</v>
      </c>
      <c r="V6" s="15">
        <v>663324.42628610553</v>
      </c>
    </row>
    <row r="7" spans="2:22" x14ac:dyDescent="0.2">
      <c r="B7" s="5" t="s">
        <v>165</v>
      </c>
      <c r="C7" s="15">
        <v>78750</v>
      </c>
      <c r="D7" s="15">
        <v>82687.5</v>
      </c>
      <c r="E7" s="15">
        <v>86821.875000000015</v>
      </c>
      <c r="F7" s="15">
        <v>91162.968750000015</v>
      </c>
      <c r="G7" s="15">
        <v>95721.117187500029</v>
      </c>
      <c r="H7" s="15">
        <v>100507.17304687503</v>
      </c>
      <c r="I7" s="15">
        <v>105532.53169921877</v>
      </c>
      <c r="J7" s="15">
        <v>110809.15828417972</v>
      </c>
      <c r="K7" s="15">
        <v>116349.61619838871</v>
      </c>
      <c r="L7" s="15">
        <v>122167.09700830813</v>
      </c>
      <c r="M7" s="15">
        <v>128275.45185872357</v>
      </c>
      <c r="N7" s="15">
        <v>134689.22445165974</v>
      </c>
      <c r="O7" s="15">
        <v>141423.68567424273</v>
      </c>
      <c r="P7" s="15">
        <v>148494.86995795488</v>
      </c>
      <c r="Q7" s="15">
        <v>155919.61345585264</v>
      </c>
      <c r="R7" s="15">
        <v>163715.59412864526</v>
      </c>
      <c r="S7" s="15">
        <v>171901.37383507754</v>
      </c>
      <c r="T7" s="15">
        <v>180496.44252683141</v>
      </c>
      <c r="U7" s="15">
        <v>189521.26465317301</v>
      </c>
      <c r="V7" s="15">
        <v>198997.32788583165</v>
      </c>
    </row>
    <row r="8" spans="2:22" x14ac:dyDescent="0.2">
      <c r="B8" s="11" t="s">
        <v>166</v>
      </c>
      <c r="C8" s="17">
        <f>C6-C7</f>
        <v>183750</v>
      </c>
      <c r="D8" s="17">
        <f>D6-D7</f>
        <v>192937.5</v>
      </c>
      <c r="E8" s="17">
        <f>E6-E7</f>
        <v>202584.37500000006</v>
      </c>
      <c r="F8" s="17">
        <f>F6-F7</f>
        <v>212713.59375000006</v>
      </c>
      <c r="G8" s="17">
        <f>G6-G7</f>
        <v>223349.27343750009</v>
      </c>
      <c r="H8" s="17">
        <f>H6-H7</f>
        <v>234516.73710937507</v>
      </c>
      <c r="I8" s="17">
        <f>I6-I7</f>
        <v>246242.57396484382</v>
      </c>
      <c r="J8" s="17">
        <f>J6-J7</f>
        <v>258554.70266308603</v>
      </c>
      <c r="K8" s="17">
        <f>K6-K7</f>
        <v>271482.43779624032</v>
      </c>
      <c r="L8" s="17">
        <f>L6-L7</f>
        <v>285056.55968605238</v>
      </c>
      <c r="M8" s="17">
        <f>M6-M7</f>
        <v>299309.38767035503</v>
      </c>
      <c r="N8" s="17">
        <f>N6-N7</f>
        <v>314274.85705387278</v>
      </c>
      <c r="O8" s="17">
        <f>O6-O7</f>
        <v>329988.59990656644</v>
      </c>
      <c r="P8" s="17">
        <f>P6-P7</f>
        <v>346488.02990189474</v>
      </c>
      <c r="Q8" s="17">
        <f>Q6-Q7</f>
        <v>363812.4313969895</v>
      </c>
      <c r="R8" s="17">
        <f>R6-R7</f>
        <v>382003.05296683894</v>
      </c>
      <c r="S8" s="17">
        <f>S6-S7</f>
        <v>401103.20561518101</v>
      </c>
      <c r="T8" s="17">
        <f>T6-T7</f>
        <v>421158.36589593999</v>
      </c>
      <c r="U8" s="17">
        <f>U6-U7</f>
        <v>442216.28419073706</v>
      </c>
      <c r="V8" s="17">
        <f>V6-V7</f>
        <v>464327.09840027388</v>
      </c>
    </row>
    <row r="9" spans="2:22" x14ac:dyDescent="0.2">
      <c r="B9" s="5" t="s">
        <v>167</v>
      </c>
      <c r="C9" s="18">
        <f>IF(C6&gt;0, C8/C6, 0)</f>
        <v>0.7</v>
      </c>
      <c r="D9" s="18">
        <f>IF(D6&gt;0, D8/D6, 0)</f>
        <v>0.7</v>
      </c>
      <c r="E9" s="18">
        <f>IF(E6&gt;0, E8/E6, 0)</f>
        <v>0.70000000000000007</v>
      </c>
      <c r="F9" s="18">
        <f>IF(F6&gt;0, F8/F6, 0)</f>
        <v>0.70000000000000007</v>
      </c>
      <c r="G9" s="18">
        <f>IF(G6&gt;0, G8/G6, 0)</f>
        <v>0.70000000000000007</v>
      </c>
      <c r="H9" s="18">
        <f>IF(H6&gt;0, H8/H6, 0)</f>
        <v>0.7</v>
      </c>
      <c r="I9" s="18">
        <f>IF(I6&gt;0, I8/I6, 0)</f>
        <v>0.7</v>
      </c>
      <c r="J9" s="18">
        <f>IF(J6&gt;0, J8/J6, 0)</f>
        <v>0.70000000000000007</v>
      </c>
      <c r="K9" s="18">
        <f>IF(K6&gt;0, K8/K6, 0)</f>
        <v>0.7</v>
      </c>
      <c r="L9" s="18">
        <f>IF(L6&gt;0, L8/L6, 0)</f>
        <v>0.70000000000000007</v>
      </c>
      <c r="M9" s="18">
        <f>IF(M6&gt;0, M8/M6, 0)</f>
        <v>0.70000000000000007</v>
      </c>
      <c r="N9" s="18">
        <f>IF(N6&gt;0, N8/N6, 0)</f>
        <v>0.70000000000000007</v>
      </c>
      <c r="O9" s="18">
        <f>IF(O6&gt;0, O8/O6, 0)</f>
        <v>0.70000000000000007</v>
      </c>
      <c r="P9" s="18">
        <f>IF(P6&gt;0, P8/P6, 0)</f>
        <v>0.7</v>
      </c>
      <c r="Q9" s="18">
        <f>IF(Q6&gt;0, Q8/Q6, 0)</f>
        <v>0.7</v>
      </c>
      <c r="R9" s="18">
        <f>IF(R6&gt;0, R8/R6, 0)</f>
        <v>0.7</v>
      </c>
      <c r="S9" s="18">
        <f>IF(S6&gt;0, S8/S6, 0)</f>
        <v>0.70000000000000007</v>
      </c>
      <c r="T9" s="18">
        <f>IF(T6&gt;0, T8/T6, 0)</f>
        <v>0.70000000000000007</v>
      </c>
      <c r="U9" s="18">
        <f>IF(U6&gt;0, U8/U6, 0)</f>
        <v>0.7</v>
      </c>
      <c r="V9" s="18">
        <f>IF(V6&gt;0, V8/V6, 0)</f>
        <v>0.70000000000000007</v>
      </c>
    </row>
    <row r="10" spans="2:22" x14ac:dyDescent="0.2">
      <c r="B10" s="5" t="s">
        <v>168</v>
      </c>
      <c r="C10" s="15">
        <v>26250</v>
      </c>
      <c r="D10" s="15">
        <v>27562.5</v>
      </c>
      <c r="E10" s="15">
        <v>28940.625000000007</v>
      </c>
      <c r="F10" s="15">
        <v>30387.656250000007</v>
      </c>
      <c r="G10" s="15">
        <v>31907.039062500015</v>
      </c>
      <c r="H10" s="15">
        <v>33502.391015625013</v>
      </c>
      <c r="I10" s="15">
        <v>35177.510566406265</v>
      </c>
      <c r="J10" s="15">
        <v>36936.386094726578</v>
      </c>
      <c r="K10" s="15">
        <v>38783.20539946291</v>
      </c>
      <c r="L10" s="15">
        <v>40722.365669436054</v>
      </c>
      <c r="M10" s="15">
        <v>42758.48395290786</v>
      </c>
      <c r="N10" s="15">
        <v>44896.408150553252</v>
      </c>
      <c r="O10" s="15">
        <v>47141.228558080918</v>
      </c>
      <c r="P10" s="15">
        <v>49498.289985984971</v>
      </c>
      <c r="Q10" s="15">
        <v>51973.204485284223</v>
      </c>
      <c r="R10" s="15">
        <v>54571.864709548419</v>
      </c>
      <c r="S10" s="15">
        <v>57300.457945025853</v>
      </c>
      <c r="T10" s="15">
        <v>60165.480842277146</v>
      </c>
      <c r="U10" s="15">
        <v>63173.754884391012</v>
      </c>
      <c r="V10" s="15">
        <v>66332.442628610559</v>
      </c>
    </row>
    <row r="11" spans="2:22" x14ac:dyDescent="0.2">
      <c r="B11" s="11" t="s">
        <v>169</v>
      </c>
      <c r="C11" s="17">
        <f>C8-C10</f>
        <v>157500</v>
      </c>
      <c r="D11" s="17">
        <f>D8-D10</f>
        <v>165375</v>
      </c>
      <c r="E11" s="17">
        <f>E8-E10</f>
        <v>173643.75000000006</v>
      </c>
      <c r="F11" s="17">
        <f>F8-F10</f>
        <v>182325.93750000006</v>
      </c>
      <c r="G11" s="17">
        <f>G8-G10</f>
        <v>191442.23437500006</v>
      </c>
      <c r="H11" s="17">
        <f>H8-H10</f>
        <v>201014.34609375006</v>
      </c>
      <c r="I11" s="17">
        <f>I8-I10</f>
        <v>211065.06339843755</v>
      </c>
      <c r="J11" s="17">
        <f>J8-J10</f>
        <v>221618.31656835944</v>
      </c>
      <c r="K11" s="17">
        <f>K8-K10</f>
        <v>232699.23239677743</v>
      </c>
      <c r="L11" s="17">
        <f>L8-L10</f>
        <v>244334.19401661633</v>
      </c>
      <c r="M11" s="17">
        <f>M8-M10</f>
        <v>256550.90371744719</v>
      </c>
      <c r="N11" s="17">
        <f>N8-N10</f>
        <v>269378.44890331954</v>
      </c>
      <c r="O11" s="17">
        <f>O8-O10</f>
        <v>282847.37134848553</v>
      </c>
      <c r="P11" s="17">
        <f>P8-P10</f>
        <v>296989.73991590977</v>
      </c>
      <c r="Q11" s="17">
        <f>Q8-Q10</f>
        <v>311839.22691170528</v>
      </c>
      <c r="R11" s="17">
        <f>R8-R10</f>
        <v>327431.18825729052</v>
      </c>
      <c r="S11" s="17">
        <f>S8-S10</f>
        <v>343802.74767015513</v>
      </c>
      <c r="T11" s="17">
        <f>T8-T10</f>
        <v>360992.88505366282</v>
      </c>
      <c r="U11" s="17">
        <f>U8-U10</f>
        <v>379042.52930634603</v>
      </c>
      <c r="V11" s="17">
        <f>V8-V10</f>
        <v>397994.6557716633</v>
      </c>
    </row>
    <row r="12" spans="2:22" x14ac:dyDescent="0.2">
      <c r="B12" s="5" t="s">
        <v>170</v>
      </c>
      <c r="C12" s="18">
        <f>IF(C6&gt;0, C11/C6, 0)</f>
        <v>0.6</v>
      </c>
      <c r="D12" s="18">
        <f>IF(D6&gt;0, D11/D6, 0)</f>
        <v>0.6</v>
      </c>
      <c r="E12" s="18">
        <f>IF(E6&gt;0, E11/E6, 0)</f>
        <v>0.60000000000000009</v>
      </c>
      <c r="F12" s="18">
        <f>IF(F6&gt;0, F11/F6, 0)</f>
        <v>0.60000000000000009</v>
      </c>
      <c r="G12" s="18">
        <f>IF(G6&gt;0, G11/G6, 0)</f>
        <v>0.6</v>
      </c>
      <c r="H12" s="18">
        <f>IF(H6&gt;0, H11/H6, 0)</f>
        <v>0.6</v>
      </c>
      <c r="I12" s="18">
        <f>IF(I6&gt;0, I11/I6, 0)</f>
        <v>0.6</v>
      </c>
      <c r="J12" s="18">
        <f>IF(J6&gt;0, J11/J6, 0)</f>
        <v>0.6</v>
      </c>
      <c r="K12" s="18">
        <f>IF(K6&gt;0, K11/K6, 0)</f>
        <v>0.6</v>
      </c>
      <c r="L12" s="18">
        <f>IF(L6&gt;0, L11/L6, 0)</f>
        <v>0.60000000000000009</v>
      </c>
      <c r="M12" s="18">
        <f>IF(M6&gt;0, M11/M6, 0)</f>
        <v>0.60000000000000009</v>
      </c>
      <c r="N12" s="18">
        <f>IF(N6&gt;0, N11/N6, 0)</f>
        <v>0.60000000000000009</v>
      </c>
      <c r="O12" s="18">
        <f>IF(O6&gt;0, O11/O6, 0)</f>
        <v>0.60000000000000009</v>
      </c>
      <c r="P12" s="18">
        <f>IF(P6&gt;0, P11/P6, 0)</f>
        <v>0.6</v>
      </c>
      <c r="Q12" s="18">
        <f>IF(Q6&gt;0, Q11/Q6, 0)</f>
        <v>0.6</v>
      </c>
      <c r="R12" s="18">
        <f>IF(R6&gt;0, R11/R6, 0)</f>
        <v>0.6</v>
      </c>
      <c r="S12" s="18">
        <f>IF(S6&gt;0, S11/S6, 0)</f>
        <v>0.60000000000000009</v>
      </c>
      <c r="T12" s="18">
        <f>IF(T6&gt;0, T11/T6, 0)</f>
        <v>0.6</v>
      </c>
      <c r="U12" s="18">
        <f>IF(U6&gt;0, U11/U6, 0)</f>
        <v>0.6</v>
      </c>
      <c r="V12" s="18">
        <f>IF(V6&gt;0, V11/V6, 0)</f>
        <v>0.6</v>
      </c>
    </row>
    <row r="13" spans="2:22" x14ac:dyDescent="0.2">
      <c r="B13" s="5" t="s">
        <v>171</v>
      </c>
      <c r="C13" s="15">
        <v>125000</v>
      </c>
      <c r="D13" s="15">
        <v>125000</v>
      </c>
      <c r="E13" s="15">
        <v>125000</v>
      </c>
      <c r="F13" s="15">
        <v>125000</v>
      </c>
      <c r="G13" s="15">
        <v>125000</v>
      </c>
      <c r="H13" s="15">
        <v>125000</v>
      </c>
      <c r="I13" s="15">
        <v>125000</v>
      </c>
      <c r="J13" s="15">
        <v>125000</v>
      </c>
      <c r="K13" s="15">
        <v>125000</v>
      </c>
      <c r="L13" s="15">
        <v>125000</v>
      </c>
      <c r="M13" s="15">
        <v>125000</v>
      </c>
      <c r="N13" s="15">
        <v>125000</v>
      </c>
      <c r="O13" s="15">
        <v>125000</v>
      </c>
      <c r="P13" s="15">
        <v>125000</v>
      </c>
      <c r="Q13" s="15">
        <v>125000</v>
      </c>
      <c r="R13" s="15">
        <v>125000</v>
      </c>
      <c r="S13" s="15">
        <v>125000</v>
      </c>
      <c r="T13" s="15">
        <v>125000</v>
      </c>
      <c r="U13" s="15">
        <v>125000</v>
      </c>
      <c r="V13" s="15">
        <v>125000</v>
      </c>
    </row>
    <row r="14" spans="2:22" x14ac:dyDescent="0.2">
      <c r="B14" s="11" t="s">
        <v>172</v>
      </c>
      <c r="C14" s="17">
        <f>C11-C13</f>
        <v>32500</v>
      </c>
      <c r="D14" s="17">
        <f>D11-D13</f>
        <v>40375</v>
      </c>
      <c r="E14" s="17">
        <f>E11-E13</f>
        <v>48643.750000000058</v>
      </c>
      <c r="F14" s="17">
        <f>F11-F13</f>
        <v>57325.937500000058</v>
      </c>
      <c r="G14" s="17">
        <f>G11-G13</f>
        <v>66442.234375000058</v>
      </c>
      <c r="H14" s="17">
        <f>H11-H13</f>
        <v>76014.346093750064</v>
      </c>
      <c r="I14" s="17">
        <f>I11-I13</f>
        <v>86065.063398437545</v>
      </c>
      <c r="J14" s="17">
        <f>J11-J13</f>
        <v>96618.316568359442</v>
      </c>
      <c r="K14" s="17">
        <f>K11-K13</f>
        <v>107699.23239677743</v>
      </c>
      <c r="L14" s="17">
        <f>L11-L13</f>
        <v>119334.19401661633</v>
      </c>
      <c r="M14" s="17">
        <f>M11-M13</f>
        <v>131550.90371744719</v>
      </c>
      <c r="N14" s="17">
        <f>N11-N13</f>
        <v>144378.44890331954</v>
      </c>
      <c r="O14" s="17">
        <f>O11-O13</f>
        <v>157847.37134848553</v>
      </c>
      <c r="P14" s="17">
        <f>P11-P13</f>
        <v>171989.73991590977</v>
      </c>
      <c r="Q14" s="17">
        <f>Q11-Q13</f>
        <v>186839.22691170528</v>
      </c>
      <c r="R14" s="17">
        <f>R11-R13</f>
        <v>202431.18825729052</v>
      </c>
      <c r="S14" s="17">
        <f>S11-S13</f>
        <v>218802.74767015513</v>
      </c>
      <c r="T14" s="17">
        <f>T11-T13</f>
        <v>235992.88505366282</v>
      </c>
      <c r="U14" s="17">
        <f>U11-U13</f>
        <v>254042.52930634603</v>
      </c>
      <c r="V14" s="17">
        <f>V11-V13</f>
        <v>272994.6557716633</v>
      </c>
    </row>
    <row r="15" spans="2:22" x14ac:dyDescent="0.2">
      <c r="B15" s="5" t="s">
        <v>173</v>
      </c>
      <c r="C15" s="15">
        <v>15000</v>
      </c>
      <c r="D15" s="15">
        <v>15000</v>
      </c>
      <c r="E15" s="15">
        <v>15000</v>
      </c>
      <c r="F15" s="15">
        <v>15000</v>
      </c>
      <c r="G15" s="15">
        <v>15000</v>
      </c>
      <c r="H15" s="15">
        <v>15000</v>
      </c>
      <c r="I15" s="15">
        <v>15000</v>
      </c>
      <c r="J15" s="15">
        <v>15000</v>
      </c>
      <c r="K15" s="15">
        <v>15000</v>
      </c>
      <c r="L15" s="15">
        <v>15000</v>
      </c>
      <c r="M15" s="15">
        <v>15000</v>
      </c>
      <c r="N15" s="15">
        <v>15000</v>
      </c>
      <c r="O15" s="15">
        <v>15000</v>
      </c>
      <c r="P15" s="15">
        <v>15000</v>
      </c>
      <c r="Q15" s="15">
        <v>15000</v>
      </c>
      <c r="R15" s="15">
        <v>15000</v>
      </c>
      <c r="S15" s="15">
        <v>15000</v>
      </c>
      <c r="T15" s="15">
        <v>15000</v>
      </c>
      <c r="U15" s="15">
        <v>15000</v>
      </c>
      <c r="V15" s="15">
        <v>15000</v>
      </c>
    </row>
    <row r="16" spans="2:22" x14ac:dyDescent="0.2">
      <c r="B16" s="5" t="s">
        <v>174</v>
      </c>
      <c r="C16" s="17">
        <f>C14-C15</f>
        <v>17500</v>
      </c>
      <c r="D16" s="17">
        <f>D14-D15</f>
        <v>25375</v>
      </c>
      <c r="E16" s="17">
        <f>E14-E15</f>
        <v>33643.750000000058</v>
      </c>
      <c r="F16" s="17">
        <f>F14-F15</f>
        <v>42325.937500000058</v>
      </c>
      <c r="G16" s="17">
        <f>G14-G15</f>
        <v>51442.234375000058</v>
      </c>
      <c r="H16" s="17">
        <f>H14-H15</f>
        <v>61014.346093750064</v>
      </c>
      <c r="I16" s="17">
        <f>I14-I15</f>
        <v>71065.063398437545</v>
      </c>
      <c r="J16" s="17">
        <f>J14-J15</f>
        <v>81618.316568359442</v>
      </c>
      <c r="K16" s="17">
        <f>K14-K15</f>
        <v>92699.232396777428</v>
      </c>
      <c r="L16" s="17">
        <f>L14-L15</f>
        <v>104334.19401661633</v>
      </c>
      <c r="M16" s="17">
        <f>M14-M15</f>
        <v>116550.90371744719</v>
      </c>
      <c r="N16" s="17">
        <f>N14-N15</f>
        <v>129378.44890331954</v>
      </c>
      <c r="O16" s="17">
        <f>O14-O15</f>
        <v>142847.37134848553</v>
      </c>
      <c r="P16" s="17">
        <f>P14-P15</f>
        <v>156989.73991590977</v>
      </c>
      <c r="Q16" s="17">
        <f>Q14-Q15</f>
        <v>171839.22691170528</v>
      </c>
      <c r="R16" s="17">
        <f>R14-R15</f>
        <v>187431.18825729052</v>
      </c>
      <c r="S16" s="17">
        <f>S14-S15</f>
        <v>203802.74767015513</v>
      </c>
      <c r="T16" s="17">
        <f>T14-T15</f>
        <v>220992.88505366282</v>
      </c>
      <c r="U16" s="17">
        <f>U14-U15</f>
        <v>239042.52930634603</v>
      </c>
      <c r="V16" s="17">
        <f>V14-V15</f>
        <v>257994.6557716633</v>
      </c>
    </row>
    <row r="17" spans="2:22" x14ac:dyDescent="0.2">
      <c r="B17" s="5" t="s">
        <v>175</v>
      </c>
      <c r="C17" s="15">
        <f>IF(INDEX(ASSUMPTIONS!$C$7:$E$7, 1, MATCH(ASSUMPTIONS!$C$2, ASSUMPTIONS!$C$4:$E$4, 0))=1, 0, MAX(0, C16 * INDEX(ASSUMPTIONS!$C$6:$E$6, 1, MATCH(ASSUMPTIONS!$C$2, ASSUMPTIONS!$C$4:$E$4, 0))))</f>
        <v>4375</v>
      </c>
      <c r="D17" s="15">
        <f>IF(INDEX(ASSUMPTIONS!$C$7:$E$7, 1, MATCH(ASSUMPTIONS!$C$2, ASSUMPTIONS!$C$4:$E$4, 0))=1, 0, MAX(0, D16 * INDEX(ASSUMPTIONS!$C$6:$E$6, 1, MATCH(ASSUMPTIONS!$C$2, ASSUMPTIONS!$C$4:$E$4, 0))))</f>
        <v>6343.75</v>
      </c>
      <c r="E17" s="15">
        <f>IF(INDEX(ASSUMPTIONS!$C$7:$E$7, 1, MATCH(ASSUMPTIONS!$C$2, ASSUMPTIONS!$C$4:$E$4, 0))=1, 0, MAX(0, E16 * INDEX(ASSUMPTIONS!$C$6:$E$6, 1, MATCH(ASSUMPTIONS!$C$2, ASSUMPTIONS!$C$4:$E$4, 0))))</f>
        <v>8410.9375000000146</v>
      </c>
      <c r="F17" s="15">
        <f>IF(INDEX(ASSUMPTIONS!$C$7:$E$7, 1, MATCH(ASSUMPTIONS!$C$2, ASSUMPTIONS!$C$4:$E$4, 0))=1, 0, MAX(0, F16 * INDEX(ASSUMPTIONS!$C$6:$E$6, 1, MATCH(ASSUMPTIONS!$C$2, ASSUMPTIONS!$C$4:$E$4, 0))))</f>
        <v>10581.484375000015</v>
      </c>
      <c r="G17" s="15">
        <f>IF(INDEX(ASSUMPTIONS!$C$7:$E$7, 1, MATCH(ASSUMPTIONS!$C$2, ASSUMPTIONS!$C$4:$E$4, 0))=1, 0, MAX(0, G16 * INDEX(ASSUMPTIONS!$C$6:$E$6, 1, MATCH(ASSUMPTIONS!$C$2, ASSUMPTIONS!$C$4:$E$4, 0))))</f>
        <v>12860.558593750015</v>
      </c>
      <c r="H17" s="15">
        <f>IF(INDEX(ASSUMPTIONS!$C$7:$E$7, 1, MATCH(ASSUMPTIONS!$C$2, ASSUMPTIONS!$C$4:$E$4, 0))=1, 0, MAX(0, H16 * INDEX(ASSUMPTIONS!$C$6:$E$6, 1, MATCH(ASSUMPTIONS!$C$2, ASSUMPTIONS!$C$4:$E$4, 0))))</f>
        <v>15253.586523437516</v>
      </c>
      <c r="I17" s="15">
        <f>IF(INDEX(ASSUMPTIONS!$C$7:$E$7, 1, MATCH(ASSUMPTIONS!$C$2, ASSUMPTIONS!$C$4:$E$4, 0))=1, 0, MAX(0, I16 * INDEX(ASSUMPTIONS!$C$6:$E$6, 1, MATCH(ASSUMPTIONS!$C$2, ASSUMPTIONS!$C$4:$E$4, 0))))</f>
        <v>17766.265849609386</v>
      </c>
      <c r="J17" s="15">
        <f>IF(INDEX(ASSUMPTIONS!$C$7:$E$7, 1, MATCH(ASSUMPTIONS!$C$2, ASSUMPTIONS!$C$4:$E$4, 0))=1, 0, MAX(0, J16 * INDEX(ASSUMPTIONS!$C$6:$E$6, 1, MATCH(ASSUMPTIONS!$C$2, ASSUMPTIONS!$C$4:$E$4, 0))))</f>
        <v>20404.57914208986</v>
      </c>
      <c r="K17" s="15">
        <f>IF(INDEX(ASSUMPTIONS!$C$7:$E$7, 1, MATCH(ASSUMPTIONS!$C$2, ASSUMPTIONS!$C$4:$E$4, 0))=1, 0, MAX(0, K16 * INDEX(ASSUMPTIONS!$C$6:$E$6, 1, MATCH(ASSUMPTIONS!$C$2, ASSUMPTIONS!$C$4:$E$4, 0))))</f>
        <v>23174.808099194357</v>
      </c>
      <c r="L17" s="15">
        <f>IF(INDEX(ASSUMPTIONS!$C$7:$E$7, 1, MATCH(ASSUMPTIONS!$C$2, ASSUMPTIONS!$C$4:$E$4, 0))=1, 0, MAX(0, L16 * INDEX(ASSUMPTIONS!$C$6:$E$6, 1, MATCH(ASSUMPTIONS!$C$2, ASSUMPTIONS!$C$4:$E$4, 0))))</f>
        <v>26083.548504154081</v>
      </c>
      <c r="M17" s="15">
        <f>IF(INDEX(ASSUMPTIONS!$C$7:$E$7, 1, MATCH(ASSUMPTIONS!$C$2, ASSUMPTIONS!$C$4:$E$4, 0))=1, 0, MAX(0, M16 * INDEX(ASSUMPTIONS!$C$6:$E$6, 1, MATCH(ASSUMPTIONS!$C$2, ASSUMPTIONS!$C$4:$E$4, 0))))</f>
        <v>29137.725929361797</v>
      </c>
      <c r="N17" s="15">
        <f>IF(INDEX(ASSUMPTIONS!$C$7:$E$7, 1, MATCH(ASSUMPTIONS!$C$2, ASSUMPTIONS!$C$4:$E$4, 0))=1, 0, MAX(0, N16 * INDEX(ASSUMPTIONS!$C$6:$E$6, 1, MATCH(ASSUMPTIONS!$C$2, ASSUMPTIONS!$C$4:$E$4, 0))))</f>
        <v>32344.612225829886</v>
      </c>
      <c r="O17" s="15">
        <f>MAX(0, O16 * INDEX(ASSUMPTIONS!$C$6:$E$6, 1, MATCH(ASSUMPTIONS!$C$2, ASSUMPTIONS!$C$4:$E$4, 0)))</f>
        <v>35711.842837121381</v>
      </c>
      <c r="P17" s="15">
        <f>MAX(0, P16 * INDEX(ASSUMPTIONS!$C$6:$E$6, 1, MATCH(ASSUMPTIONS!$C$2, ASSUMPTIONS!$C$4:$E$4, 0)))</f>
        <v>39247.434978977442</v>
      </c>
      <c r="Q17" s="15">
        <f>MAX(0, Q16 * INDEX(ASSUMPTIONS!$C$6:$E$6, 1, MATCH(ASSUMPTIONS!$C$2, ASSUMPTIONS!$C$4:$E$4, 0)))</f>
        <v>42959.80672792632</v>
      </c>
      <c r="R17" s="15">
        <f>MAX(0, R16 * INDEX(ASSUMPTIONS!$C$6:$E$6, 1, MATCH(ASSUMPTIONS!$C$2, ASSUMPTIONS!$C$4:$E$4, 0)))</f>
        <v>46857.797064322629</v>
      </c>
      <c r="S17" s="15">
        <f>MAX(0, S16 * INDEX(ASSUMPTIONS!$C$6:$E$6, 1, MATCH(ASSUMPTIONS!$C$2, ASSUMPTIONS!$C$4:$E$4, 0)))</f>
        <v>50950.686917538784</v>
      </c>
      <c r="T17" s="15">
        <f>MAX(0, T16 * INDEX(ASSUMPTIONS!$C$6:$E$6, 1, MATCH(ASSUMPTIONS!$C$2, ASSUMPTIONS!$C$4:$E$4, 0)))</f>
        <v>55248.221263415704</v>
      </c>
      <c r="U17" s="15">
        <f>MAX(0, U16 * INDEX(ASSUMPTIONS!$C$6:$E$6, 1, MATCH(ASSUMPTIONS!$C$2, ASSUMPTIONS!$C$4:$E$4, 0)))</f>
        <v>59760.632326586507</v>
      </c>
      <c r="V17" s="15">
        <f>MAX(0, V16 * INDEX(ASSUMPTIONS!$C$6:$E$6, 1, MATCH(ASSUMPTIONS!$C$2, ASSUMPTIONS!$C$4:$E$4, 0)))</f>
        <v>64498.663942915824</v>
      </c>
    </row>
    <row r="18" spans="2:22" x14ac:dyDescent="0.2">
      <c r="B18" s="11" t="s">
        <v>176</v>
      </c>
      <c r="C18" s="12">
        <f>C16-C17</f>
        <v>13125</v>
      </c>
      <c r="D18" s="12">
        <f>D16-D17</f>
        <v>19031.25</v>
      </c>
      <c r="E18" s="12">
        <f>E16-E17</f>
        <v>25232.812500000044</v>
      </c>
      <c r="F18" s="12">
        <f>F16-F17</f>
        <v>31744.453125000044</v>
      </c>
      <c r="G18" s="12">
        <f>G16-G17</f>
        <v>38581.675781250044</v>
      </c>
      <c r="H18" s="12">
        <f>H16-H17</f>
        <v>45760.759570312548</v>
      </c>
      <c r="I18" s="12">
        <f>I16-I17</f>
        <v>53298.797548828159</v>
      </c>
      <c r="J18" s="12">
        <f>J16-J17</f>
        <v>61213.737426269581</v>
      </c>
      <c r="K18" s="12">
        <f>K16-K17</f>
        <v>69524.424297583071</v>
      </c>
      <c r="L18" s="12">
        <f>L16-L17</f>
        <v>78250.645512462244</v>
      </c>
      <c r="M18" s="12">
        <f>M16-M17</f>
        <v>87413.177788085392</v>
      </c>
      <c r="N18" s="12">
        <f>N16-N17</f>
        <v>97033.836677489657</v>
      </c>
      <c r="O18" s="12">
        <f>O16-O17</f>
        <v>107135.52851136414</v>
      </c>
      <c r="P18" s="12">
        <f>P16-P17</f>
        <v>117742.30493693233</v>
      </c>
      <c r="Q18" s="12">
        <f>Q16-Q17</f>
        <v>128879.42018377896</v>
      </c>
      <c r="R18" s="12">
        <f>R16-R17</f>
        <v>140573.39119296789</v>
      </c>
      <c r="S18" s="12">
        <f>S16-S17</f>
        <v>152852.06075261635</v>
      </c>
      <c r="T18" s="12">
        <f>T16-T17</f>
        <v>165744.66379024711</v>
      </c>
      <c r="U18" s="12">
        <f>U16-U17</f>
        <v>179281.89697975951</v>
      </c>
      <c r="V18" s="12">
        <f>V16-V17</f>
        <v>193495.99182874747</v>
      </c>
    </row>
    <row r="19" spans="2:22" x14ac:dyDescent="0.2">
      <c r="B19" s="11" t="s">
        <v>177</v>
      </c>
      <c r="C19" s="19">
        <f>IF(C6&gt;0, C18/C6, 0)</f>
        <v>0.05</v>
      </c>
      <c r="D19" s="19">
        <f>IF(D6&gt;0, D18/D6, 0)</f>
        <v>6.9047619047619052E-2</v>
      </c>
      <c r="E19" s="19">
        <f>IF(E6&gt;0, E18/E6, 0)</f>
        <v>8.7188208616780172E-2</v>
      </c>
      <c r="F19" s="19">
        <f>IF(F6&gt;0, F18/F6, 0)</f>
        <v>0.10446496058740969</v>
      </c>
      <c r="G19" s="19">
        <f>IF(G6&gt;0, G18/G6, 0)</f>
        <v>0.12091901008324731</v>
      </c>
      <c r="H19" s="19">
        <f>IF(H6&gt;0, H18/H6, 0)</f>
        <v>0.13658953341261648</v>
      </c>
      <c r="I19" s="19">
        <f>IF(I6&gt;0, I18/I6, 0)</f>
        <v>0.15151384134534898</v>
      </c>
      <c r="J19" s="19">
        <f>IF(J6&gt;0, J18/J6, 0)</f>
        <v>0.16572746794795146</v>
      </c>
      <c r="K19" s="19">
        <f>IF(K6&gt;0, K18/K6, 0)</f>
        <v>0.17926425518852521</v>
      </c>
      <c r="L19" s="19">
        <f>IF(L6&gt;0, L18/L6, 0)</f>
        <v>0.19215643351288123</v>
      </c>
      <c r="M19" s="19">
        <f>IF(M6&gt;0, M18/M6, 0)</f>
        <v>0.20443469858369645</v>
      </c>
      <c r="N19" s="19">
        <f>IF(N6&gt;0, N18/N6, 0)</f>
        <v>0.21612828436542519</v>
      </c>
      <c r="O19" s="19">
        <f>IF(O6&gt;0, O18/O6, 0)</f>
        <v>0.22726503272897636</v>
      </c>
      <c r="P19" s="19">
        <f>IF(P6&gt;0, P18/P6, 0)</f>
        <v>0.23787145974188217</v>
      </c>
      <c r="Q19" s="19">
        <f>IF(Q6&gt;0, Q18/Q6, 0)</f>
        <v>0.24797281880179256</v>
      </c>
      <c r="R19" s="19">
        <f>IF(R6&gt;0, R18/R6, 0)</f>
        <v>0.25759316076361199</v>
      </c>
      <c r="S19" s="19">
        <f>IF(S6&gt;0, S18/S6, 0)</f>
        <v>0.26675539120344005</v>
      </c>
      <c r="T19" s="19">
        <f>IF(T6&gt;0, T18/T6, 0)</f>
        <v>0.27548132495565714</v>
      </c>
      <c r="U19" s="19">
        <f>IF(U6&gt;0, U18/U6, 0)</f>
        <v>0.28379173805300678</v>
      </c>
      <c r="V19" s="19">
        <f>IF(V6&gt;0, V18/V6, 0)</f>
        <v>0.29170641719333978</v>
      </c>
    </row>
    <row r="21" spans="2:22" x14ac:dyDescent="0.2">
      <c r="B21" s="22" t="s">
        <v>178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2:22" x14ac:dyDescent="0.2">
      <c r="B22" s="3" t="s">
        <v>4</v>
      </c>
      <c r="C22" s="3" t="s">
        <v>144</v>
      </c>
      <c r="D22" s="3" t="s">
        <v>145</v>
      </c>
      <c r="E22" s="3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  <c r="J22" s="3" t="s">
        <v>151</v>
      </c>
      <c r="K22" s="3" t="s">
        <v>152</v>
      </c>
      <c r="L22" s="3" t="s">
        <v>153</v>
      </c>
      <c r="M22" s="3" t="s">
        <v>154</v>
      </c>
      <c r="N22" s="3" t="s">
        <v>155</v>
      </c>
      <c r="O22" s="3" t="s">
        <v>156</v>
      </c>
      <c r="P22" s="3" t="s">
        <v>157</v>
      </c>
      <c r="Q22" s="3" t="s">
        <v>158</v>
      </c>
      <c r="R22" s="3" t="s">
        <v>159</v>
      </c>
      <c r="S22" s="3" t="s">
        <v>160</v>
      </c>
      <c r="T22" s="3" t="s">
        <v>161</v>
      </c>
      <c r="U22" s="3" t="s">
        <v>162</v>
      </c>
      <c r="V22" s="3" t="s">
        <v>163</v>
      </c>
    </row>
    <row r="23" spans="2:22" x14ac:dyDescent="0.2">
      <c r="B23" s="5" t="s">
        <v>164</v>
      </c>
      <c r="C23" s="15">
        <v>393750</v>
      </c>
      <c r="D23" s="15">
        <v>413437.5</v>
      </c>
      <c r="E23" s="15">
        <v>434109.37500000012</v>
      </c>
      <c r="F23" s="15">
        <v>455814.84375000012</v>
      </c>
      <c r="G23" s="15">
        <v>478605.58593750017</v>
      </c>
      <c r="H23" s="15">
        <v>502535.86523437517</v>
      </c>
      <c r="I23" s="15">
        <v>527662.65849609394</v>
      </c>
      <c r="J23" s="15">
        <v>554045.79142089863</v>
      </c>
      <c r="K23" s="15">
        <v>581748.0809919436</v>
      </c>
      <c r="L23" s="15">
        <v>610835.4850415407</v>
      </c>
      <c r="M23" s="15">
        <v>641377.25929361791</v>
      </c>
      <c r="N23" s="15">
        <v>673446.1222582988</v>
      </c>
      <c r="O23" s="15">
        <v>707118.42837121373</v>
      </c>
      <c r="P23" s="15">
        <v>742474.34978977451</v>
      </c>
      <c r="Q23" s="15">
        <v>779598.06727926328</v>
      </c>
      <c r="R23" s="15">
        <v>818577.97064322629</v>
      </c>
      <c r="S23" s="15">
        <v>859506.86917538778</v>
      </c>
      <c r="T23" s="15">
        <v>902482.21263415716</v>
      </c>
      <c r="U23" s="15">
        <v>947606.32326586521</v>
      </c>
      <c r="V23" s="15">
        <v>994986.6394291583</v>
      </c>
    </row>
    <row r="24" spans="2:22" x14ac:dyDescent="0.2">
      <c r="B24" s="5" t="s">
        <v>165</v>
      </c>
      <c r="C24" s="15">
        <v>118125</v>
      </c>
      <c r="D24" s="15">
        <v>124031.25</v>
      </c>
      <c r="E24" s="15">
        <v>130232.81250000003</v>
      </c>
      <c r="F24" s="15">
        <v>136744.45312500003</v>
      </c>
      <c r="G24" s="15">
        <v>143581.67578125006</v>
      </c>
      <c r="H24" s="15">
        <v>150760.75957031254</v>
      </c>
      <c r="I24" s="15">
        <v>158298.79754882815</v>
      </c>
      <c r="J24" s="15">
        <v>166213.73742626957</v>
      </c>
      <c r="K24" s="15">
        <v>174524.42429758306</v>
      </c>
      <c r="L24" s="15">
        <v>183250.64551246219</v>
      </c>
      <c r="M24" s="15">
        <v>192413.17778808536</v>
      </c>
      <c r="N24" s="15">
        <v>202033.83667748963</v>
      </c>
      <c r="O24" s="15">
        <v>212135.5285113641</v>
      </c>
      <c r="P24" s="15">
        <v>222742.30493693234</v>
      </c>
      <c r="Q24" s="15">
        <v>233879.42018377897</v>
      </c>
      <c r="R24" s="15">
        <v>245573.39119296789</v>
      </c>
      <c r="S24" s="15">
        <v>257852.06075261632</v>
      </c>
      <c r="T24" s="15">
        <v>270744.66379024711</v>
      </c>
      <c r="U24" s="15">
        <v>284281.89697975951</v>
      </c>
      <c r="V24" s="15">
        <v>298495.99182874744</v>
      </c>
    </row>
    <row r="25" spans="2:22" x14ac:dyDescent="0.2">
      <c r="B25" s="11" t="s">
        <v>166</v>
      </c>
      <c r="C25" s="17">
        <f>C23-C24</f>
        <v>275625</v>
      </c>
      <c r="D25" s="17">
        <f>D23-D24</f>
        <v>289406.25</v>
      </c>
      <c r="E25" s="17">
        <f>E23-E24</f>
        <v>303876.56250000012</v>
      </c>
      <c r="F25" s="17">
        <f>F23-F24</f>
        <v>319070.39062500012</v>
      </c>
      <c r="G25" s="17">
        <f>G23-G24</f>
        <v>335023.91015625012</v>
      </c>
      <c r="H25" s="17">
        <f>H23-H24</f>
        <v>351775.10566406266</v>
      </c>
      <c r="I25" s="17">
        <f>I23-I24</f>
        <v>369363.86094726576</v>
      </c>
      <c r="J25" s="17">
        <f>J23-J24</f>
        <v>387832.05399462907</v>
      </c>
      <c r="K25" s="17">
        <f>K23-K24</f>
        <v>407223.65669436054</v>
      </c>
      <c r="L25" s="17">
        <f>L23-L24</f>
        <v>427584.83952907851</v>
      </c>
      <c r="M25" s="17">
        <f>M23-M24</f>
        <v>448964.08150553255</v>
      </c>
      <c r="N25" s="17">
        <f>N23-N24</f>
        <v>471412.28558080917</v>
      </c>
      <c r="O25" s="17">
        <f>O23-O24</f>
        <v>494982.8998598496</v>
      </c>
      <c r="P25" s="17">
        <f>P23-P24</f>
        <v>519732.04485284217</v>
      </c>
      <c r="Q25" s="17">
        <f>Q23-Q24</f>
        <v>545718.64709548431</v>
      </c>
      <c r="R25" s="17">
        <f>R23-R24</f>
        <v>573004.5794502584</v>
      </c>
      <c r="S25" s="17">
        <f>S23-S24</f>
        <v>601654.80842277152</v>
      </c>
      <c r="T25" s="17">
        <f>T23-T24</f>
        <v>631737.54884390999</v>
      </c>
      <c r="U25" s="17">
        <f>U23-U24</f>
        <v>663324.42628610577</v>
      </c>
      <c r="V25" s="17">
        <f>V23-V24</f>
        <v>696490.64760041086</v>
      </c>
    </row>
    <row r="26" spans="2:22" x14ac:dyDescent="0.2">
      <c r="B26" s="5" t="s">
        <v>167</v>
      </c>
      <c r="C26" s="18">
        <f>IF(C23&gt;0, C25/C23, 0)</f>
        <v>0.7</v>
      </c>
      <c r="D26" s="18">
        <f>IF(D23&gt;0, D25/D23, 0)</f>
        <v>0.7</v>
      </c>
      <c r="E26" s="18">
        <f>IF(E23&gt;0, E25/E23, 0)</f>
        <v>0.70000000000000007</v>
      </c>
      <c r="F26" s="18">
        <f>IF(F23&gt;0, F25/F23, 0)</f>
        <v>0.70000000000000007</v>
      </c>
      <c r="G26" s="18">
        <f>IF(G23&gt;0, G25/G23, 0)</f>
        <v>0.7</v>
      </c>
      <c r="H26" s="18">
        <f>IF(H23&gt;0, H25/H23, 0)</f>
        <v>0.70000000000000007</v>
      </c>
      <c r="I26" s="18">
        <f>IF(I23&gt;0, I25/I23, 0)</f>
        <v>0.7</v>
      </c>
      <c r="J26" s="18">
        <f>IF(J23&gt;0, J25/J23, 0)</f>
        <v>0.70000000000000007</v>
      </c>
      <c r="K26" s="18">
        <f>IF(K23&gt;0, K25/K23, 0)</f>
        <v>0.70000000000000007</v>
      </c>
      <c r="L26" s="18">
        <f>IF(L23&gt;0, L25/L23, 0)</f>
        <v>0.70000000000000007</v>
      </c>
      <c r="M26" s="18">
        <f>IF(M23&gt;0, M25/M23, 0)</f>
        <v>0.70000000000000007</v>
      </c>
      <c r="N26" s="18">
        <f>IF(N23&gt;0, N25/N23, 0)</f>
        <v>0.70000000000000007</v>
      </c>
      <c r="O26" s="18">
        <f>IF(O23&gt;0, O25/O23, 0)</f>
        <v>0.7</v>
      </c>
      <c r="P26" s="18">
        <f>IF(P23&gt;0, P25/P23, 0)</f>
        <v>0.70000000000000007</v>
      </c>
      <c r="Q26" s="18">
        <f>IF(Q23&gt;0, Q25/Q23, 0)</f>
        <v>0.70000000000000007</v>
      </c>
      <c r="R26" s="18">
        <f>IF(R23&gt;0, R25/R23, 0)</f>
        <v>0.7</v>
      </c>
      <c r="S26" s="18">
        <f>IF(S23&gt;0, S25/S23, 0)</f>
        <v>0.70000000000000007</v>
      </c>
      <c r="T26" s="18">
        <f>IF(T23&gt;0, T25/T23, 0)</f>
        <v>0.7</v>
      </c>
      <c r="U26" s="18">
        <f>IF(U23&gt;0, U25/U23, 0)</f>
        <v>0.70000000000000018</v>
      </c>
      <c r="V26" s="18">
        <f>IF(V23&gt;0, V25/V23, 0)</f>
        <v>0.70000000000000007</v>
      </c>
    </row>
    <row r="27" spans="2:22" x14ac:dyDescent="0.2">
      <c r="B27" s="5" t="s">
        <v>168</v>
      </c>
      <c r="C27" s="15">
        <v>39375</v>
      </c>
      <c r="D27" s="15">
        <v>41343.75</v>
      </c>
      <c r="E27" s="15">
        <v>43410.937500000015</v>
      </c>
      <c r="F27" s="15">
        <v>45581.484375000015</v>
      </c>
      <c r="G27" s="15">
        <v>47860.558593750022</v>
      </c>
      <c r="H27" s="15">
        <v>50253.586523437523</v>
      </c>
      <c r="I27" s="15">
        <v>52766.265849609394</v>
      </c>
      <c r="J27" s="15">
        <v>55404.579142089868</v>
      </c>
      <c r="K27" s="15">
        <v>58174.808099194364</v>
      </c>
      <c r="L27" s="15">
        <v>61083.548504154081</v>
      </c>
      <c r="M27" s="15">
        <v>64137.72592936179</v>
      </c>
      <c r="N27" s="15">
        <v>67344.612225829886</v>
      </c>
      <c r="O27" s="15">
        <v>70711.842837121381</v>
      </c>
      <c r="P27" s="15">
        <v>74247.434978977457</v>
      </c>
      <c r="Q27" s="15">
        <v>77959.806727926334</v>
      </c>
      <c r="R27" s="15">
        <v>81857.797064322629</v>
      </c>
      <c r="S27" s="15">
        <v>85950.686917538784</v>
      </c>
      <c r="T27" s="15">
        <v>90248.221263415719</v>
      </c>
      <c r="U27" s="15">
        <v>94760.632326586521</v>
      </c>
      <c r="V27" s="15">
        <v>99498.663942915839</v>
      </c>
    </row>
    <row r="28" spans="2:22" x14ac:dyDescent="0.2">
      <c r="B28" s="11" t="s">
        <v>169</v>
      </c>
      <c r="C28" s="17">
        <f>C25-C27</f>
        <v>236250</v>
      </c>
      <c r="D28" s="17">
        <f>D25-D27</f>
        <v>248062.5</v>
      </c>
      <c r="E28" s="17">
        <f>E25-E27</f>
        <v>260465.62500000012</v>
      </c>
      <c r="F28" s="17">
        <f>F25-F27</f>
        <v>273488.90625000012</v>
      </c>
      <c r="G28" s="17">
        <f>G25-G27</f>
        <v>287163.35156250012</v>
      </c>
      <c r="H28" s="17">
        <f>H25-H27</f>
        <v>301521.51914062514</v>
      </c>
      <c r="I28" s="17">
        <f>I25-I27</f>
        <v>316597.59509765636</v>
      </c>
      <c r="J28" s="17">
        <f>J25-J27</f>
        <v>332427.47485253919</v>
      </c>
      <c r="K28" s="17">
        <f>K25-K27</f>
        <v>349048.84859516617</v>
      </c>
      <c r="L28" s="17">
        <f>L25-L27</f>
        <v>366501.29102492443</v>
      </c>
      <c r="M28" s="17">
        <f>M25-M27</f>
        <v>384826.35557617078</v>
      </c>
      <c r="N28" s="17">
        <f>N25-N27</f>
        <v>404067.67335497926</v>
      </c>
      <c r="O28" s="17">
        <f>O25-O27</f>
        <v>424271.0570227282</v>
      </c>
      <c r="P28" s="17">
        <f>P25-P27</f>
        <v>445484.60987386468</v>
      </c>
      <c r="Q28" s="17">
        <f>Q25-Q27</f>
        <v>467758.84036755795</v>
      </c>
      <c r="R28" s="17">
        <f>R25-R27</f>
        <v>491146.78238593577</v>
      </c>
      <c r="S28" s="17">
        <f>S25-S27</f>
        <v>515704.12150523276</v>
      </c>
      <c r="T28" s="17">
        <f>T25-T27</f>
        <v>541489.32758049422</v>
      </c>
      <c r="U28" s="17">
        <f>U25-U27</f>
        <v>568563.79395951924</v>
      </c>
      <c r="V28" s="17">
        <f>V25-V27</f>
        <v>596991.983657495</v>
      </c>
    </row>
    <row r="29" spans="2:22" x14ac:dyDescent="0.2">
      <c r="B29" s="5" t="s">
        <v>170</v>
      </c>
      <c r="C29" s="18">
        <f>IF(C23&gt;0, C28/C23, 0)</f>
        <v>0.6</v>
      </c>
      <c r="D29" s="18">
        <f>IF(D23&gt;0, D28/D23, 0)</f>
        <v>0.6</v>
      </c>
      <c r="E29" s="18">
        <f>IF(E23&gt;0, E28/E23, 0)</f>
        <v>0.60000000000000009</v>
      </c>
      <c r="F29" s="18">
        <f>IF(F23&gt;0, F28/F23, 0)</f>
        <v>0.60000000000000009</v>
      </c>
      <c r="G29" s="18">
        <f>IF(G23&gt;0, G28/G23, 0)</f>
        <v>0.6</v>
      </c>
      <c r="H29" s="18">
        <f>IF(H23&gt;0, H28/H23, 0)</f>
        <v>0.60000000000000009</v>
      </c>
      <c r="I29" s="18">
        <f>IF(I23&gt;0, I28/I23, 0)</f>
        <v>0.6</v>
      </c>
      <c r="J29" s="18">
        <f>IF(J23&gt;0, J28/J23, 0)</f>
        <v>0.6</v>
      </c>
      <c r="K29" s="18">
        <f>IF(K23&gt;0, K28/K23, 0)</f>
        <v>0.6</v>
      </c>
      <c r="L29" s="18">
        <f>IF(L23&gt;0, L28/L23, 0)</f>
        <v>0.6</v>
      </c>
      <c r="M29" s="18">
        <f>IF(M23&gt;0, M28/M23, 0)</f>
        <v>0.60000000000000009</v>
      </c>
      <c r="N29" s="18">
        <f>IF(N23&gt;0, N28/N23, 0)</f>
        <v>0.6</v>
      </c>
      <c r="O29" s="18">
        <f>IF(O23&gt;0, O28/O23, 0)</f>
        <v>0.6</v>
      </c>
      <c r="P29" s="18">
        <f>IF(P23&gt;0, P28/P23, 0)</f>
        <v>0.6</v>
      </c>
      <c r="Q29" s="18">
        <f>IF(Q23&gt;0, Q28/Q23, 0)</f>
        <v>0.6</v>
      </c>
      <c r="R29" s="18">
        <f>IF(R23&gt;0, R28/R23, 0)</f>
        <v>0.6</v>
      </c>
      <c r="S29" s="18">
        <f>IF(S23&gt;0, S28/S23, 0)</f>
        <v>0.60000000000000009</v>
      </c>
      <c r="T29" s="18">
        <f>IF(T23&gt;0, T28/T23, 0)</f>
        <v>0.6</v>
      </c>
      <c r="U29" s="18">
        <f>IF(U23&gt;0, U28/U23, 0)</f>
        <v>0.60000000000000009</v>
      </c>
      <c r="V29" s="18">
        <f>IF(V23&gt;0, V28/V23, 0)</f>
        <v>0.6</v>
      </c>
    </row>
    <row r="30" spans="2:22" x14ac:dyDescent="0.2">
      <c r="B30" s="5" t="s">
        <v>171</v>
      </c>
      <c r="C30" s="15">
        <v>125000</v>
      </c>
      <c r="D30" s="15">
        <v>125000</v>
      </c>
      <c r="E30" s="15">
        <v>125000</v>
      </c>
      <c r="F30" s="15">
        <v>125000</v>
      </c>
      <c r="G30" s="15">
        <v>125000</v>
      </c>
      <c r="H30" s="15">
        <v>125000</v>
      </c>
      <c r="I30" s="15">
        <v>125000</v>
      </c>
      <c r="J30" s="15">
        <v>125000</v>
      </c>
      <c r="K30" s="15">
        <v>125000</v>
      </c>
      <c r="L30" s="15">
        <v>125000</v>
      </c>
      <c r="M30" s="15">
        <v>125000</v>
      </c>
      <c r="N30" s="15">
        <v>125000</v>
      </c>
      <c r="O30" s="15">
        <v>125000</v>
      </c>
      <c r="P30" s="15">
        <v>125000</v>
      </c>
      <c r="Q30" s="15">
        <v>125000</v>
      </c>
      <c r="R30" s="15">
        <v>125000</v>
      </c>
      <c r="S30" s="15">
        <v>125000</v>
      </c>
      <c r="T30" s="15">
        <v>125000</v>
      </c>
      <c r="U30" s="15">
        <v>125000</v>
      </c>
      <c r="V30" s="15">
        <v>125000</v>
      </c>
    </row>
    <row r="31" spans="2:22" x14ac:dyDescent="0.2">
      <c r="B31" s="11" t="s">
        <v>172</v>
      </c>
      <c r="C31" s="17">
        <f>C28-C30</f>
        <v>111250</v>
      </c>
      <c r="D31" s="17">
        <f>D28-D30</f>
        <v>123062.5</v>
      </c>
      <c r="E31" s="17">
        <f>E28-E30</f>
        <v>135465.62500000012</v>
      </c>
      <c r="F31" s="17">
        <f>F28-F30</f>
        <v>148488.90625000012</v>
      </c>
      <c r="G31" s="17">
        <f>G28-G30</f>
        <v>162163.35156250012</v>
      </c>
      <c r="H31" s="17">
        <f>H28-H30</f>
        <v>176521.51914062514</v>
      </c>
      <c r="I31" s="17">
        <f>I28-I30</f>
        <v>191597.59509765636</v>
      </c>
      <c r="J31" s="17">
        <f>J28-J30</f>
        <v>207427.47485253919</v>
      </c>
      <c r="K31" s="17">
        <f>K28-K30</f>
        <v>224048.84859516617</v>
      </c>
      <c r="L31" s="17">
        <f>L28-L30</f>
        <v>241501.29102492443</v>
      </c>
      <c r="M31" s="17">
        <f>M28-M30</f>
        <v>259826.35557617078</v>
      </c>
      <c r="N31" s="17">
        <f>N28-N30</f>
        <v>279067.67335497926</v>
      </c>
      <c r="O31" s="17">
        <f>O28-O30</f>
        <v>299271.0570227282</v>
      </c>
      <c r="P31" s="17">
        <f>P28-P30</f>
        <v>320484.60987386468</v>
      </c>
      <c r="Q31" s="17">
        <f>Q28-Q30</f>
        <v>342758.84036755795</v>
      </c>
      <c r="R31" s="17">
        <f>R28-R30</f>
        <v>366146.78238593577</v>
      </c>
      <c r="S31" s="17">
        <f>S28-S30</f>
        <v>390704.12150523276</v>
      </c>
      <c r="T31" s="17">
        <f>T28-T30</f>
        <v>416489.32758049422</v>
      </c>
      <c r="U31" s="17">
        <f>U28-U30</f>
        <v>443563.79395951924</v>
      </c>
      <c r="V31" s="17">
        <f>V28-V30</f>
        <v>471991.983657495</v>
      </c>
    </row>
    <row r="32" spans="2:22" x14ac:dyDescent="0.2">
      <c r="B32" s="5" t="s">
        <v>173</v>
      </c>
      <c r="C32" s="15">
        <v>15000</v>
      </c>
      <c r="D32" s="15">
        <v>15000</v>
      </c>
      <c r="E32" s="15">
        <v>15000</v>
      </c>
      <c r="F32" s="15">
        <v>15000</v>
      </c>
      <c r="G32" s="15">
        <v>15000</v>
      </c>
      <c r="H32" s="15">
        <v>15000</v>
      </c>
      <c r="I32" s="15">
        <v>15000</v>
      </c>
      <c r="J32" s="15">
        <v>15000</v>
      </c>
      <c r="K32" s="15">
        <v>15000</v>
      </c>
      <c r="L32" s="15">
        <v>15000</v>
      </c>
      <c r="M32" s="15">
        <v>15000</v>
      </c>
      <c r="N32" s="15">
        <v>15000</v>
      </c>
      <c r="O32" s="15">
        <v>15000</v>
      </c>
      <c r="P32" s="15">
        <v>15000</v>
      </c>
      <c r="Q32" s="15">
        <v>15000</v>
      </c>
      <c r="R32" s="15">
        <v>15000</v>
      </c>
      <c r="S32" s="15">
        <v>15000</v>
      </c>
      <c r="T32" s="15">
        <v>15000</v>
      </c>
      <c r="U32" s="15">
        <v>15000</v>
      </c>
      <c r="V32" s="15">
        <v>15000</v>
      </c>
    </row>
    <row r="33" spans="2:22" x14ac:dyDescent="0.2">
      <c r="B33" s="5" t="s">
        <v>174</v>
      </c>
      <c r="C33" s="17">
        <f>C31-C32</f>
        <v>96250</v>
      </c>
      <c r="D33" s="17">
        <f>D31-D32</f>
        <v>108062.5</v>
      </c>
      <c r="E33" s="17">
        <f>E31-E32</f>
        <v>120465.62500000012</v>
      </c>
      <c r="F33" s="17">
        <f>F31-F32</f>
        <v>133488.90625000012</v>
      </c>
      <c r="G33" s="17">
        <f>G31-G32</f>
        <v>147163.35156250012</v>
      </c>
      <c r="H33" s="17">
        <f>H31-H32</f>
        <v>161521.51914062514</v>
      </c>
      <c r="I33" s="17">
        <f>I31-I32</f>
        <v>176597.59509765636</v>
      </c>
      <c r="J33" s="17">
        <f>J31-J32</f>
        <v>192427.47485253919</v>
      </c>
      <c r="K33" s="17">
        <f>K31-K32</f>
        <v>209048.84859516617</v>
      </c>
      <c r="L33" s="17">
        <f>L31-L32</f>
        <v>226501.29102492443</v>
      </c>
      <c r="M33" s="17">
        <f>M31-M32</f>
        <v>244826.35557617078</v>
      </c>
      <c r="N33" s="17">
        <f>N31-N32</f>
        <v>264067.67335497926</v>
      </c>
      <c r="O33" s="17">
        <f>O31-O32</f>
        <v>284271.0570227282</v>
      </c>
      <c r="P33" s="17">
        <f>P31-P32</f>
        <v>305484.60987386468</v>
      </c>
      <c r="Q33" s="17">
        <f>Q31-Q32</f>
        <v>327758.84036755795</v>
      </c>
      <c r="R33" s="17">
        <f>R31-R32</f>
        <v>351146.78238593577</v>
      </c>
      <c r="S33" s="17">
        <f>S31-S32</f>
        <v>375704.12150523276</v>
      </c>
      <c r="T33" s="17">
        <f>T31-T32</f>
        <v>401489.32758049422</v>
      </c>
      <c r="U33" s="17">
        <f>U31-U32</f>
        <v>428563.79395951924</v>
      </c>
      <c r="V33" s="17">
        <f>V31-V32</f>
        <v>456991.983657495</v>
      </c>
    </row>
    <row r="34" spans="2:22" x14ac:dyDescent="0.2">
      <c r="B34" s="5" t="s">
        <v>175</v>
      </c>
      <c r="C34" s="15">
        <f>IF(INDEX(ASSUMPTIONS!$C$7:$E$7, 1, MATCH(ASSUMPTIONS!$C$2, ASSUMPTIONS!$C$4:$E$4, 0))=1, 0, MAX(0, C33 * INDEX(ASSUMPTIONS!$C$6:$E$6, 1, MATCH(ASSUMPTIONS!$C$2, ASSUMPTIONS!$C$4:$E$4, 0))))</f>
        <v>24062.5</v>
      </c>
      <c r="D34" s="15">
        <f>IF(INDEX(ASSUMPTIONS!$C$7:$E$7, 1, MATCH(ASSUMPTIONS!$C$2, ASSUMPTIONS!$C$4:$E$4, 0))=1, 0, MAX(0, D33 * INDEX(ASSUMPTIONS!$C$6:$E$6, 1, MATCH(ASSUMPTIONS!$C$2, ASSUMPTIONS!$C$4:$E$4, 0))))</f>
        <v>27015.625</v>
      </c>
      <c r="E34" s="15">
        <f>IF(INDEX(ASSUMPTIONS!$C$7:$E$7, 1, MATCH(ASSUMPTIONS!$C$2, ASSUMPTIONS!$C$4:$E$4, 0))=1, 0, MAX(0, E33 * INDEX(ASSUMPTIONS!$C$6:$E$6, 1, MATCH(ASSUMPTIONS!$C$2, ASSUMPTIONS!$C$4:$E$4, 0))))</f>
        <v>30116.406250000029</v>
      </c>
      <c r="F34" s="15">
        <f>IF(INDEX(ASSUMPTIONS!$C$7:$E$7, 1, MATCH(ASSUMPTIONS!$C$2, ASSUMPTIONS!$C$4:$E$4, 0))=1, 0, MAX(0, F33 * INDEX(ASSUMPTIONS!$C$6:$E$6, 1, MATCH(ASSUMPTIONS!$C$2, ASSUMPTIONS!$C$4:$E$4, 0))))</f>
        <v>33372.226562500029</v>
      </c>
      <c r="G34" s="15">
        <f>IF(INDEX(ASSUMPTIONS!$C$7:$E$7, 1, MATCH(ASSUMPTIONS!$C$2, ASSUMPTIONS!$C$4:$E$4, 0))=1, 0, MAX(0, G33 * INDEX(ASSUMPTIONS!$C$6:$E$6, 1, MATCH(ASSUMPTIONS!$C$2, ASSUMPTIONS!$C$4:$E$4, 0))))</f>
        <v>36790.837890625029</v>
      </c>
      <c r="H34" s="15">
        <f>IF(INDEX(ASSUMPTIONS!$C$7:$E$7, 1, MATCH(ASSUMPTIONS!$C$2, ASSUMPTIONS!$C$4:$E$4, 0))=1, 0, MAX(0, H33 * INDEX(ASSUMPTIONS!$C$6:$E$6, 1, MATCH(ASSUMPTIONS!$C$2, ASSUMPTIONS!$C$4:$E$4, 0))))</f>
        <v>40380.379785156285</v>
      </c>
      <c r="I34" s="15">
        <f>IF(INDEX(ASSUMPTIONS!$C$7:$E$7, 1, MATCH(ASSUMPTIONS!$C$2, ASSUMPTIONS!$C$4:$E$4, 0))=1, 0, MAX(0, I33 * INDEX(ASSUMPTIONS!$C$6:$E$6, 1, MATCH(ASSUMPTIONS!$C$2, ASSUMPTIONS!$C$4:$E$4, 0))))</f>
        <v>44149.39877441409</v>
      </c>
      <c r="J34" s="15">
        <f>IF(INDEX(ASSUMPTIONS!$C$7:$E$7, 1, MATCH(ASSUMPTIONS!$C$2, ASSUMPTIONS!$C$4:$E$4, 0))=1, 0, MAX(0, J33 * INDEX(ASSUMPTIONS!$C$6:$E$6, 1, MATCH(ASSUMPTIONS!$C$2, ASSUMPTIONS!$C$4:$E$4, 0))))</f>
        <v>48106.868713134798</v>
      </c>
      <c r="K34" s="15">
        <f>IF(INDEX(ASSUMPTIONS!$C$7:$E$7, 1, MATCH(ASSUMPTIONS!$C$2, ASSUMPTIONS!$C$4:$E$4, 0))=1, 0, MAX(0, K33 * INDEX(ASSUMPTIONS!$C$6:$E$6, 1, MATCH(ASSUMPTIONS!$C$2, ASSUMPTIONS!$C$4:$E$4, 0))))</f>
        <v>52262.212148791543</v>
      </c>
      <c r="L34" s="15">
        <f>IF(INDEX(ASSUMPTIONS!$C$7:$E$7, 1, MATCH(ASSUMPTIONS!$C$2, ASSUMPTIONS!$C$4:$E$4, 0))=1, 0, MAX(0, L33 * INDEX(ASSUMPTIONS!$C$6:$E$6, 1, MATCH(ASSUMPTIONS!$C$2, ASSUMPTIONS!$C$4:$E$4, 0))))</f>
        <v>56625.322756231108</v>
      </c>
      <c r="M34" s="15">
        <f>IF(INDEX(ASSUMPTIONS!$C$7:$E$7, 1, MATCH(ASSUMPTIONS!$C$2, ASSUMPTIONS!$C$4:$E$4, 0))=1, 0, MAX(0, M33 * INDEX(ASSUMPTIONS!$C$6:$E$6, 1, MATCH(ASSUMPTIONS!$C$2, ASSUMPTIONS!$C$4:$E$4, 0))))</f>
        <v>61206.588894042696</v>
      </c>
      <c r="N34" s="15">
        <f>IF(INDEX(ASSUMPTIONS!$C$7:$E$7, 1, MATCH(ASSUMPTIONS!$C$2, ASSUMPTIONS!$C$4:$E$4, 0))=1, 0, MAX(0, N33 * INDEX(ASSUMPTIONS!$C$6:$E$6, 1, MATCH(ASSUMPTIONS!$C$2, ASSUMPTIONS!$C$4:$E$4, 0))))</f>
        <v>66016.918338744814</v>
      </c>
      <c r="O34" s="15">
        <f>MAX(0, O33 * INDEX(ASSUMPTIONS!$C$6:$E$6, 1, MATCH(ASSUMPTIONS!$C$2, ASSUMPTIONS!$C$4:$E$4, 0)))</f>
        <v>71067.76425568205</v>
      </c>
      <c r="P34" s="15">
        <f>MAX(0, P33 * INDEX(ASSUMPTIONS!$C$6:$E$6, 1, MATCH(ASSUMPTIONS!$C$2, ASSUMPTIONS!$C$4:$E$4, 0)))</f>
        <v>76371.152468466171</v>
      </c>
      <c r="Q34" s="15">
        <f>MAX(0, Q33 * INDEX(ASSUMPTIONS!$C$6:$E$6, 1, MATCH(ASSUMPTIONS!$C$2, ASSUMPTIONS!$C$4:$E$4, 0)))</f>
        <v>81939.710091889487</v>
      </c>
      <c r="R34" s="15">
        <f>MAX(0, R33 * INDEX(ASSUMPTIONS!$C$6:$E$6, 1, MATCH(ASSUMPTIONS!$C$2, ASSUMPTIONS!$C$4:$E$4, 0)))</f>
        <v>87786.695596483944</v>
      </c>
      <c r="S34" s="15">
        <f>MAX(0, S33 * INDEX(ASSUMPTIONS!$C$6:$E$6, 1, MATCH(ASSUMPTIONS!$C$2, ASSUMPTIONS!$C$4:$E$4, 0)))</f>
        <v>93926.03037630819</v>
      </c>
      <c r="T34" s="15">
        <f>MAX(0, T33 * INDEX(ASSUMPTIONS!$C$6:$E$6, 1, MATCH(ASSUMPTIONS!$C$2, ASSUMPTIONS!$C$4:$E$4, 0)))</f>
        <v>100372.33189512356</v>
      </c>
      <c r="U34" s="15">
        <f>MAX(0, U33 * INDEX(ASSUMPTIONS!$C$6:$E$6, 1, MATCH(ASSUMPTIONS!$C$2, ASSUMPTIONS!$C$4:$E$4, 0)))</f>
        <v>107140.94848987981</v>
      </c>
      <c r="V34" s="15">
        <f>MAX(0, V33 * INDEX(ASSUMPTIONS!$C$6:$E$6, 1, MATCH(ASSUMPTIONS!$C$2, ASSUMPTIONS!$C$4:$E$4, 0)))</f>
        <v>114247.99591437375</v>
      </c>
    </row>
    <row r="35" spans="2:22" x14ac:dyDescent="0.2">
      <c r="B35" s="11" t="s">
        <v>176</v>
      </c>
      <c r="C35" s="12">
        <f>C33-C34</f>
        <v>72187.5</v>
      </c>
      <c r="D35" s="12">
        <f>D33-D34</f>
        <v>81046.875</v>
      </c>
      <c r="E35" s="12">
        <f>E33-E34</f>
        <v>90349.218750000087</v>
      </c>
      <c r="F35" s="12">
        <f>F33-F34</f>
        <v>100116.67968750009</v>
      </c>
      <c r="G35" s="12">
        <f>G33-G34</f>
        <v>110372.51367187509</v>
      </c>
      <c r="H35" s="12">
        <f>H33-H34</f>
        <v>121141.13935546885</v>
      </c>
      <c r="I35" s="12">
        <f>I33-I34</f>
        <v>132448.19632324227</v>
      </c>
      <c r="J35" s="12">
        <f>J33-J34</f>
        <v>144320.60613940441</v>
      </c>
      <c r="K35" s="12">
        <f>K33-K34</f>
        <v>156786.63644637464</v>
      </c>
      <c r="L35" s="12">
        <f>L33-L34</f>
        <v>169875.96826869331</v>
      </c>
      <c r="M35" s="12">
        <f>M33-M34</f>
        <v>183619.76668212807</v>
      </c>
      <c r="N35" s="12">
        <f>N33-N34</f>
        <v>198050.75501623444</v>
      </c>
      <c r="O35" s="12">
        <f>O33-O34</f>
        <v>213203.29276704614</v>
      </c>
      <c r="P35" s="12">
        <f>P33-P34</f>
        <v>229113.45740539851</v>
      </c>
      <c r="Q35" s="12">
        <f>Q33-Q34</f>
        <v>245819.13027566846</v>
      </c>
      <c r="R35" s="12">
        <f>R33-R34</f>
        <v>263360.08678945183</v>
      </c>
      <c r="S35" s="12">
        <f>S33-S34</f>
        <v>281778.09112892457</v>
      </c>
      <c r="T35" s="12">
        <f>T33-T34</f>
        <v>301116.99568537064</v>
      </c>
      <c r="U35" s="12">
        <f>U33-U34</f>
        <v>321422.8454696394</v>
      </c>
      <c r="V35" s="12">
        <f>V33-V34</f>
        <v>342743.98774312122</v>
      </c>
    </row>
    <row r="36" spans="2:22" x14ac:dyDescent="0.2">
      <c r="B36" s="11" t="s">
        <v>177</v>
      </c>
      <c r="C36" s="19">
        <f>IF(C23&gt;0, C35/C23, 0)</f>
        <v>0.18333333333333332</v>
      </c>
      <c r="D36" s="19">
        <f>IF(D23&gt;0, D35/D23, 0)</f>
        <v>0.19603174603174603</v>
      </c>
      <c r="E36" s="19">
        <f>IF(E23&gt;0, E35/E23, 0)</f>
        <v>0.20812547241118684</v>
      </c>
      <c r="F36" s="19">
        <f>IF(F23&gt;0, F35/F23, 0)</f>
        <v>0.21964330705827317</v>
      </c>
      <c r="G36" s="19">
        <f>IF(G23&gt;0, G35/G23, 0)</f>
        <v>0.23061267338883157</v>
      </c>
      <c r="H36" s="19">
        <f>IF(H23&gt;0, H35/H23, 0)</f>
        <v>0.24105968894174437</v>
      </c>
      <c r="I36" s="19">
        <f>IF(I23&gt;0, I35/I23, 0)</f>
        <v>0.25100922756356603</v>
      </c>
      <c r="J36" s="19">
        <f>IF(J23&gt;0, J35/J23, 0)</f>
        <v>0.26048497863196768</v>
      </c>
      <c r="K36" s="19">
        <f>IF(K23&gt;0, K35/K23, 0)</f>
        <v>0.26950950345901686</v>
      </c>
      <c r="L36" s="19">
        <f>IF(L23&gt;0, L35/L23, 0)</f>
        <v>0.27810428900858741</v>
      </c>
      <c r="M36" s="19">
        <f>IF(M23&gt;0, M35/M23, 0)</f>
        <v>0.2862897990557976</v>
      </c>
      <c r="N36" s="19">
        <f>IF(N23&gt;0, N35/N23, 0)</f>
        <v>0.29408552291028339</v>
      </c>
      <c r="O36" s="19">
        <f>IF(O23&gt;0, O35/O23, 0)</f>
        <v>0.30151002181931746</v>
      </c>
      <c r="P36" s="19">
        <f>IF(P23&gt;0, P35/P23, 0)</f>
        <v>0.30858097316125477</v>
      </c>
      <c r="Q36" s="19">
        <f>IF(Q23&gt;0, Q35/Q23, 0)</f>
        <v>0.31531521253452838</v>
      </c>
      <c r="R36" s="19">
        <f>IF(R23&gt;0, R35/R23, 0)</f>
        <v>0.321728773842408</v>
      </c>
      <c r="S36" s="19">
        <f>IF(S23&gt;0, S35/S23, 0)</f>
        <v>0.32783692746896009</v>
      </c>
      <c r="T36" s="19">
        <f>IF(T23&gt;0, T35/T23, 0)</f>
        <v>0.33365421663710465</v>
      </c>
      <c r="U36" s="19">
        <f>IF(U23&gt;0, U35/U23, 0)</f>
        <v>0.33919449203533797</v>
      </c>
      <c r="V36" s="19">
        <f>IF(V23&gt;0, V35/V23, 0)</f>
        <v>0.3444709447955599</v>
      </c>
    </row>
    <row r="38" spans="2:22" x14ac:dyDescent="0.2">
      <c r="B38" s="22" t="s">
        <v>179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2:22" x14ac:dyDescent="0.2">
      <c r="B39" s="3" t="s">
        <v>4</v>
      </c>
      <c r="C39" s="3" t="s">
        <v>144</v>
      </c>
      <c r="D39" s="3" t="s">
        <v>145</v>
      </c>
      <c r="E39" s="3" t="s">
        <v>146</v>
      </c>
      <c r="F39" s="3" t="s">
        <v>147</v>
      </c>
      <c r="G39" s="3" t="s">
        <v>148</v>
      </c>
      <c r="H39" s="3" t="s">
        <v>149</v>
      </c>
      <c r="I39" s="3" t="s">
        <v>150</v>
      </c>
      <c r="J39" s="3" t="s">
        <v>151</v>
      </c>
      <c r="K39" s="3" t="s">
        <v>152</v>
      </c>
      <c r="L39" s="3" t="s">
        <v>153</v>
      </c>
      <c r="M39" s="3" t="s">
        <v>154</v>
      </c>
      <c r="N39" s="3" t="s">
        <v>155</v>
      </c>
      <c r="O39" s="3" t="s">
        <v>156</v>
      </c>
      <c r="P39" s="3" t="s">
        <v>157</v>
      </c>
      <c r="Q39" s="3" t="s">
        <v>158</v>
      </c>
      <c r="R39" s="3" t="s">
        <v>159</v>
      </c>
      <c r="S39" s="3" t="s">
        <v>160</v>
      </c>
      <c r="T39" s="3" t="s">
        <v>161</v>
      </c>
      <c r="U39" s="3" t="s">
        <v>162</v>
      </c>
      <c r="V39" s="3" t="s">
        <v>163</v>
      </c>
    </row>
    <row r="40" spans="2:22" x14ac:dyDescent="0.2">
      <c r="B40" s="5" t="s">
        <v>164</v>
      </c>
      <c r="C40" s="15">
        <v>157500</v>
      </c>
      <c r="D40" s="15">
        <v>165375</v>
      </c>
      <c r="E40" s="15">
        <v>173643.75000000003</v>
      </c>
      <c r="F40" s="15">
        <v>182325.93750000003</v>
      </c>
      <c r="G40" s="15">
        <v>191442.23437500006</v>
      </c>
      <c r="H40" s="15">
        <v>201014.34609375006</v>
      </c>
      <c r="I40" s="15">
        <v>211065.06339843755</v>
      </c>
      <c r="J40" s="15">
        <v>221618.31656835944</v>
      </c>
      <c r="K40" s="15">
        <v>232699.23239677743</v>
      </c>
      <c r="L40" s="15">
        <v>244334.19401661627</v>
      </c>
      <c r="M40" s="15">
        <v>256550.90371744713</v>
      </c>
      <c r="N40" s="15">
        <v>269378.44890331948</v>
      </c>
      <c r="O40" s="15">
        <v>282847.37134848547</v>
      </c>
      <c r="P40" s="15">
        <v>296989.73991590977</v>
      </c>
      <c r="Q40" s="15">
        <v>311839.22691170528</v>
      </c>
      <c r="R40" s="15">
        <v>327431.18825729052</v>
      </c>
      <c r="S40" s="15">
        <v>343802.74767015508</v>
      </c>
      <c r="T40" s="15">
        <v>360992.88505366282</v>
      </c>
      <c r="U40" s="15">
        <v>379042.52930634603</v>
      </c>
      <c r="V40" s="15">
        <v>397994.6557716633</v>
      </c>
    </row>
    <row r="41" spans="2:22" x14ac:dyDescent="0.2">
      <c r="B41" s="5" t="s">
        <v>165</v>
      </c>
      <c r="C41" s="15">
        <v>47250</v>
      </c>
      <c r="D41" s="15">
        <v>49612.5</v>
      </c>
      <c r="E41" s="15">
        <v>52093.125000000007</v>
      </c>
      <c r="F41" s="15">
        <v>54697.781250000007</v>
      </c>
      <c r="G41" s="15">
        <v>57432.670312500013</v>
      </c>
      <c r="H41" s="15">
        <v>60304.303828125019</v>
      </c>
      <c r="I41" s="15">
        <v>63319.519019531261</v>
      </c>
      <c r="J41" s="15">
        <v>66485.494970507832</v>
      </c>
      <c r="K41" s="15">
        <v>69809.769719033226</v>
      </c>
      <c r="L41" s="15">
        <v>73300.258204984872</v>
      </c>
      <c r="M41" s="15">
        <v>76965.271115234136</v>
      </c>
      <c r="N41" s="15">
        <v>80813.534670995839</v>
      </c>
      <c r="O41" s="15">
        <v>84854.21140454564</v>
      </c>
      <c r="P41" s="15">
        <v>89096.921974772922</v>
      </c>
      <c r="Q41" s="15">
        <v>93551.768073511586</v>
      </c>
      <c r="R41" s="15">
        <v>98229.356477187146</v>
      </c>
      <c r="S41" s="15">
        <v>103140.82430104652</v>
      </c>
      <c r="T41" s="15">
        <v>108297.86551609884</v>
      </c>
      <c r="U41" s="15">
        <v>113712.75879190381</v>
      </c>
      <c r="V41" s="15">
        <v>119398.39673149899</v>
      </c>
    </row>
    <row r="42" spans="2:22" x14ac:dyDescent="0.2">
      <c r="B42" s="11" t="s">
        <v>166</v>
      </c>
      <c r="C42" s="17">
        <f>C40-C41</f>
        <v>110250</v>
      </c>
      <c r="D42" s="17">
        <f>D40-D41</f>
        <v>115762.5</v>
      </c>
      <c r="E42" s="17">
        <f>E40-E41</f>
        <v>121550.62500000003</v>
      </c>
      <c r="F42" s="17">
        <f>F40-F41</f>
        <v>127628.15625000003</v>
      </c>
      <c r="G42" s="17">
        <f>G40-G41</f>
        <v>134009.56406250005</v>
      </c>
      <c r="H42" s="17">
        <f>H40-H41</f>
        <v>140710.04226562503</v>
      </c>
      <c r="I42" s="17">
        <f>I40-I41</f>
        <v>147745.54437890628</v>
      </c>
      <c r="J42" s="17">
        <f>J40-J41</f>
        <v>155132.82159785161</v>
      </c>
      <c r="K42" s="17">
        <f>K40-K41</f>
        <v>162889.46267774422</v>
      </c>
      <c r="L42" s="17">
        <f>L40-L41</f>
        <v>171033.93581163138</v>
      </c>
      <c r="M42" s="17">
        <f>M40-M41</f>
        <v>179585.63260221301</v>
      </c>
      <c r="N42" s="17">
        <f>N40-N41</f>
        <v>188564.91423232364</v>
      </c>
      <c r="O42" s="17">
        <f>O40-O41</f>
        <v>197993.15994393983</v>
      </c>
      <c r="P42" s="17">
        <f>P40-P41</f>
        <v>207892.81794113683</v>
      </c>
      <c r="Q42" s="17">
        <f>Q40-Q41</f>
        <v>218287.45883819368</v>
      </c>
      <c r="R42" s="17">
        <f>R40-R41</f>
        <v>229201.83178010338</v>
      </c>
      <c r="S42" s="17">
        <f>S40-S41</f>
        <v>240661.92336910855</v>
      </c>
      <c r="T42" s="17">
        <f>T40-T41</f>
        <v>252695.01953756396</v>
      </c>
      <c r="U42" s="17">
        <f>U40-U41</f>
        <v>265329.77051444224</v>
      </c>
      <c r="V42" s="17">
        <f>V40-V41</f>
        <v>278596.2590401643</v>
      </c>
    </row>
    <row r="43" spans="2:22" x14ac:dyDescent="0.2">
      <c r="B43" s="5" t="s">
        <v>167</v>
      </c>
      <c r="C43" s="18">
        <f>IF(C40&gt;0, C42/C40, 0)</f>
        <v>0.7</v>
      </c>
      <c r="D43" s="18">
        <f>IF(D40&gt;0, D42/D40, 0)</f>
        <v>0.7</v>
      </c>
      <c r="E43" s="18">
        <f>IF(E40&gt;0, E42/E40, 0)</f>
        <v>0.70000000000000007</v>
      </c>
      <c r="F43" s="18">
        <f>IF(F40&gt;0, F42/F40, 0)</f>
        <v>0.70000000000000007</v>
      </c>
      <c r="G43" s="18">
        <f>IF(G40&gt;0, G42/G40, 0)</f>
        <v>0.70000000000000007</v>
      </c>
      <c r="H43" s="18">
        <f>IF(H40&gt;0, H42/H40, 0)</f>
        <v>0.7</v>
      </c>
      <c r="I43" s="18">
        <f>IF(I40&gt;0, I42/I40, 0)</f>
        <v>0.70000000000000007</v>
      </c>
      <c r="J43" s="18">
        <f>IF(J40&gt;0, J42/J40, 0)</f>
        <v>0.7</v>
      </c>
      <c r="K43" s="18">
        <f>IF(K40&gt;0, K42/K40, 0)</f>
        <v>0.70000000000000007</v>
      </c>
      <c r="L43" s="18">
        <f>IF(L40&gt;0, L42/L40, 0)</f>
        <v>0.7</v>
      </c>
      <c r="M43" s="18">
        <f>IF(M40&gt;0, M42/M40, 0)</f>
        <v>0.70000000000000007</v>
      </c>
      <c r="N43" s="18">
        <f>IF(N40&gt;0, N42/N40, 0)</f>
        <v>0.70000000000000007</v>
      </c>
      <c r="O43" s="18">
        <f>IF(O40&gt;0, O42/O40, 0)</f>
        <v>0.7</v>
      </c>
      <c r="P43" s="18">
        <f>IF(P40&gt;0, P42/P40, 0)</f>
        <v>0.7</v>
      </c>
      <c r="Q43" s="18">
        <f>IF(Q40&gt;0, Q42/Q40, 0)</f>
        <v>0.7</v>
      </c>
      <c r="R43" s="18">
        <f>IF(R40&gt;0, R42/R40, 0)</f>
        <v>0.70000000000000007</v>
      </c>
      <c r="S43" s="18">
        <f>IF(S40&gt;0, S42/S40, 0)</f>
        <v>0.7</v>
      </c>
      <c r="T43" s="18">
        <f>IF(T40&gt;0, T42/T40, 0)</f>
        <v>0.7</v>
      </c>
      <c r="U43" s="18">
        <f>IF(U40&gt;0, U42/U40, 0)</f>
        <v>0.70000000000000007</v>
      </c>
      <c r="V43" s="18">
        <f>IF(V40&gt;0, V42/V40, 0)</f>
        <v>0.7</v>
      </c>
    </row>
    <row r="44" spans="2:22" x14ac:dyDescent="0.2">
      <c r="B44" s="5" t="s">
        <v>168</v>
      </c>
      <c r="C44" s="15">
        <v>15750</v>
      </c>
      <c r="D44" s="15">
        <v>16537.5</v>
      </c>
      <c r="E44" s="15">
        <v>17364.375000000004</v>
      </c>
      <c r="F44" s="15">
        <v>18232.593750000004</v>
      </c>
      <c r="G44" s="15">
        <v>19144.223437500008</v>
      </c>
      <c r="H44" s="15">
        <v>20101.434609375006</v>
      </c>
      <c r="I44" s="15">
        <v>21106.50633984376</v>
      </c>
      <c r="J44" s="15">
        <v>22161.831656835948</v>
      </c>
      <c r="K44" s="15">
        <v>23269.923239677744</v>
      </c>
      <c r="L44" s="15">
        <v>24433.419401661631</v>
      </c>
      <c r="M44" s="15">
        <v>25655.090371744715</v>
      </c>
      <c r="N44" s="15">
        <v>26937.844890331951</v>
      </c>
      <c r="O44" s="15">
        <v>28284.73713484855</v>
      </c>
      <c r="P44" s="15">
        <v>29698.973991590981</v>
      </c>
      <c r="Q44" s="15">
        <v>31183.922691170534</v>
      </c>
      <c r="R44" s="15">
        <v>32743.118825729049</v>
      </c>
      <c r="S44" s="15">
        <v>34380.274767015508</v>
      </c>
      <c r="T44" s="15">
        <v>36099.288505366283</v>
      </c>
      <c r="U44" s="15">
        <v>37904.252930634604</v>
      </c>
      <c r="V44" s="15">
        <v>39799.465577166331</v>
      </c>
    </row>
    <row r="45" spans="2:22" x14ac:dyDescent="0.2">
      <c r="B45" s="11" t="s">
        <v>169</v>
      </c>
      <c r="C45" s="17">
        <f>C42-C44</f>
        <v>94500</v>
      </c>
      <c r="D45" s="17">
        <f>D42-D44</f>
        <v>99225</v>
      </c>
      <c r="E45" s="17">
        <f>E42-E44</f>
        <v>104186.25000000003</v>
      </c>
      <c r="F45" s="17">
        <f>F42-F44</f>
        <v>109395.56250000003</v>
      </c>
      <c r="G45" s="17">
        <f>G42-G44</f>
        <v>114865.34062500004</v>
      </c>
      <c r="H45" s="17">
        <f>H42-H44</f>
        <v>120608.60765625002</v>
      </c>
      <c r="I45" s="17">
        <f>I42-I44</f>
        <v>126639.03803906252</v>
      </c>
      <c r="J45" s="17">
        <f>J42-J44</f>
        <v>132970.98994101566</v>
      </c>
      <c r="K45" s="17">
        <f>K42-K44</f>
        <v>139619.53943806648</v>
      </c>
      <c r="L45" s="17">
        <f>L42-L44</f>
        <v>146600.51640996974</v>
      </c>
      <c r="M45" s="17">
        <f>M42-M44</f>
        <v>153930.5422304683</v>
      </c>
      <c r="N45" s="17">
        <f>N42-N44</f>
        <v>161627.06934199168</v>
      </c>
      <c r="O45" s="17">
        <f>O42-O44</f>
        <v>169708.42280909128</v>
      </c>
      <c r="P45" s="17">
        <f>P42-P44</f>
        <v>178193.84394954584</v>
      </c>
      <c r="Q45" s="17">
        <f>Q42-Q44</f>
        <v>187103.53614702314</v>
      </c>
      <c r="R45" s="17">
        <f>R42-R44</f>
        <v>196458.71295437432</v>
      </c>
      <c r="S45" s="17">
        <f>S42-S44</f>
        <v>206281.64860209305</v>
      </c>
      <c r="T45" s="17">
        <f>T42-T44</f>
        <v>216595.73103219768</v>
      </c>
      <c r="U45" s="17">
        <f>U42-U44</f>
        <v>227425.51758380764</v>
      </c>
      <c r="V45" s="17">
        <f>V42-V44</f>
        <v>238796.79346299797</v>
      </c>
    </row>
    <row r="46" spans="2:22" x14ac:dyDescent="0.2">
      <c r="B46" s="5" t="s">
        <v>170</v>
      </c>
      <c r="C46" s="18">
        <f>IF(C40&gt;0, C45/C40, 0)</f>
        <v>0.6</v>
      </c>
      <c r="D46" s="18">
        <f>IF(D40&gt;0, D45/D40, 0)</f>
        <v>0.6</v>
      </c>
      <c r="E46" s="18">
        <f>IF(E40&gt;0, E45/E40, 0)</f>
        <v>0.60000000000000009</v>
      </c>
      <c r="F46" s="18">
        <f>IF(F40&gt;0, F45/F40, 0)</f>
        <v>0.60000000000000009</v>
      </c>
      <c r="G46" s="18">
        <f>IF(G40&gt;0, G45/G40, 0)</f>
        <v>0.6</v>
      </c>
      <c r="H46" s="18">
        <f>IF(H40&gt;0, H45/H40, 0)</f>
        <v>0.6</v>
      </c>
      <c r="I46" s="18">
        <f>IF(I40&gt;0, I45/I40, 0)</f>
        <v>0.6</v>
      </c>
      <c r="J46" s="18">
        <f>IF(J40&gt;0, J45/J40, 0)</f>
        <v>0.6</v>
      </c>
      <c r="K46" s="18">
        <f>IF(K40&gt;0, K45/K40, 0)</f>
        <v>0.60000000000000009</v>
      </c>
      <c r="L46" s="18">
        <f>IF(L40&gt;0, L45/L40, 0)</f>
        <v>0.6</v>
      </c>
      <c r="M46" s="18">
        <f>IF(M40&gt;0, M45/M40, 0)</f>
        <v>0.60000000000000009</v>
      </c>
      <c r="N46" s="18">
        <f>IF(N40&gt;0, N45/N40, 0)</f>
        <v>0.6</v>
      </c>
      <c r="O46" s="18">
        <f>IF(O40&gt;0, O45/O40, 0)</f>
        <v>0.6</v>
      </c>
      <c r="P46" s="18">
        <f>IF(P40&gt;0, P45/P40, 0)</f>
        <v>0.6</v>
      </c>
      <c r="Q46" s="18">
        <f>IF(Q40&gt;0, Q45/Q40, 0)</f>
        <v>0.6</v>
      </c>
      <c r="R46" s="18">
        <f>IF(R40&gt;0, R45/R40, 0)</f>
        <v>0.60000000000000009</v>
      </c>
      <c r="S46" s="18">
        <f>IF(S40&gt;0, S45/S40, 0)</f>
        <v>0.6</v>
      </c>
      <c r="T46" s="18">
        <f>IF(T40&gt;0, T45/T40, 0)</f>
        <v>0.6</v>
      </c>
      <c r="U46" s="18">
        <f>IF(U40&gt;0, U45/U40, 0)</f>
        <v>0.60000000000000009</v>
      </c>
      <c r="V46" s="18">
        <f>IF(V40&gt;0, V45/V40, 0)</f>
        <v>0.6</v>
      </c>
    </row>
    <row r="47" spans="2:22" x14ac:dyDescent="0.2">
      <c r="B47" s="5" t="s">
        <v>171</v>
      </c>
      <c r="C47" s="15">
        <v>125000</v>
      </c>
      <c r="D47" s="15">
        <v>125000</v>
      </c>
      <c r="E47" s="15">
        <v>125000</v>
      </c>
      <c r="F47" s="15">
        <v>125000</v>
      </c>
      <c r="G47" s="15">
        <v>125000</v>
      </c>
      <c r="H47" s="15">
        <v>125000</v>
      </c>
      <c r="I47" s="15">
        <v>125000</v>
      </c>
      <c r="J47" s="15">
        <v>125000</v>
      </c>
      <c r="K47" s="15">
        <v>125000</v>
      </c>
      <c r="L47" s="15">
        <v>125000</v>
      </c>
      <c r="M47" s="15">
        <v>125000</v>
      </c>
      <c r="N47" s="15">
        <v>125000</v>
      </c>
      <c r="O47" s="15">
        <v>125000</v>
      </c>
      <c r="P47" s="15">
        <v>125000</v>
      </c>
      <c r="Q47" s="15">
        <v>125000</v>
      </c>
      <c r="R47" s="15">
        <v>125000</v>
      </c>
      <c r="S47" s="15">
        <v>125000</v>
      </c>
      <c r="T47" s="15">
        <v>125000</v>
      </c>
      <c r="U47" s="15">
        <v>125000</v>
      </c>
      <c r="V47" s="15">
        <v>125000</v>
      </c>
    </row>
    <row r="48" spans="2:22" x14ac:dyDescent="0.2">
      <c r="B48" s="11" t="s">
        <v>172</v>
      </c>
      <c r="C48" s="17">
        <f>C45-C47</f>
        <v>-30500</v>
      </c>
      <c r="D48" s="17">
        <f>D45-D47</f>
        <v>-25775</v>
      </c>
      <c r="E48" s="17">
        <f>E45-E47</f>
        <v>-20813.749999999971</v>
      </c>
      <c r="F48" s="17">
        <f>F45-F47</f>
        <v>-15604.437499999971</v>
      </c>
      <c r="G48" s="17">
        <f>G45-G47</f>
        <v>-10134.659374999959</v>
      </c>
      <c r="H48" s="17">
        <f>H45-H47</f>
        <v>-4391.3923437499761</v>
      </c>
      <c r="I48" s="17">
        <f>I45-I47</f>
        <v>1639.0380390625214</v>
      </c>
      <c r="J48" s="17">
        <f>J45-J47</f>
        <v>7970.989941015665</v>
      </c>
      <c r="K48" s="17">
        <f>K45-K47</f>
        <v>14619.53943806648</v>
      </c>
      <c r="L48" s="17">
        <f>L45-L47</f>
        <v>21600.516409969743</v>
      </c>
      <c r="M48" s="17">
        <f>M45-M47</f>
        <v>28930.542230468302</v>
      </c>
      <c r="N48" s="17">
        <f>N45-N47</f>
        <v>36627.069341991679</v>
      </c>
      <c r="O48" s="17">
        <f>O45-O47</f>
        <v>44708.42280909128</v>
      </c>
      <c r="P48" s="17">
        <f>P45-P47</f>
        <v>53193.843949545844</v>
      </c>
      <c r="Q48" s="17">
        <f>Q45-Q47</f>
        <v>62103.536147023144</v>
      </c>
      <c r="R48" s="17">
        <f>R45-R47</f>
        <v>71458.712954374321</v>
      </c>
      <c r="S48" s="17">
        <f>S45-S47</f>
        <v>81281.648602093046</v>
      </c>
      <c r="T48" s="17">
        <f>T45-T47</f>
        <v>91595.731032197684</v>
      </c>
      <c r="U48" s="17">
        <f>U45-U47</f>
        <v>102425.51758380764</v>
      </c>
      <c r="V48" s="17">
        <f>V45-V47</f>
        <v>113796.79346299797</v>
      </c>
    </row>
    <row r="49" spans="2:22" x14ac:dyDescent="0.2">
      <c r="B49" s="5" t="s">
        <v>173</v>
      </c>
      <c r="C49" s="15">
        <v>15000</v>
      </c>
      <c r="D49" s="15">
        <v>15000</v>
      </c>
      <c r="E49" s="15">
        <v>15000</v>
      </c>
      <c r="F49" s="15">
        <v>15000</v>
      </c>
      <c r="G49" s="15">
        <v>15000</v>
      </c>
      <c r="H49" s="15">
        <v>15000</v>
      </c>
      <c r="I49" s="15">
        <v>15000</v>
      </c>
      <c r="J49" s="15">
        <v>15000</v>
      </c>
      <c r="K49" s="15">
        <v>15000</v>
      </c>
      <c r="L49" s="15">
        <v>15000</v>
      </c>
      <c r="M49" s="15">
        <v>15000</v>
      </c>
      <c r="N49" s="15">
        <v>15000</v>
      </c>
      <c r="O49" s="15">
        <v>15000</v>
      </c>
      <c r="P49" s="15">
        <v>15000</v>
      </c>
      <c r="Q49" s="15">
        <v>15000</v>
      </c>
      <c r="R49" s="15">
        <v>15000</v>
      </c>
      <c r="S49" s="15">
        <v>15000</v>
      </c>
      <c r="T49" s="15">
        <v>15000</v>
      </c>
      <c r="U49" s="15">
        <v>15000</v>
      </c>
      <c r="V49" s="15">
        <v>15000</v>
      </c>
    </row>
    <row r="50" spans="2:22" x14ac:dyDescent="0.2">
      <c r="B50" s="5" t="s">
        <v>174</v>
      </c>
      <c r="C50" s="17">
        <f>C48-C49</f>
        <v>-45500</v>
      </c>
      <c r="D50" s="17">
        <f>D48-D49</f>
        <v>-40775</v>
      </c>
      <c r="E50" s="17">
        <f>E48-E49</f>
        <v>-35813.749999999971</v>
      </c>
      <c r="F50" s="17">
        <f>F48-F49</f>
        <v>-30604.437499999971</v>
      </c>
      <c r="G50" s="17">
        <f>G48-G49</f>
        <v>-25134.659374999959</v>
      </c>
      <c r="H50" s="17">
        <f>H48-H49</f>
        <v>-19391.392343749976</v>
      </c>
      <c r="I50" s="17">
        <f>I48-I49</f>
        <v>-13360.961960937479</v>
      </c>
      <c r="J50" s="17">
        <f>J48-J49</f>
        <v>-7029.010058984335</v>
      </c>
      <c r="K50" s="17">
        <f>K48-K49</f>
        <v>-380.46056193351978</v>
      </c>
      <c r="L50" s="17">
        <f>L48-L49</f>
        <v>6600.5164099697431</v>
      </c>
      <c r="M50" s="17">
        <f>M48-M49</f>
        <v>13930.542230468302</v>
      </c>
      <c r="N50" s="17">
        <f>N48-N49</f>
        <v>21627.069341991679</v>
      </c>
      <c r="O50" s="17">
        <f>O48-O49</f>
        <v>29708.42280909128</v>
      </c>
      <c r="P50" s="17">
        <f>P48-P49</f>
        <v>38193.843949545844</v>
      </c>
      <c r="Q50" s="17">
        <f>Q48-Q49</f>
        <v>47103.536147023144</v>
      </c>
      <c r="R50" s="17">
        <f>R48-R49</f>
        <v>56458.712954374321</v>
      </c>
      <c r="S50" s="17">
        <f>S48-S49</f>
        <v>66281.648602093046</v>
      </c>
      <c r="T50" s="17">
        <f>T48-T49</f>
        <v>76595.731032197684</v>
      </c>
      <c r="U50" s="17">
        <f>U48-U49</f>
        <v>87425.517583807639</v>
      </c>
      <c r="V50" s="17">
        <f>V48-V49</f>
        <v>98796.793462997972</v>
      </c>
    </row>
    <row r="51" spans="2:22" x14ac:dyDescent="0.2">
      <c r="B51" s="5" t="s">
        <v>175</v>
      </c>
      <c r="C51" s="15">
        <f>IF(INDEX(ASSUMPTIONS!$C$7:$E$7, 1, MATCH(ASSUMPTIONS!$C$2, ASSUMPTIONS!$C$4:$E$4, 0))=1, 0, MAX(0, C50 * INDEX(ASSUMPTIONS!$C$6:$E$6, 1, MATCH(ASSUMPTIONS!$C$2, ASSUMPTIONS!$C$4:$E$4, 0))))</f>
        <v>0</v>
      </c>
      <c r="D51" s="15">
        <f>IF(INDEX(ASSUMPTIONS!$C$7:$E$7, 1, MATCH(ASSUMPTIONS!$C$2, ASSUMPTIONS!$C$4:$E$4, 0))=1, 0, MAX(0, D50 * INDEX(ASSUMPTIONS!$C$6:$E$6, 1, MATCH(ASSUMPTIONS!$C$2, ASSUMPTIONS!$C$4:$E$4, 0))))</f>
        <v>0</v>
      </c>
      <c r="E51" s="15">
        <f>IF(INDEX(ASSUMPTIONS!$C$7:$E$7, 1, MATCH(ASSUMPTIONS!$C$2, ASSUMPTIONS!$C$4:$E$4, 0))=1, 0, MAX(0, E50 * INDEX(ASSUMPTIONS!$C$6:$E$6, 1, MATCH(ASSUMPTIONS!$C$2, ASSUMPTIONS!$C$4:$E$4, 0))))</f>
        <v>0</v>
      </c>
      <c r="F51" s="15">
        <f>IF(INDEX(ASSUMPTIONS!$C$7:$E$7, 1, MATCH(ASSUMPTIONS!$C$2, ASSUMPTIONS!$C$4:$E$4, 0))=1, 0, MAX(0, F50 * INDEX(ASSUMPTIONS!$C$6:$E$6, 1, MATCH(ASSUMPTIONS!$C$2, ASSUMPTIONS!$C$4:$E$4, 0))))</f>
        <v>0</v>
      </c>
      <c r="G51" s="15">
        <f>IF(INDEX(ASSUMPTIONS!$C$7:$E$7, 1, MATCH(ASSUMPTIONS!$C$2, ASSUMPTIONS!$C$4:$E$4, 0))=1, 0, MAX(0, G50 * INDEX(ASSUMPTIONS!$C$6:$E$6, 1, MATCH(ASSUMPTIONS!$C$2, ASSUMPTIONS!$C$4:$E$4, 0))))</f>
        <v>0</v>
      </c>
      <c r="H51" s="15">
        <f>IF(INDEX(ASSUMPTIONS!$C$7:$E$7, 1, MATCH(ASSUMPTIONS!$C$2, ASSUMPTIONS!$C$4:$E$4, 0))=1, 0, MAX(0, H50 * INDEX(ASSUMPTIONS!$C$6:$E$6, 1, MATCH(ASSUMPTIONS!$C$2, ASSUMPTIONS!$C$4:$E$4, 0))))</f>
        <v>0</v>
      </c>
      <c r="I51" s="15">
        <f>IF(INDEX(ASSUMPTIONS!$C$7:$E$7, 1, MATCH(ASSUMPTIONS!$C$2, ASSUMPTIONS!$C$4:$E$4, 0))=1, 0, MAX(0, I50 * INDEX(ASSUMPTIONS!$C$6:$E$6, 1, MATCH(ASSUMPTIONS!$C$2, ASSUMPTIONS!$C$4:$E$4, 0))))</f>
        <v>0</v>
      </c>
      <c r="J51" s="15">
        <f>IF(INDEX(ASSUMPTIONS!$C$7:$E$7, 1, MATCH(ASSUMPTIONS!$C$2, ASSUMPTIONS!$C$4:$E$4, 0))=1, 0, MAX(0, J50 * INDEX(ASSUMPTIONS!$C$6:$E$6, 1, MATCH(ASSUMPTIONS!$C$2, ASSUMPTIONS!$C$4:$E$4, 0))))</f>
        <v>0</v>
      </c>
      <c r="K51" s="15">
        <f>IF(INDEX(ASSUMPTIONS!$C$7:$E$7, 1, MATCH(ASSUMPTIONS!$C$2, ASSUMPTIONS!$C$4:$E$4, 0))=1, 0, MAX(0, K50 * INDEX(ASSUMPTIONS!$C$6:$E$6, 1, MATCH(ASSUMPTIONS!$C$2, ASSUMPTIONS!$C$4:$E$4, 0))))</f>
        <v>0</v>
      </c>
      <c r="L51" s="15">
        <f>IF(INDEX(ASSUMPTIONS!$C$7:$E$7, 1, MATCH(ASSUMPTIONS!$C$2, ASSUMPTIONS!$C$4:$E$4, 0))=1, 0, MAX(0, L50 * INDEX(ASSUMPTIONS!$C$6:$E$6, 1, MATCH(ASSUMPTIONS!$C$2, ASSUMPTIONS!$C$4:$E$4, 0))))</f>
        <v>1650.1291024924358</v>
      </c>
      <c r="M51" s="15">
        <f>IF(INDEX(ASSUMPTIONS!$C$7:$E$7, 1, MATCH(ASSUMPTIONS!$C$2, ASSUMPTIONS!$C$4:$E$4, 0))=1, 0, MAX(0, M50 * INDEX(ASSUMPTIONS!$C$6:$E$6, 1, MATCH(ASSUMPTIONS!$C$2, ASSUMPTIONS!$C$4:$E$4, 0))))</f>
        <v>3482.6355576170754</v>
      </c>
      <c r="N51" s="15">
        <f>IF(INDEX(ASSUMPTIONS!$C$7:$E$7, 1, MATCH(ASSUMPTIONS!$C$2, ASSUMPTIONS!$C$4:$E$4, 0))=1, 0, MAX(0, N50 * INDEX(ASSUMPTIONS!$C$6:$E$6, 1, MATCH(ASSUMPTIONS!$C$2, ASSUMPTIONS!$C$4:$E$4, 0))))</f>
        <v>5406.7673354979197</v>
      </c>
      <c r="O51" s="15">
        <f>MAX(0, O50 * INDEX(ASSUMPTIONS!$C$6:$E$6, 1, MATCH(ASSUMPTIONS!$C$2, ASSUMPTIONS!$C$4:$E$4, 0)))</f>
        <v>7427.1057022728201</v>
      </c>
      <c r="P51" s="15">
        <f>MAX(0, P50 * INDEX(ASSUMPTIONS!$C$6:$E$6, 1, MATCH(ASSUMPTIONS!$C$2, ASSUMPTIONS!$C$4:$E$4, 0)))</f>
        <v>9548.4609873864611</v>
      </c>
      <c r="Q51" s="15">
        <f>MAX(0, Q50 * INDEX(ASSUMPTIONS!$C$6:$E$6, 1, MATCH(ASSUMPTIONS!$C$2, ASSUMPTIONS!$C$4:$E$4, 0)))</f>
        <v>11775.884036755786</v>
      </c>
      <c r="R51" s="15">
        <f>MAX(0, R50 * INDEX(ASSUMPTIONS!$C$6:$E$6, 1, MATCH(ASSUMPTIONS!$C$2, ASSUMPTIONS!$C$4:$E$4, 0)))</f>
        <v>14114.67823859358</v>
      </c>
      <c r="S51" s="15">
        <f>MAX(0, S50 * INDEX(ASSUMPTIONS!$C$6:$E$6, 1, MATCH(ASSUMPTIONS!$C$2, ASSUMPTIONS!$C$4:$E$4, 0)))</f>
        <v>16570.412150523262</v>
      </c>
      <c r="T51" s="15">
        <f>MAX(0, T50 * INDEX(ASSUMPTIONS!$C$6:$E$6, 1, MATCH(ASSUMPTIONS!$C$2, ASSUMPTIONS!$C$4:$E$4, 0)))</f>
        <v>19148.932758049421</v>
      </c>
      <c r="U51" s="15">
        <f>MAX(0, U50 * INDEX(ASSUMPTIONS!$C$6:$E$6, 1, MATCH(ASSUMPTIONS!$C$2, ASSUMPTIONS!$C$4:$E$4, 0)))</f>
        <v>21856.37939595191</v>
      </c>
      <c r="V51" s="15">
        <f>MAX(0, V50 * INDEX(ASSUMPTIONS!$C$6:$E$6, 1, MATCH(ASSUMPTIONS!$C$2, ASSUMPTIONS!$C$4:$E$4, 0)))</f>
        <v>24699.198365749493</v>
      </c>
    </row>
    <row r="52" spans="2:22" x14ac:dyDescent="0.2">
      <c r="B52" s="11" t="s">
        <v>176</v>
      </c>
      <c r="C52" s="12">
        <f>C50-C51</f>
        <v>-45500</v>
      </c>
      <c r="D52" s="12">
        <f>D50-D51</f>
        <v>-40775</v>
      </c>
      <c r="E52" s="12">
        <f>E50-E51</f>
        <v>-35813.749999999971</v>
      </c>
      <c r="F52" s="12">
        <f>F50-F51</f>
        <v>-30604.437499999971</v>
      </c>
      <c r="G52" s="12">
        <f>G50-G51</f>
        <v>-25134.659374999959</v>
      </c>
      <c r="H52" s="12">
        <f>H50-H51</f>
        <v>-19391.392343749976</v>
      </c>
      <c r="I52" s="12">
        <f>I50-I51</f>
        <v>-13360.961960937479</v>
      </c>
      <c r="J52" s="12">
        <f>J50-J51</f>
        <v>-7029.010058984335</v>
      </c>
      <c r="K52" s="12">
        <f>K50-K51</f>
        <v>-380.46056193351978</v>
      </c>
      <c r="L52" s="12">
        <f>L50-L51</f>
        <v>4950.3873074773073</v>
      </c>
      <c r="M52" s="12">
        <f>M50-M51</f>
        <v>10447.906672851226</v>
      </c>
      <c r="N52" s="12">
        <f>N50-N51</f>
        <v>16220.302006493759</v>
      </c>
      <c r="O52" s="12">
        <f>O50-O51</f>
        <v>22281.31710681846</v>
      </c>
      <c r="P52" s="12">
        <f>P50-P51</f>
        <v>28645.382962159383</v>
      </c>
      <c r="Q52" s="12">
        <f>Q50-Q51</f>
        <v>35327.652110267358</v>
      </c>
      <c r="R52" s="12">
        <f>R50-R51</f>
        <v>42344.034715780741</v>
      </c>
      <c r="S52" s="12">
        <f>S50-S51</f>
        <v>49711.236451569785</v>
      </c>
      <c r="T52" s="12">
        <f>T50-T51</f>
        <v>57446.798274148263</v>
      </c>
      <c r="U52" s="12">
        <f>U50-U51</f>
        <v>65569.138187855729</v>
      </c>
      <c r="V52" s="12">
        <f>V50-V51</f>
        <v>74097.595097248472</v>
      </c>
    </row>
    <row r="53" spans="2:22" x14ac:dyDescent="0.2">
      <c r="B53" s="11" t="s">
        <v>177</v>
      </c>
      <c r="C53" s="19">
        <f>IF(C40&gt;0, C52/C40, 0)</f>
        <v>-0.28888888888888886</v>
      </c>
      <c r="D53" s="19">
        <f>IF(D40&gt;0, D52/D40, 0)</f>
        <v>-0.24656084656084656</v>
      </c>
      <c r="E53" s="19">
        <f>IF(E40&gt;0, E52/E40, 0)</f>
        <v>-0.20624842529604415</v>
      </c>
      <c r="F53" s="19">
        <f>IF(F40&gt;0, F52/F40, 0)</f>
        <v>-0.16785564313908966</v>
      </c>
      <c r="G53" s="19">
        <f>IF(G40&gt;0, G52/G40, 0)</f>
        <v>-0.13129108870389483</v>
      </c>
      <c r="H53" s="19">
        <f>IF(H40&gt;0, H52/H40, 0)</f>
        <v>-9.6467703527518989E-2</v>
      </c>
      <c r="I53" s="19">
        <f>IF(I40&gt;0, I52/I40, 0)</f>
        <v>-6.3302574788113353E-2</v>
      </c>
      <c r="J53" s="19">
        <f>IF(J40&gt;0, J52/J40, 0)</f>
        <v>-3.1716737893441205E-2</v>
      </c>
      <c r="K53" s="19">
        <f>IF(K40&gt;0, K52/K40, 0)</f>
        <v>-1.6349884699438685E-3</v>
      </c>
      <c r="L53" s="19">
        <f>IF(L40&gt;0, L52/L40, 0)</f>
        <v>2.0260722521468485E-2</v>
      </c>
      <c r="M53" s="19">
        <f>IF(M40&gt;0, M52/M40, 0)</f>
        <v>4.0724497639493991E-2</v>
      </c>
      <c r="N53" s="19">
        <f>IF(N40&gt;0, N52/N40, 0)</f>
        <v>6.0213807275708464E-2</v>
      </c>
      <c r="O53" s="19">
        <f>IF(O40&gt;0, O52/O40, 0)</f>
        <v>7.877505454829381E-2</v>
      </c>
      <c r="P53" s="19">
        <f>IF(P40&gt;0, P52/P40, 0)</f>
        <v>9.6452432903136959E-2</v>
      </c>
      <c r="Q53" s="19">
        <f>IF(Q40&gt;0, Q52/Q40, 0)</f>
        <v>0.11328803133632093</v>
      </c>
      <c r="R53" s="19">
        <f>IF(R40&gt;0, R52/R40, 0)</f>
        <v>0.12932193460601998</v>
      </c>
      <c r="S53" s="19">
        <f>IF(S40&gt;0, S52/S40, 0)</f>
        <v>0.14459231867239999</v>
      </c>
      <c r="T53" s="19">
        <f>IF(T40&gt;0, T52/T40, 0)</f>
        <v>0.15913554159276186</v>
      </c>
      <c r="U53" s="19">
        <f>IF(U40&gt;0, U52/U40, 0)</f>
        <v>0.17298623008834474</v>
      </c>
      <c r="V53" s="19">
        <f>IF(V40&gt;0, V52/V40, 0)</f>
        <v>0.18617736198889967</v>
      </c>
    </row>
  </sheetData>
  <mergeCells count="3">
    <mergeCell ref="B4:V4"/>
    <mergeCell ref="B21:V21"/>
    <mergeCell ref="B38:V38"/>
  </mergeCells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53"/>
  <sheetViews>
    <sheetView showGridLines="0" zoomScaleNormal="100" workbookViewId="0"/>
  </sheetViews>
  <sheetFormatPr defaultRowHeight="15" x14ac:dyDescent="0.2"/>
  <cols>
    <col min="1" max="1" width="4.03515625" customWidth="1"/>
    <col min="2" max="2" width="39.953125" customWidth="1"/>
    <col min="3" max="7" width="18.0234375" customWidth="1"/>
  </cols>
  <sheetData>
    <row r="2" spans="2:7" ht="20.25" x14ac:dyDescent="0.25">
      <c r="B2" s="16" t="s">
        <v>180</v>
      </c>
    </row>
    <row r="4" spans="2:7" x14ac:dyDescent="0.2">
      <c r="B4" s="22" t="s">
        <v>143</v>
      </c>
      <c r="C4" s="22"/>
      <c r="D4" s="22"/>
      <c r="E4" s="22"/>
      <c r="F4" s="22"/>
      <c r="G4" s="22"/>
    </row>
    <row r="5" spans="2:7" x14ac:dyDescent="0.2">
      <c r="B5" s="3" t="s">
        <v>4</v>
      </c>
      <c r="C5" s="3" t="s">
        <v>181</v>
      </c>
      <c r="D5" s="3" t="s">
        <v>182</v>
      </c>
      <c r="E5" s="3" t="s">
        <v>183</v>
      </c>
      <c r="F5" s="3" t="s">
        <v>184</v>
      </c>
      <c r="G5" s="3" t="s">
        <v>185</v>
      </c>
    </row>
    <row r="6" spans="2:7" x14ac:dyDescent="0.2">
      <c r="B6" s="5" t="s">
        <v>164</v>
      </c>
      <c r="C6" s="15">
        <v>750626</v>
      </c>
      <c r="D6" s="15">
        <v>1121166</v>
      </c>
      <c r="E6" s="15">
        <v>1674621</v>
      </c>
      <c r="F6" s="15">
        <v>2501284</v>
      </c>
      <c r="G6" s="15">
        <v>3736022</v>
      </c>
    </row>
    <row r="7" spans="2:7" x14ac:dyDescent="0.2">
      <c r="B7" s="5" t="s">
        <v>165</v>
      </c>
      <c r="C7" s="15">
        <v>150125</v>
      </c>
      <c r="D7" s="15">
        <v>224233</v>
      </c>
      <c r="E7" s="15">
        <v>334924</v>
      </c>
      <c r="F7" s="15">
        <v>500257</v>
      </c>
      <c r="G7" s="15">
        <v>747204</v>
      </c>
    </row>
    <row r="8" spans="2:7" x14ac:dyDescent="0.2">
      <c r="B8" s="11" t="s">
        <v>166</v>
      </c>
      <c r="C8" s="17">
        <v>600501</v>
      </c>
      <c r="D8" s="17">
        <v>896933</v>
      </c>
      <c r="E8" s="17">
        <v>1339697</v>
      </c>
      <c r="F8" s="17">
        <v>2001027</v>
      </c>
      <c r="G8" s="17">
        <v>2988818</v>
      </c>
    </row>
    <row r="9" spans="2:7" x14ac:dyDescent="0.2">
      <c r="B9" s="5" t="s">
        <v>167</v>
      </c>
      <c r="C9" s="18">
        <v>0.8</v>
      </c>
      <c r="D9" s="18">
        <v>0.8</v>
      </c>
      <c r="E9" s="18">
        <v>0.8</v>
      </c>
      <c r="F9" s="18">
        <v>0.8</v>
      </c>
      <c r="G9" s="18">
        <v>0.8</v>
      </c>
    </row>
    <row r="10" spans="2:7" x14ac:dyDescent="0.2">
      <c r="B10" s="5" t="s">
        <v>168</v>
      </c>
      <c r="C10" s="15">
        <v>2614125</v>
      </c>
      <c r="D10" s="15">
        <v>2934633</v>
      </c>
      <c r="E10" s="15">
        <v>3316364</v>
      </c>
      <c r="F10" s="15">
        <v>3779841</v>
      </c>
      <c r="G10" s="15">
        <v>4354747</v>
      </c>
    </row>
    <row r="11" spans="2:7" x14ac:dyDescent="0.2">
      <c r="B11" s="11" t="s">
        <v>169</v>
      </c>
      <c r="C11" s="17">
        <v>-2013624</v>
      </c>
      <c r="D11" s="17">
        <v>-2037700</v>
      </c>
      <c r="E11" s="17">
        <v>-1976667</v>
      </c>
      <c r="F11" s="17">
        <v>-1778814</v>
      </c>
      <c r="G11" s="17">
        <v>-1365929</v>
      </c>
    </row>
    <row r="12" spans="2:7" x14ac:dyDescent="0.2">
      <c r="B12" s="5" t="s">
        <v>170</v>
      </c>
      <c r="C12" s="18">
        <v>-2.6825999999999999</v>
      </c>
      <c r="D12" s="18">
        <v>-1.8174999999999999</v>
      </c>
      <c r="E12" s="18">
        <v>-1.1803999999999999</v>
      </c>
      <c r="F12" s="18">
        <v>-0.71120000000000005</v>
      </c>
      <c r="G12" s="18">
        <v>-0.36559999999999998</v>
      </c>
    </row>
    <row r="13" spans="2:7" x14ac:dyDescent="0.2">
      <c r="B13" s="5" t="s">
        <v>171</v>
      </c>
      <c r="C13" s="15">
        <v>37531</v>
      </c>
      <c r="D13" s="15">
        <v>56058</v>
      </c>
      <c r="E13" s="15">
        <v>83731</v>
      </c>
      <c r="F13" s="15">
        <v>125064</v>
      </c>
      <c r="G13" s="15">
        <v>186801</v>
      </c>
    </row>
    <row r="14" spans="2:7" x14ac:dyDescent="0.2">
      <c r="B14" s="11" t="s">
        <v>172</v>
      </c>
      <c r="C14" s="17">
        <v>-2051155</v>
      </c>
      <c r="D14" s="17">
        <v>-2093758</v>
      </c>
      <c r="E14" s="17">
        <v>-2060398</v>
      </c>
      <c r="F14" s="17">
        <v>-1903878</v>
      </c>
      <c r="G14" s="17">
        <v>-1552730</v>
      </c>
    </row>
    <row r="15" spans="2:7" x14ac:dyDescent="0.2">
      <c r="B15" s="5" t="s">
        <v>173</v>
      </c>
      <c r="C15" s="15">
        <v>216000</v>
      </c>
      <c r="D15" s="15">
        <v>237600</v>
      </c>
      <c r="E15" s="15">
        <v>261360</v>
      </c>
      <c r="F15" s="15">
        <v>287496</v>
      </c>
      <c r="G15" s="15">
        <v>316246</v>
      </c>
    </row>
    <row r="16" spans="2:7" x14ac:dyDescent="0.2">
      <c r="B16" s="5" t="s">
        <v>174</v>
      </c>
      <c r="C16" s="17">
        <v>-2267155</v>
      </c>
      <c r="D16" s="17">
        <v>-2331358</v>
      </c>
      <c r="E16" s="17">
        <v>-2321758</v>
      </c>
      <c r="F16" s="17">
        <v>-2191374</v>
      </c>
      <c r="G16" s="17">
        <v>-1868976</v>
      </c>
    </row>
    <row r="17" spans="2:7" x14ac:dyDescent="0.2">
      <c r="B17" s="5" t="s">
        <v>175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</row>
    <row r="18" spans="2:7" x14ac:dyDescent="0.2">
      <c r="B18" s="11" t="s">
        <v>176</v>
      </c>
      <c r="C18" s="12">
        <v>-2267155</v>
      </c>
      <c r="D18" s="12">
        <v>-2331358</v>
      </c>
      <c r="E18" s="12">
        <v>-2321758</v>
      </c>
      <c r="F18" s="12">
        <v>-2191374</v>
      </c>
      <c r="G18" s="12">
        <v>-1868976</v>
      </c>
    </row>
    <row r="19" spans="2:7" x14ac:dyDescent="0.2">
      <c r="B19" s="11" t="s">
        <v>177</v>
      </c>
      <c r="C19" s="19">
        <v>-3.0204</v>
      </c>
      <c r="D19" s="19">
        <v>-2.0794000000000001</v>
      </c>
      <c r="E19" s="19">
        <v>-1.3864000000000001</v>
      </c>
      <c r="F19" s="19">
        <v>-0.87609999999999999</v>
      </c>
      <c r="G19" s="19">
        <v>-0.50029999999999997</v>
      </c>
    </row>
    <row r="21" spans="2:7" x14ac:dyDescent="0.2">
      <c r="B21" s="22" t="s">
        <v>178</v>
      </c>
      <c r="C21" s="22"/>
      <c r="D21" s="22"/>
      <c r="E21" s="22"/>
      <c r="F21" s="22"/>
      <c r="G21" s="22"/>
    </row>
    <row r="22" spans="2:7" x14ac:dyDescent="0.2">
      <c r="B22" s="3" t="s">
        <v>4</v>
      </c>
      <c r="C22" s="3" t="s">
        <v>181</v>
      </c>
      <c r="D22" s="3" t="s">
        <v>182</v>
      </c>
      <c r="E22" s="3" t="s">
        <v>183</v>
      </c>
      <c r="F22" s="3" t="s">
        <v>184</v>
      </c>
      <c r="G22" s="3" t="s">
        <v>185</v>
      </c>
    </row>
    <row r="23" spans="2:7" x14ac:dyDescent="0.2">
      <c r="B23" s="5" t="s">
        <v>164</v>
      </c>
      <c r="C23" s="15">
        <v>2836319</v>
      </c>
      <c r="D23" s="15">
        <v>32388300</v>
      </c>
      <c r="E23" s="15">
        <v>369846244</v>
      </c>
      <c r="F23" s="15">
        <v>4223322797</v>
      </c>
      <c r="G23" s="15">
        <v>48226677297</v>
      </c>
    </row>
    <row r="24" spans="2:7" x14ac:dyDescent="0.2">
      <c r="B24" s="5" t="s">
        <v>165</v>
      </c>
      <c r="C24" s="15">
        <v>425448</v>
      </c>
      <c r="D24" s="15">
        <v>4858245</v>
      </c>
      <c r="E24" s="15">
        <v>55476937</v>
      </c>
      <c r="F24" s="15">
        <v>633498420</v>
      </c>
      <c r="G24" s="15">
        <v>7234001595</v>
      </c>
    </row>
    <row r="25" spans="2:7" x14ac:dyDescent="0.2">
      <c r="B25" s="11" t="s">
        <v>166</v>
      </c>
      <c r="C25" s="17">
        <v>2410871</v>
      </c>
      <c r="D25" s="17">
        <v>27530055</v>
      </c>
      <c r="E25" s="17">
        <v>314369307</v>
      </c>
      <c r="F25" s="17">
        <v>3589824377</v>
      </c>
      <c r="G25" s="17">
        <v>40992675702</v>
      </c>
    </row>
    <row r="26" spans="2:7" x14ac:dyDescent="0.2">
      <c r="B26" s="5" t="s">
        <v>167</v>
      </c>
      <c r="C26" s="18">
        <v>0.85</v>
      </c>
      <c r="D26" s="18">
        <v>0.85</v>
      </c>
      <c r="E26" s="18">
        <v>0.85</v>
      </c>
      <c r="F26" s="18">
        <v>0.85</v>
      </c>
      <c r="G26" s="18">
        <v>0.85</v>
      </c>
    </row>
    <row r="27" spans="2:7" x14ac:dyDescent="0.2">
      <c r="B27" s="5" t="s">
        <v>168</v>
      </c>
      <c r="C27" s="15">
        <v>2801448</v>
      </c>
      <c r="D27" s="15">
        <v>7424325</v>
      </c>
      <c r="E27" s="15">
        <v>58248303</v>
      </c>
      <c r="F27" s="15">
        <v>636491495</v>
      </c>
      <c r="G27" s="15">
        <v>7237234116</v>
      </c>
    </row>
    <row r="28" spans="2:7" x14ac:dyDescent="0.2">
      <c r="B28" s="11" t="s">
        <v>169</v>
      </c>
      <c r="C28" s="17">
        <v>-390577</v>
      </c>
      <c r="D28" s="17">
        <v>20105730</v>
      </c>
      <c r="E28" s="17">
        <v>256121004</v>
      </c>
      <c r="F28" s="17">
        <v>2953332882</v>
      </c>
      <c r="G28" s="17">
        <v>33755441586</v>
      </c>
    </row>
    <row r="29" spans="2:7" x14ac:dyDescent="0.2">
      <c r="B29" s="5" t="s">
        <v>170</v>
      </c>
      <c r="C29" s="18">
        <v>-0.13769999999999999</v>
      </c>
      <c r="D29" s="18">
        <v>0.62080000000000002</v>
      </c>
      <c r="E29" s="18">
        <v>0.6925</v>
      </c>
      <c r="F29" s="18">
        <v>0.69930000000000003</v>
      </c>
      <c r="G29" s="18">
        <v>0.69989999999999997</v>
      </c>
    </row>
    <row r="30" spans="2:7" x14ac:dyDescent="0.2">
      <c r="B30" s="5" t="s">
        <v>171</v>
      </c>
      <c r="C30" s="15">
        <v>141816</v>
      </c>
      <c r="D30" s="15">
        <v>1619415</v>
      </c>
      <c r="E30" s="15">
        <v>18492312</v>
      </c>
      <c r="F30" s="15">
        <v>211166140</v>
      </c>
      <c r="G30" s="15">
        <v>2411333865</v>
      </c>
    </row>
    <row r="31" spans="2:7" x14ac:dyDescent="0.2">
      <c r="B31" s="11" t="s">
        <v>172</v>
      </c>
      <c r="C31" s="17">
        <v>-532393</v>
      </c>
      <c r="D31" s="17">
        <v>18486315</v>
      </c>
      <c r="E31" s="17">
        <v>237628692</v>
      </c>
      <c r="F31" s="17">
        <v>2742166742</v>
      </c>
      <c r="G31" s="17">
        <v>31344107721</v>
      </c>
    </row>
    <row r="32" spans="2:7" x14ac:dyDescent="0.2">
      <c r="B32" s="5" t="s">
        <v>173</v>
      </c>
      <c r="C32" s="15">
        <v>171000</v>
      </c>
      <c r="D32" s="15">
        <v>188100</v>
      </c>
      <c r="E32" s="15">
        <v>169290</v>
      </c>
      <c r="F32" s="15">
        <v>152361</v>
      </c>
      <c r="G32" s="15">
        <v>137125</v>
      </c>
    </row>
    <row r="33" spans="2:7" x14ac:dyDescent="0.2">
      <c r="B33" s="5" t="s">
        <v>174</v>
      </c>
      <c r="C33" s="17">
        <v>-703393</v>
      </c>
      <c r="D33" s="17">
        <v>18298215</v>
      </c>
      <c r="E33" s="17">
        <v>237459402</v>
      </c>
      <c r="F33" s="17">
        <v>2742014381</v>
      </c>
      <c r="G33" s="17">
        <v>31343970596</v>
      </c>
    </row>
    <row r="34" spans="2:7" x14ac:dyDescent="0.2">
      <c r="B34" s="5" t="s">
        <v>175</v>
      </c>
      <c r="C34" s="15">
        <v>0</v>
      </c>
      <c r="D34" s="15">
        <v>4574554</v>
      </c>
      <c r="E34" s="15">
        <v>59364851</v>
      </c>
      <c r="F34" s="15">
        <v>685503595</v>
      </c>
      <c r="G34" s="15">
        <v>7835992649</v>
      </c>
    </row>
    <row r="35" spans="2:7" x14ac:dyDescent="0.2">
      <c r="B35" s="11" t="s">
        <v>176</v>
      </c>
      <c r="C35" s="12">
        <v>-703393</v>
      </c>
      <c r="D35" s="12">
        <v>13723661</v>
      </c>
      <c r="E35" s="12">
        <v>178094551</v>
      </c>
      <c r="F35" s="12">
        <v>2056510786</v>
      </c>
      <c r="G35" s="12">
        <v>23507977947</v>
      </c>
    </row>
    <row r="36" spans="2:7" x14ac:dyDescent="0.2">
      <c r="B36" s="11" t="s">
        <v>177</v>
      </c>
      <c r="C36" s="19">
        <v>-0.248</v>
      </c>
      <c r="D36" s="19">
        <v>0.42370000000000002</v>
      </c>
      <c r="E36" s="19">
        <v>0.48149999999999998</v>
      </c>
      <c r="F36" s="19">
        <v>0.4869</v>
      </c>
      <c r="G36" s="19">
        <v>0.4874</v>
      </c>
    </row>
    <row r="38" spans="2:7" x14ac:dyDescent="0.2">
      <c r="B38" s="22" t="s">
        <v>179</v>
      </c>
      <c r="C38" s="22"/>
      <c r="D38" s="22"/>
      <c r="E38" s="22"/>
      <c r="F38" s="22"/>
      <c r="G38" s="22"/>
    </row>
    <row r="39" spans="2:7" x14ac:dyDescent="0.2">
      <c r="B39" s="3" t="s">
        <v>4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185</v>
      </c>
    </row>
    <row r="40" spans="2:7" x14ac:dyDescent="0.2">
      <c r="B40" s="5" t="s">
        <v>164</v>
      </c>
      <c r="C40" s="15">
        <v>283026</v>
      </c>
      <c r="D40" s="15">
        <v>58750</v>
      </c>
      <c r="E40" s="15">
        <v>12195</v>
      </c>
      <c r="F40" s="15">
        <v>2531</v>
      </c>
      <c r="G40" s="15">
        <v>525</v>
      </c>
    </row>
    <row r="41" spans="2:7" x14ac:dyDescent="0.2">
      <c r="B41" s="5" t="s">
        <v>165</v>
      </c>
      <c r="C41" s="15">
        <v>84908</v>
      </c>
      <c r="D41" s="15">
        <v>17625</v>
      </c>
      <c r="E41" s="15">
        <v>3659</v>
      </c>
      <c r="F41" s="15">
        <v>759</v>
      </c>
      <c r="G41" s="15">
        <v>158</v>
      </c>
    </row>
    <row r="42" spans="2:7" x14ac:dyDescent="0.2">
      <c r="B42" s="11" t="s">
        <v>166</v>
      </c>
      <c r="C42" s="17">
        <v>198118</v>
      </c>
      <c r="D42" s="17">
        <v>41125</v>
      </c>
      <c r="E42" s="17">
        <v>8536</v>
      </c>
      <c r="F42" s="17">
        <v>1772</v>
      </c>
      <c r="G42" s="17">
        <v>367</v>
      </c>
    </row>
    <row r="43" spans="2:7" x14ac:dyDescent="0.2">
      <c r="B43" s="5" t="s">
        <v>167</v>
      </c>
      <c r="C43" s="18">
        <v>0.7</v>
      </c>
      <c r="D43" s="18">
        <v>0.7</v>
      </c>
      <c r="E43" s="18">
        <v>0.69989999999999997</v>
      </c>
      <c r="F43" s="18">
        <v>0.7</v>
      </c>
      <c r="G43" s="18">
        <v>0.69840000000000002</v>
      </c>
    </row>
    <row r="44" spans="2:7" x14ac:dyDescent="0.2">
      <c r="B44" s="5" t="s">
        <v>168</v>
      </c>
      <c r="C44" s="15">
        <v>2646756</v>
      </c>
      <c r="D44" s="15">
        <v>2899808</v>
      </c>
      <c r="E44" s="15">
        <v>3234383</v>
      </c>
      <c r="F44" s="15">
        <v>3619727</v>
      </c>
      <c r="G44" s="15">
        <v>4053517</v>
      </c>
    </row>
    <row r="45" spans="2:7" x14ac:dyDescent="0.2">
      <c r="B45" s="11" t="s">
        <v>169</v>
      </c>
      <c r="C45" s="17">
        <v>-2448638</v>
      </c>
      <c r="D45" s="17">
        <v>-2858683</v>
      </c>
      <c r="E45" s="17">
        <v>-3225847</v>
      </c>
      <c r="F45" s="17">
        <v>-3617955</v>
      </c>
      <c r="G45" s="17">
        <v>-4053150</v>
      </c>
    </row>
    <row r="46" spans="2:7" x14ac:dyDescent="0.2">
      <c r="B46" s="5" t="s">
        <v>170</v>
      </c>
      <c r="C46" s="18">
        <v>-8.6516000000000002</v>
      </c>
      <c r="D46" s="18">
        <v>-48.658200000000001</v>
      </c>
      <c r="E46" s="18">
        <v>-264.51519999999999</v>
      </c>
      <c r="F46" s="18">
        <v>-1429.1786</v>
      </c>
      <c r="G46" s="18">
        <v>-7713.1637000000001</v>
      </c>
    </row>
    <row r="47" spans="2:7" x14ac:dyDescent="0.2">
      <c r="B47" s="5" t="s">
        <v>171</v>
      </c>
      <c r="C47" s="15">
        <v>14151</v>
      </c>
      <c r="D47" s="15">
        <v>2938</v>
      </c>
      <c r="E47" s="15">
        <v>610</v>
      </c>
      <c r="F47" s="15">
        <v>127</v>
      </c>
      <c r="G47" s="15">
        <v>26</v>
      </c>
    </row>
    <row r="48" spans="2:7" x14ac:dyDescent="0.2">
      <c r="B48" s="11" t="s">
        <v>172</v>
      </c>
      <c r="C48" s="17">
        <v>-2462789</v>
      </c>
      <c r="D48" s="17">
        <v>-2861621</v>
      </c>
      <c r="E48" s="17">
        <v>-3226457</v>
      </c>
      <c r="F48" s="17">
        <v>-3618082</v>
      </c>
      <c r="G48" s="17">
        <v>-4053176</v>
      </c>
    </row>
    <row r="49" spans="2:7" x14ac:dyDescent="0.2">
      <c r="B49" s="5" t="s">
        <v>173</v>
      </c>
      <c r="C49" s="15">
        <v>288000</v>
      </c>
      <c r="D49" s="15">
        <v>316800</v>
      </c>
      <c r="E49" s="15">
        <v>348480</v>
      </c>
      <c r="F49" s="15">
        <v>383328</v>
      </c>
      <c r="G49" s="15">
        <v>421661</v>
      </c>
    </row>
    <row r="50" spans="2:7" x14ac:dyDescent="0.2">
      <c r="B50" s="5" t="s">
        <v>174</v>
      </c>
      <c r="C50" s="17">
        <v>-2750789</v>
      </c>
      <c r="D50" s="17">
        <v>-3178421</v>
      </c>
      <c r="E50" s="17">
        <v>-3574937</v>
      </c>
      <c r="F50" s="17">
        <v>-4001410</v>
      </c>
      <c r="G50" s="17">
        <v>-4474837</v>
      </c>
    </row>
    <row r="51" spans="2:7" x14ac:dyDescent="0.2">
      <c r="B51" s="5" t="s">
        <v>175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2:7" x14ac:dyDescent="0.2">
      <c r="B52" s="11" t="s">
        <v>176</v>
      </c>
      <c r="C52" s="12">
        <v>-2750789</v>
      </c>
      <c r="D52" s="12">
        <v>-3178421</v>
      </c>
      <c r="E52" s="12">
        <v>-3574937</v>
      </c>
      <c r="F52" s="12">
        <v>-4001410</v>
      </c>
      <c r="G52" s="12">
        <v>-4474837</v>
      </c>
    </row>
    <row r="53" spans="2:7" x14ac:dyDescent="0.2">
      <c r="B53" s="11" t="s">
        <v>177</v>
      </c>
      <c r="C53" s="19">
        <v>-9.7192000000000007</v>
      </c>
      <c r="D53" s="19">
        <v>-54.1006</v>
      </c>
      <c r="E53" s="19">
        <v>-293.14010000000002</v>
      </c>
      <c r="F53" s="19">
        <v>-1580.6524999999999</v>
      </c>
      <c r="G53" s="19">
        <v>-8515.6360999999997</v>
      </c>
    </row>
  </sheetData>
  <mergeCells count="3">
    <mergeCell ref="B4:G4"/>
    <mergeCell ref="B21:G21"/>
    <mergeCell ref="B38:G38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FUNDING_REQUIREMENT</vt:lpstr>
      <vt:lpstr>SUBSCRIBER_FUNNEL</vt:lpstr>
      <vt:lpstr>REVENUE_ENGINE</vt:lpstr>
      <vt:lpstr>COGS_ENGINE</vt:lpstr>
      <vt:lpstr>HR_AND_OPEX</vt:lpstr>
      <vt:lpstr>CAPEX_AND_DEPRECIATION</vt:lpstr>
      <vt:lpstr>WORKING_CAPITAL</vt:lpstr>
      <vt:lpstr>MONTHLY_P_AND_L</vt:lpstr>
      <vt:lpstr>MONTHLY_CASH_FLOW</vt:lpstr>
      <vt:lpstr>QUARTERLY_SUMMARY</vt:lpstr>
      <vt:lpstr>YEARLY_SUMMARY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Venture Wolf India</dc:creator>
  <cp:keywords/>
  <dc:description/>
  <cp:lastModifiedBy>Unknown</cp:lastModifiedBy>
  <dcterms:created xsi:type="dcterms:W3CDTF">2026-07-12T14:56:18Z</dcterms:created>
  <dcterms:modified xsi:type="dcterms:W3CDTF">2026-07-12T14:56:18Z</dcterms:modified>
  <cp:category/>
</cp:coreProperties>
</file>